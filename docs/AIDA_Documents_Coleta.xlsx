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so a passo" sheetId="1" state="visible" r:id="rId3"/>
    <sheet name="Coleta" sheetId="2" state="visible" r:id="rId4"/>
    <sheet name="Metas" sheetId="3" state="visible" r:id="rId5"/>
    <sheet name="Variedade" sheetId="4" state="visible" r:id="rId6"/>
    <sheet name="Prompts IA" sheetId="5" state="visible" r:id="rId7"/>
    <sheet name="Listas" sheetId="6" state="visible" r:id="rId8"/>
  </sheets>
  <definedNames>
    <definedName function="false" hidden="true" localSheetId="1" name="_xlnm._FilterDatabase" vbProcedure="false">Coleta!$A$1:$Q$3001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Automático: aparece quando a coluna Arquivo é preenchida.</t>
        </r>
      </text>
    </comment>
    <comment ref="G1" authorId="0">
      <text>
        <r>
          <rPr>
            <sz val="10"/>
            <rFont val="Arial"/>
            <family val="2"/>
          </rPr>
          <t xml:space="preserve">Como descobrir: abra o PDF no Adobe Reader &gt; Arquivo &gt; Propriedades &gt; 'Produtor do PDF' e 'Aplicativo'. Para os que você mesmo gerou, anote o programa usado.</t>
        </r>
      </text>
    </comment>
    <comment ref="M1" authorId="0">
      <text>
        <r>
          <rPr>
            <sz val="10"/>
            <rFont val="Arial"/>
            <family val="2"/>
          </rPr>
          <t xml:space="preserve">Calculado: ~30% de cada Classe+Caso vai para 'teste'. Não edite. Arquivos 'teste' vão para a pasta teste/ e só são usados na avaliação final.</t>
        </r>
      </text>
    </comment>
  </commentList>
</comments>
</file>

<file path=xl/sharedStrings.xml><?xml version="1.0" encoding="utf-8"?>
<sst xmlns="http://schemas.openxmlformats.org/spreadsheetml/2006/main" count="341" uniqueCount="210">
  <si>
    <t xml:space="preserve">AIDA Documents — guia de coleta</t>
  </si>
  <si>
    <t xml:space="preserve">Ordem pensada para começar pelo que é mais difícil de conseguir (os reais) e gerar os de IA imitando os mesmos programas.</t>
  </si>
  <si>
    <t xml:space="preserve">Meta: ferramenta CONFIÁVEL no site (~2.700 PDFs). Três fases, cada uma usa o que a anterior coletou: TCC (400) → site beta com selo 'em validação' (1.400) → site confiável (2.700). Ver aba Metas.</t>
  </si>
  <si>
    <t xml:space="preserve">Etapa</t>
  </si>
  <si>
    <t xml:space="preserve">O quê</t>
  </si>
  <si>
    <t xml:space="preserve">Como fazer</t>
  </si>
  <si>
    <t xml:space="preserve">0</t>
  </si>
  <si>
    <t xml:space="preserve">Preparar (1 dia)</t>
  </si>
  <si>
    <t xml:space="preserve">1) No Drive, crie AIDA_Documentos/treino/{reais, ia, manipulados} e AIDA_Documentos/teste/{reais, ia, manipulados}.
2) Nome de cada arquivo: &lt;ID&gt;-&lt;CLASSE&gt;-&lt;caso&gt;.pdf, ex.: 0008-REAL-c1.pdf (o ID aparece sozinho na aba Coleta).
3) A pasta é decidida pela coluna 'Conjunto' (treino ou teste). Arquivos de teste NÃO são abertos nem usados até a avaliação final.
4) Nunca edite, tarje ou 'limpe' um PDF real: isso cria marcas de edição e ele vira um falso MANIPULADO.
5) PDFs com dados pessoais ficam só no Drive privado da equipe, nunca no GitHub.</t>
  </si>
  <si>
    <t xml:space="preserve">1</t>
  </si>
  <si>
    <t xml:space="preserve">Reais de sistema — Caso 1
(TCC 150 · site 1.000)</t>
  </si>
  <si>
    <t xml:space="preserve">O gargalo. Comece por aqui.
• Seus próprios: boletos, faturas (luz, água, celular, internet), extratos, comprovantes PIX, NF-e de compras online, holerites. Baixe direto do app/site do emissor.
• De colegas/família: só com autorização por escrito (marque 'Autorização por escrito'; se ainda não tem, 'PENDENTE').
• Públicos: editais, diários oficiais, notas e contratos do Portal da Transparência, atas e certidões de prefeituras.
• Varie os emissores: pelo menos 10 no TCC e 30 para o site bancos/empresas/órgãos diferentes. Anote o emissor em 'Origem / fonte'.</t>
  </si>
  <si>
    <t xml:space="preserve">2</t>
  </si>
  <si>
    <t xml:space="preserve">Reais de texto — Caso 2
(TCC 50 · site 500)</t>
  </si>
  <si>
    <t xml:space="preserve">Documentos escritos por pessoas, DO MESMO TIPO dos que a IA vai gerar: provas, listas de exercício, redações, trabalhos, relatórios.
• Peça a professores e colegas da Etec PDFs feitos em 2025–2026 (Word, Google Docs, LibreOffice, Canva).
• Prefira textos feitos ANTES do uso de IA ou com declaração do autor de que não usou IA.
• Os reais antigos (2017–2018) servem, mas não podem ser maioria: a data vira atalho.</t>
  </si>
  <si>
    <t xml:space="preserve">3</t>
  </si>
  <si>
    <t xml:space="preserve">IA montando o PDF — Caso 1
(TCC 100 · site 350)</t>
  </si>
  <si>
    <t xml:space="preserve">Peça à IA o documento JÁ em PDF (use os prompts da aba 'Prompts IA').
• ChatGPT (análise de dados), Claude, Gemini: eles escrevem código Python e devolvem o PDF (ReportLab/FPDF).
• Peça também em HTML e salve pelo navegador em PDF (Ctrl+P &gt; Salvar como PDF).
• Varie: tipo de documento, IA, programa. Nenhum programa com mais de 30% (veja a aba Variedade).</t>
  </si>
  <si>
    <t xml:space="preserve">4</t>
  </si>
  <si>
    <t xml:space="preserve">IA colada e exportada — Caso 2
(TCC 50 · site 500)</t>
  </si>
  <si>
    <t xml:space="preserve">O caso difícil.
• Peça à IA só o TEXTO (prova, redação, relatório, contrato...). Copie e cole no Word, Google Docs, LibreOffice ou Canva e exporte em PDF.
• Use os MESMOS programas dos reais da etapa 2 (se os reais têm Word e Docs, os de IA também têm).
• Em ~1/3 deles, edite o texto à mão antes de exportar (troque palavras, corte frases): é o que um usuário real faria.</t>
  </si>
  <si>
    <t xml:space="preserve">5</t>
  </si>
  <si>
    <t xml:space="preserve">Manipulados — Caso 1
(TCC 50 · site 350)</t>
  </si>
  <si>
    <t xml:space="preserve">Use CÓPIAS de reais seus (etapa 1). O original real continua na pasta reais; a cópia editada vai para manipulados.
• Mude valor, data, nome ou CNPJ em: iLovePDF, Sejda, Smallpdf, Foxit, Adobe Acrobat, Canva.
• Também: print da tela &gt; editar no Photoshop/celular &gt; salvar como PDF.
• Anote em Observações o que foi mudado (ex.: 'valor 150,00 -&gt; 1.500,00').</t>
  </si>
  <si>
    <t xml:space="preserve">6</t>
  </si>
  <si>
    <t xml:space="preserve">Registrar (sempre)</t>
  </si>
  <si>
    <t xml:space="preserve">Registre cada arquivo na aba Coleta NA HORA em que salvar no Drive. Preencha tudo; o Programa sai em Adobe Reader &gt; Arquivo &gt; Propriedades &gt; 'Produtor do PDF'.
Uma vez por semana, olhe as abas Metas e Variedade: qualquer 'atenção' em vermelho diz o que coletar a seguir.</t>
  </si>
  <si>
    <t xml:space="preserve">7</t>
  </si>
  <si>
    <t xml:space="preserve">Pontos de controle</t>
  </si>
  <si>
    <t xml:space="preserve">• Com 30 por classe: rode  python -m aida_documents.treinar AIDA_Documentos/treino --saida estudo  e veja quais características separam e quais são atalho.
• Com 100 por classe: rode de novo; ajuste pesos e características usando SÓ a pasta treino.
• Ao bater a meta: rode UMA VEZ na pasta teste. Esse é o número que vai para o TCC (acerto, falso positivo, IA detectada, % inconclusivo).
• Se mexer no modelo depois de ver o teste, o teste deixa de valer: colete um teste novo.</t>
  </si>
  <si>
    <t xml:space="preserve">8</t>
  </si>
  <si>
    <t xml:space="preserve">Fases até o site</t>
  </si>
  <si>
    <t xml:space="preserve">• FASE 1 — TCC (400): etapas 1 a 7. Resultado vai para o TCC, não para o site.
• FASE 2 — Site beta (1.400): só o Caso 1 decide (IA/MANIPULADA). O site mostra 'em validação' e o falso positivo medido (&lt; 2%). O Caso 2 aparece só como indício fraco.
• FASE 3 — Site confiável (2.700): 300 reais no teste do Caso 1 sem nenhum falso positivo =&gt; publicar 'falso positivo &lt; 1%'. Se houver 1 ou mais erros, corrigir e coletar um teste NOVO.
• O Caso 2 (texto colado) NUNCA decide sozinho no site, mesmo na fase 3: no máximo vira 'suspeita' e o resultado fica INCONCLUSIVO.</t>
  </si>
  <si>
    <t xml:space="preserve">9</t>
  </si>
  <si>
    <t xml:space="preserve">Depois de publicar</t>
  </si>
  <si>
    <t xml:space="preserve">• A cada IA nova (ex.: GPT novo, Gemini novo): gerar 30 documentos com ela e testar. Se a detecção cair, ela entra no treino.
• A cada 6 meses: coletar 100 reais novos e conferir o falso positivo de novo (bancos e sistemas mudam o PDF).
• No site, pedir ao usuário consentimento para usar o arquivo e o rótulo dele (LGPD) e revisar à mão os casos contestados.</t>
  </si>
  <si>
    <t xml:space="preserve">Legenda</t>
  </si>
  <si>
    <t xml:space="preserve">Branco</t>
  </si>
  <si>
    <t xml:space="preserve">Coleta: preencha (as colunas com lista têm seta de escolha).</t>
  </si>
  <si>
    <t xml:space="preserve">Cinza</t>
  </si>
  <si>
    <t xml:space="preserve">Coleta: automático (ID e Conjunto). Não edite.</t>
  </si>
  <si>
    <t xml:space="preserve">Amarelo/azul</t>
  </si>
  <si>
    <t xml:space="preserve">Metas: valores de meta que você pode mudar.</t>
  </si>
  <si>
    <t xml:space="preserve">Vermelho</t>
  </si>
  <si>
    <t xml:space="preserve">Algo pede atenção: autorização pendente, programa acima de 30%, checagem falhando.</t>
  </si>
  <si>
    <t xml:space="preserve">Azul claro</t>
  </si>
  <si>
    <t xml:space="preserve">Coleta: arquivo sorteado para 'teste'. Vai para a pasta teste/.</t>
  </si>
  <si>
    <t xml:space="preserve">As 7 primeiras linhas da Coleta são o lote de 08/10 (pasta DOCS GATO) e servem de exemplo de preenchimento.</t>
  </si>
  <si>
    <t xml:space="preserve">ID</t>
  </si>
  <si>
    <t xml:space="preserve">Arquivo</t>
  </si>
  <si>
    <t xml:space="preserve">Classe</t>
  </si>
  <si>
    <t xml:space="preserve">Caso</t>
  </si>
  <si>
    <t xml:space="preserve">Tipo de documento</t>
  </si>
  <si>
    <t xml:space="preserve">Assunto / descrição curta</t>
  </si>
  <si>
    <t xml:space="preserve">Programa que gerou o PDF</t>
  </si>
  <si>
    <t xml:space="preserve">IA usada</t>
  </si>
  <si>
    <t xml:space="preserve">Ano do documento</t>
  </si>
  <si>
    <t xml:space="preserve">Origem / fonte</t>
  </si>
  <si>
    <t xml:space="preserve">Tem dados pessoais?</t>
  </si>
  <si>
    <t xml:space="preserve">Autorização</t>
  </si>
  <si>
    <t xml:space="preserve">Conjunto (automático)</t>
  </si>
  <si>
    <t xml:space="preserve">Pasta no Drive</t>
  </si>
  <si>
    <t xml:space="preserve">Coletado por</t>
  </si>
  <si>
    <t xml:space="preserve">Data da coleta</t>
  </si>
  <si>
    <t xml:space="preserve">Observações</t>
  </si>
  <si>
    <t xml:space="preserve">Documento-IA.pdf</t>
  </si>
  <si>
    <t xml:space="preserve">IA</t>
  </si>
  <si>
    <t xml:space="preserve">1 - Estrutura (PDF feito/editado)</t>
  </si>
  <si>
    <t xml:space="preserve">Prova/atividade escolar</t>
  </si>
  <si>
    <t xml:space="preserve">Prova de literatura 'A Cartomante' (Etec), 3 págs.</t>
  </si>
  <si>
    <t xml:space="preserve">ReportLab (Python)</t>
  </si>
  <si>
    <t xml:space="preserve">Não informado</t>
  </si>
  <si>
    <t xml:space="preserve">Gerado para o TCC</t>
  </si>
  <si>
    <t xml:space="preserve">Não</t>
  </si>
  <si>
    <t xml:space="preserve">DOCS GATO</t>
  </si>
  <si>
    <t xml:space="preserve">Equipe</t>
  </si>
  <si>
    <t xml:space="preserve">08/10/2026</t>
  </si>
  <si>
    <t xml:space="preserve">Regravado pelo pypdf (apagou o Producer). Lote de 08/10.</t>
  </si>
  <si>
    <t xml:space="preserve">Documento-IA2.pdf</t>
  </si>
  <si>
    <t xml:space="preserve">Orçamento</t>
  </si>
  <si>
    <t xml:space="preserve">Orçamento fictício 'Nexora' nº 2026/0147</t>
  </si>
  <si>
    <t xml:space="preserve">CNPJ/CPF inventados com dígito certo. Lote de 08/10.</t>
  </si>
  <si>
    <t xml:space="preserve">Documento-IA3.pdf</t>
  </si>
  <si>
    <t xml:space="preserve">Gabarito da prova 'A Cartomante'</t>
  </si>
  <si>
    <t xml:space="preserve">Sim</t>
  </si>
  <si>
    <t xml:space="preserve">Tem o nome de um aluno nos metadados e no texto. Lote de 08/10.</t>
  </si>
  <si>
    <t xml:space="preserve">Documento-REAL.pdf</t>
  </si>
  <si>
    <t xml:space="preserve">REAL</t>
  </si>
  <si>
    <t xml:space="preserve">2 - Texto (IA colado e exportado)</t>
  </si>
  <si>
    <t xml:space="preserve">Revista/boletim</t>
  </si>
  <si>
    <t xml:space="preserve">Revista Fonte nº 20 (Prodemge), 9 págs. extraídas</t>
  </si>
  <si>
    <t xml:space="preserve">PDFsam</t>
  </si>
  <si>
    <t xml:space="preserve">Nenhuma (documento real)</t>
  </si>
  <si>
    <t xml:space="preserve">prodemge.gov.br (público)</t>
  </si>
  <si>
    <t xml:space="preserve">Público (não precisa)</t>
  </si>
  <si>
    <t xml:space="preserve">Páginas separadas no PDFsam. Lote de 08/10.</t>
  </si>
  <si>
    <t xml:space="preserve">Documento-REAL2.pdf</t>
  </si>
  <si>
    <t xml:space="preserve">Artigo/relatório</t>
  </si>
  <si>
    <t xml:space="preserve">Artigo 'Agronegócio Digital 4.0' (A. Cereda Jr.)</t>
  </si>
  <si>
    <t xml:space="preserve">Microsoft Word</t>
  </si>
  <si>
    <t xml:space="preserve">Artigo publicado (público)</t>
  </si>
  <si>
    <t xml:space="preserve">Lote de 08/10.</t>
  </si>
  <si>
    <t xml:space="preserve">Documento-REAL3.pdf</t>
  </si>
  <si>
    <t xml:space="preserve">Artigo 'Mapas, aplicativos móveis e a nuvem' (A. Cereda Jr.)</t>
  </si>
  <si>
    <t xml:space="preserve">Documento-REAL4.pdf</t>
  </si>
  <si>
    <t xml:space="preserve">Artigo 'Gestão de Políticas Públicas e as (geo)Tecnologias'</t>
  </si>
  <si>
    <t xml:space="preserve">Metas da coleta</t>
  </si>
  <si>
    <t xml:space="preserve">Tudo nesta aba é calculado a partir da aba Coleta. Só as colunas de meta (amarelas) podem ser mudadas.</t>
  </si>
  <si>
    <t xml:space="preserve">Coletados</t>
  </si>
  <si>
    <t xml:space="preserve">dos quais 'teste'</t>
  </si>
  <si>
    <t xml:space="preserve">Meta TCC</t>
  </si>
  <si>
    <t xml:space="preserve">Meta site beta</t>
  </si>
  <si>
    <t xml:space="preserve">Meta site CONFIÁVEL</t>
  </si>
  <si>
    <t xml:space="preserve">Progresso rumo ao site</t>
  </si>
  <si>
    <t xml:space="preserve">Faltam p/ site</t>
  </si>
  <si>
    <t xml:space="preserve">Hoje dá para afirmar*</t>
  </si>
  <si>
    <t xml:space="preserve">MANIPULADO</t>
  </si>
  <si>
    <t xml:space="preserve">TOTAL</t>
  </si>
  <si>
    <t xml:space="preserve">* REAL: com zero erros nos reais do teste, o falso positivo fica ABAIXO desse valor (regra do 3: 3 ÷ reais no teste).</t>
  </si>
  <si>
    <t xml:space="preserve">* IA/MANIPULADO: margem (±) da taxa de detecção medida no teste, supondo ~90% de acerto.</t>
  </si>
  <si>
    <t xml:space="preserve">Site CONFIÁVEL: 300 reais no teste do Caso 1 (falso positivo &lt; 1%) e 150 no Caso 2 (&lt; 2%). Site beta: &lt; 2% e &lt; 5%, com selo 'em validação'.</t>
  </si>
  <si>
    <t xml:space="preserve">O teste é ~30% do total: por isso 1.000 reais no total para ter 300 no teste.</t>
  </si>
  <si>
    <t xml:space="preserve">Checagens de qualidade</t>
  </si>
  <si>
    <t xml:space="preserve">Checagem</t>
  </si>
  <si>
    <t xml:space="preserve">Valor</t>
  </si>
  <si>
    <t xml:space="preserve">Alvo</t>
  </si>
  <si>
    <t xml:space="preserve">OK?</t>
  </si>
  <si>
    <t xml:space="preserve">Reais de 2025–2026 (% dos reais)</t>
  </si>
  <si>
    <t xml:space="preserve">Programas diferentes entre os REAIS</t>
  </si>
  <si>
    <t xml:space="preserve">Programas diferentes entre os IA</t>
  </si>
  <si>
    <t xml:space="preserve">Programas diferentes entre os MANIPULADOS</t>
  </si>
  <si>
    <t xml:space="preserve">Maior fatia de um programa (REAL)</t>
  </si>
  <si>
    <t xml:space="preserve">Maior fatia de um programa (IA)</t>
  </si>
  <si>
    <t xml:space="preserve">Reais no teste — Caso 1 (para FP &lt; 1%)</t>
  </si>
  <si>
    <t xml:space="preserve">Reais no teste — Caso 2 (para FP &lt; 2%)</t>
  </si>
  <si>
    <t xml:space="preserve">Autorizações PENDENTES</t>
  </si>
  <si>
    <t xml:space="preserve">Arquivos sem Programa preenchido</t>
  </si>
  <si>
    <t xml:space="preserve">Variedade de programas por classe</t>
  </si>
  <si>
    <t xml:space="preserve">Regra: nenhum programa com mais de 30% de uma classe, e os mesmos programas nas duas classes. Calculado; não edite.</t>
  </si>
  <si>
    <t xml:space="preserve">Programa</t>
  </si>
  <si>
    <t xml:space="preserve">% REAL</t>
  </si>
  <si>
    <t xml:space="preserve">% IA</t>
  </si>
  <si>
    <t xml:space="preserve">% MANIP.</t>
  </si>
  <si>
    <t xml:space="preserve">Sistema emissor (banco, SEFAZ, prefeitura)</t>
  </si>
  <si>
    <t xml:space="preserve">Google Docs</t>
  </si>
  <si>
    <t xml:space="preserve">LibreOffice</t>
  </si>
  <si>
    <t xml:space="preserve">Canva</t>
  </si>
  <si>
    <t xml:space="preserve">Navegador (Chrome/Edge - imprimir PDF)</t>
  </si>
  <si>
    <t xml:space="preserve">Adobe Acrobat</t>
  </si>
  <si>
    <t xml:space="preserve">FPDF (Python)</t>
  </si>
  <si>
    <t xml:space="preserve">jsPDF (JavaScript)</t>
  </si>
  <si>
    <t xml:space="preserve">Outra biblioteca de programação</t>
  </si>
  <si>
    <t xml:space="preserve">iLovePDF</t>
  </si>
  <si>
    <t xml:space="preserve">Sejda</t>
  </si>
  <si>
    <t xml:space="preserve">Foxit</t>
  </si>
  <si>
    <t xml:space="preserve">Smallpdf</t>
  </si>
  <si>
    <t xml:space="preserve">Photoshop/editor de imagem</t>
  </si>
  <si>
    <t xml:space="preserve">Scanner/CamScanner</t>
  </si>
  <si>
    <t xml:space="preserve">Não sei</t>
  </si>
  <si>
    <t xml:space="preserve">Outro</t>
  </si>
  <si>
    <t xml:space="preserve">Programas diferentes usados</t>
  </si>
  <si>
    <t xml:space="preserve">Maior fatia de um só programa</t>
  </si>
  <si>
    <t xml:space="preserve">Prompts para gerar os documentos de IA</t>
  </si>
  <si>
    <t xml:space="preserve">Troque os [colchetes] a cada uso: empresa, cidade, valores, datas, assunto. Documentos repetidos não ensinam nada ao modelo.</t>
  </si>
  <si>
    <t xml:space="preserve">Tipo</t>
  </si>
  <si>
    <t xml:space="preserve">Prompt</t>
  </si>
  <si>
    <t xml:space="preserve">Recibo</t>
  </si>
  <si>
    <t xml:space="preserve">Gere um PDF de recibo de prestação de serviço de [pintura residencial] em [Belo Horizonte], valor [R$ 1.850,00], datado de [12/08/2026], com dados fictícios do prestador e do cliente. Me devolva o arquivo PDF.</t>
  </si>
  <si>
    <t xml:space="preserve">Nota fiscal</t>
  </si>
  <si>
    <t xml:space="preserve">Crie em PDF uma nota fiscal de serviço (NFS-e) fictícia de [consultoria em TI] para a empresa [nome], com CNPJ, itens, impostos e total. Devolva o PDF pronto para baixar.</t>
  </si>
  <si>
    <t xml:space="preserve">Comprovante PIX</t>
  </si>
  <si>
    <t xml:space="preserve">Faça um comprovante de transferência PIX em PDF, no estilo de app de banco, de [R$ 320,00] para [nome], em [data e hora]. Gere o arquivo PDF.</t>
  </si>
  <si>
    <t xml:space="preserve">Boleto</t>
  </si>
  <si>
    <t xml:space="preserve">Gere um boleto bancário fictício em PDF de [mensalidade escolar], vencimento [10/11/2026], valor [R$ 780,00], com linha digitável e código de barras.</t>
  </si>
  <si>
    <t xml:space="preserve">Extrato</t>
  </si>
  <si>
    <t xml:space="preserve">Crie um extrato bancário em PDF de [outubro/2026] com [25] lançamentos variados (PIX, débito, salário, boletos) e saldo final. Devolva em PDF.</t>
  </si>
  <si>
    <t xml:space="preserve">Atestado</t>
  </si>
  <si>
    <t xml:space="preserve">Gere um atestado médico fictício em PDF de [2 dias] de afastamento, com CRM, carimbo e assinatura simulados.</t>
  </si>
  <si>
    <t xml:space="preserve">Via HTML</t>
  </si>
  <si>
    <t xml:space="preserve">Escreva o HTML/CSS de um [orçamento de reforma] com tabela de itens e totais. (Depois abra no navegador e salve como PDF.)</t>
  </si>
  <si>
    <t xml:space="preserve">Prova escolar</t>
  </si>
  <si>
    <t xml:space="preserve">Escreva uma prova de [história do Brasil — Era Vargas] para o [2º ano do ensino médio] com 8 questões objetivas e 2 discursivas. Só o texto.</t>
  </si>
  <si>
    <t xml:space="preserve">Redação</t>
  </si>
  <si>
    <t xml:space="preserve">Escreva uma redação dissertativa-argumentativa no modelo ENEM sobre [o uso de celulares nas escolas], com cerca de 30 linhas.</t>
  </si>
  <si>
    <t xml:space="preserve">Relatório</t>
  </si>
  <si>
    <t xml:space="preserve">Escreva um relatório técnico de [visita a uma estação de tratamento de água] para a disciplina de [química], com introdução, desenvolvimento e conclusão.</t>
  </si>
  <si>
    <t xml:space="preserve">Contrato</t>
  </si>
  <si>
    <t xml:space="preserve">Redija um contrato de [locação de imóvel residencial] entre [partes fictícias], com cláusulas de prazo, valor e multa.</t>
  </si>
  <si>
    <t xml:space="preserve">Trabalho escolar</t>
  </si>
  <si>
    <t xml:space="preserve">Escreva um trabalho escolar sobre [Machado de Assis e o Realismo] com cerca de 2 páginas, linguagem de aluno de ensino médio.</t>
  </si>
  <si>
    <t xml:space="preserve">Caso 2: copie o texto, cole no Word/Google Docs/LibreOffice/Canva e exporte em PDF. Varie o programa e, em ~1/3, edite à mão antes.</t>
  </si>
  <si>
    <t xml:space="preserve">SimNao</t>
  </si>
  <si>
    <t xml:space="preserve">Autorizacao</t>
  </si>
  <si>
    <t xml:space="preserve">Nota fiscal (NF-e/NFC-e/NFS-e)</t>
  </si>
  <si>
    <t xml:space="preserve">ChatGPT</t>
  </si>
  <si>
    <t xml:space="preserve">Documento meu</t>
  </si>
  <si>
    <t xml:space="preserve">Extrato bancário</t>
  </si>
  <si>
    <t xml:space="preserve">Gemini</t>
  </si>
  <si>
    <t xml:space="preserve">Autorização por escrito</t>
  </si>
  <si>
    <t xml:space="preserve">Comprovante PIX/transferência</t>
  </si>
  <si>
    <t xml:space="preserve">Claude</t>
  </si>
  <si>
    <t xml:space="preserve">Copilot</t>
  </si>
  <si>
    <t xml:space="preserve">PENDENTE</t>
  </si>
  <si>
    <t xml:space="preserve">Meta AI</t>
  </si>
  <si>
    <t xml:space="preserve">DeepSeek</t>
  </si>
  <si>
    <t xml:space="preserve">Atestado/laudo</t>
  </si>
  <si>
    <t xml:space="preserve">Outra</t>
  </si>
  <si>
    <t xml:space="preserve">Redação/trabalho escolar</t>
  </si>
  <si>
    <t xml:space="preserve">Edital/documento público</t>
  </si>
  <si>
    <t xml:space="preserve">Currículo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</si>
</sst>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B4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6B4F"/>
      <name val="Arial"/>
      <family val="0"/>
      <charset val="1"/>
    </font>
    <font>
      <sz val="10"/>
      <name val="Arial"/>
      <family val="2"/>
    </font>
    <font>
      <b val="true"/>
      <sz val="14"/>
      <color rgb="FF1F6B4F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B4F"/>
        <bgColor rgb="FF008080"/>
      </patternFill>
    </fill>
    <fill>
      <patternFill patternType="solid">
        <fgColor rgb="FFE7E6E6"/>
        <bgColor rgb="FFDDEBF7"/>
      </patternFill>
    </fill>
    <fill>
      <patternFill patternType="solid">
        <fgColor rgb="FFFFF2CC"/>
        <bgColor rgb="FFE7E6E6"/>
      </patternFill>
    </fill>
    <fill>
      <patternFill patternType="solid">
        <fgColor rgb="FFF8CBAD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6B4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F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0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165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120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120" hidden="false" customHeight="true" outlineLevel="0" collapsed="false">
      <c r="A9" s="5" t="s">
        <v>15</v>
      </c>
      <c r="B9" s="6" t="s">
        <v>16</v>
      </c>
      <c r="C9" s="7" t="s">
        <v>17</v>
      </c>
    </row>
    <row r="10" customFormat="false" ht="120" hidden="false" customHeight="true" outlineLevel="0" collapsed="false">
      <c r="A10" s="5" t="s">
        <v>18</v>
      </c>
      <c r="B10" s="6" t="s">
        <v>19</v>
      </c>
      <c r="C10" s="7" t="s">
        <v>20</v>
      </c>
    </row>
    <row r="11" customFormat="false" ht="120" hidden="false" customHeight="true" outlineLevel="0" collapsed="false">
      <c r="A11" s="5" t="s">
        <v>21</v>
      </c>
      <c r="B11" s="6" t="s">
        <v>22</v>
      </c>
      <c r="C11" s="7" t="s">
        <v>23</v>
      </c>
    </row>
    <row r="12" customFormat="false" ht="75" hidden="false" customHeight="true" outlineLevel="0" collapsed="false">
      <c r="A12" s="5" t="s">
        <v>24</v>
      </c>
      <c r="B12" s="6" t="s">
        <v>25</v>
      </c>
      <c r="C12" s="7" t="s">
        <v>26</v>
      </c>
    </row>
    <row r="13" customFormat="false" ht="135" hidden="false" customHeight="true" outlineLevel="0" collapsed="false">
      <c r="A13" s="5" t="s">
        <v>27</v>
      </c>
      <c r="B13" s="6" t="s">
        <v>28</v>
      </c>
      <c r="C13" s="7" t="s">
        <v>29</v>
      </c>
    </row>
    <row r="14" customFormat="false" ht="150" hidden="false" customHeight="true" outlineLevel="0" collapsed="false">
      <c r="A14" s="5" t="s">
        <v>30</v>
      </c>
      <c r="B14" s="6" t="s">
        <v>31</v>
      </c>
      <c r="C14" s="7" t="s">
        <v>32</v>
      </c>
    </row>
    <row r="15" customFormat="false" ht="105" hidden="false" customHeight="true" outlineLevel="0" collapsed="false">
      <c r="A15" s="5" t="s">
        <v>33</v>
      </c>
      <c r="B15" s="6" t="s">
        <v>34</v>
      </c>
      <c r="C15" s="7" t="s">
        <v>35</v>
      </c>
    </row>
    <row r="17" customFormat="false" ht="15" hidden="false" customHeight="false" outlineLevel="0" collapsed="false">
      <c r="A17" s="8" t="s">
        <v>36</v>
      </c>
    </row>
    <row r="18" customFormat="false" ht="15" hidden="false" customHeight="false" outlineLevel="0" collapsed="false">
      <c r="B18" s="9" t="s">
        <v>37</v>
      </c>
      <c r="C18" s="10" t="s">
        <v>38</v>
      </c>
    </row>
    <row r="19" customFormat="false" ht="15" hidden="false" customHeight="false" outlineLevel="0" collapsed="false">
      <c r="B19" s="11" t="s">
        <v>39</v>
      </c>
      <c r="C19" s="10" t="s">
        <v>40</v>
      </c>
    </row>
    <row r="20" customFormat="false" ht="15" hidden="false" customHeight="false" outlineLevel="0" collapsed="false">
      <c r="B20" s="12" t="s">
        <v>41</v>
      </c>
      <c r="C20" s="10" t="s">
        <v>42</v>
      </c>
    </row>
    <row r="21" customFormat="false" ht="15" hidden="false" customHeight="false" outlineLevel="0" collapsed="false">
      <c r="B21" s="13" t="s">
        <v>43</v>
      </c>
      <c r="C21" s="10" t="s">
        <v>44</v>
      </c>
    </row>
    <row r="22" customFormat="false" ht="15" hidden="false" customHeight="false" outlineLevel="0" collapsed="false">
      <c r="B22" s="14" t="s">
        <v>45</v>
      </c>
      <c r="C22" s="10" t="s">
        <v>46</v>
      </c>
    </row>
    <row r="24" customFormat="false" ht="15" hidden="false" customHeight="false" outlineLevel="0" collapsed="false">
      <c r="B24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7" min="6" style="0" width="34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40"/>
  </cols>
  <sheetData>
    <row r="1" customFormat="false" ht="31.5" hidden="false" customHeight="true" outlineLevel="0" collapsed="false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</row>
    <row r="2" customFormat="false" ht="23.85" hidden="false" customHeight="false" outlineLevel="0" collapsed="false">
      <c r="A2" s="15" t="n">
        <f aca="false">IF(B2="","",ROW()-1)</f>
        <v>1</v>
      </c>
      <c r="B2" s="16" t="s">
        <v>65</v>
      </c>
      <c r="C2" s="16" t="s">
        <v>66</v>
      </c>
      <c r="D2" s="16" t="s">
        <v>67</v>
      </c>
      <c r="E2" s="16" t="s">
        <v>68</v>
      </c>
      <c r="F2" s="17" t="s">
        <v>69</v>
      </c>
      <c r="G2" s="16" t="s">
        <v>70</v>
      </c>
      <c r="H2" s="16" t="s">
        <v>71</v>
      </c>
      <c r="I2" s="16" t="n">
        <v>2026</v>
      </c>
      <c r="J2" s="16" t="s">
        <v>72</v>
      </c>
      <c r="K2" s="16" t="s">
        <v>73</v>
      </c>
      <c r="L2" s="16" t="s">
        <v>72</v>
      </c>
      <c r="M2" s="18" t="str">
        <f aca="false">IF(OR(C2="",D2=""),"",IF(MOD(COUNTIFS($C$2:C2,C2,$D$2:D2,D2)*7,10)&lt;3,"teste","treino"))</f>
        <v>treino</v>
      </c>
      <c r="N2" s="16" t="s">
        <v>74</v>
      </c>
      <c r="O2" s="16" t="s">
        <v>75</v>
      </c>
      <c r="P2" s="16" t="s">
        <v>76</v>
      </c>
      <c r="Q2" s="17" t="s">
        <v>77</v>
      </c>
    </row>
    <row r="3" customFormat="false" ht="23.85" hidden="false" customHeight="false" outlineLevel="0" collapsed="false">
      <c r="A3" s="15" t="n">
        <f aca="false">IF(B3="","",ROW()-1)</f>
        <v>2</v>
      </c>
      <c r="B3" s="16" t="s">
        <v>78</v>
      </c>
      <c r="C3" s="16" t="s">
        <v>66</v>
      </c>
      <c r="D3" s="16" t="s">
        <v>67</v>
      </c>
      <c r="E3" s="16" t="s">
        <v>79</v>
      </c>
      <c r="F3" s="17" t="s">
        <v>80</v>
      </c>
      <c r="G3" s="16" t="s">
        <v>70</v>
      </c>
      <c r="H3" s="16" t="s">
        <v>71</v>
      </c>
      <c r="I3" s="16" t="n">
        <v>2026</v>
      </c>
      <c r="J3" s="16" t="s">
        <v>72</v>
      </c>
      <c r="K3" s="16" t="s">
        <v>73</v>
      </c>
      <c r="L3" s="16" t="s">
        <v>72</v>
      </c>
      <c r="M3" s="18" t="str">
        <f aca="false">IF(OR(C3="",D3=""),"",IF(MOD(COUNTIFS($C$2:C3,C3,$D$2:D3,D3)*7,10)&lt;3,"teste","treino"))</f>
        <v>treino</v>
      </c>
      <c r="N3" s="16" t="s">
        <v>74</v>
      </c>
      <c r="O3" s="16" t="s">
        <v>75</v>
      </c>
      <c r="P3" s="16" t="s">
        <v>76</v>
      </c>
      <c r="Q3" s="17" t="s">
        <v>81</v>
      </c>
    </row>
    <row r="4" customFormat="false" ht="23.85" hidden="false" customHeight="false" outlineLevel="0" collapsed="false">
      <c r="A4" s="15" t="n">
        <f aca="false">IF(B4="","",ROW()-1)</f>
        <v>3</v>
      </c>
      <c r="B4" s="16" t="s">
        <v>82</v>
      </c>
      <c r="C4" s="16" t="s">
        <v>66</v>
      </c>
      <c r="D4" s="16" t="s">
        <v>67</v>
      </c>
      <c r="E4" s="16" t="s">
        <v>68</v>
      </c>
      <c r="F4" s="17" t="s">
        <v>83</v>
      </c>
      <c r="G4" s="16" t="s">
        <v>70</v>
      </c>
      <c r="H4" s="16" t="s">
        <v>71</v>
      </c>
      <c r="I4" s="16" t="n">
        <v>2026</v>
      </c>
      <c r="J4" s="16" t="s">
        <v>72</v>
      </c>
      <c r="K4" s="16" t="s">
        <v>84</v>
      </c>
      <c r="L4" s="16" t="s">
        <v>72</v>
      </c>
      <c r="M4" s="18" t="str">
        <f aca="false">IF(OR(C4="",D4=""),"",IF(MOD(COUNTIFS($C$2:C4,C4,$D$2:D4,D4)*7,10)&lt;3,"teste","treino"))</f>
        <v>teste</v>
      </c>
      <c r="N4" s="16" t="s">
        <v>74</v>
      </c>
      <c r="O4" s="16" t="s">
        <v>75</v>
      </c>
      <c r="P4" s="16" t="s">
        <v>76</v>
      </c>
      <c r="Q4" s="17" t="s">
        <v>85</v>
      </c>
    </row>
    <row r="5" customFormat="false" ht="23.85" hidden="false" customHeight="false" outlineLevel="0" collapsed="false">
      <c r="A5" s="15" t="n">
        <f aca="false">IF(B5="","",ROW()-1)</f>
        <v>4</v>
      </c>
      <c r="B5" s="16" t="s">
        <v>86</v>
      </c>
      <c r="C5" s="16" t="s">
        <v>87</v>
      </c>
      <c r="D5" s="16" t="s">
        <v>88</v>
      </c>
      <c r="E5" s="16" t="s">
        <v>89</v>
      </c>
      <c r="F5" s="17" t="s">
        <v>90</v>
      </c>
      <c r="G5" s="16" t="s">
        <v>91</v>
      </c>
      <c r="H5" s="16" t="s">
        <v>92</v>
      </c>
      <c r="I5" s="16" t="n">
        <v>2018</v>
      </c>
      <c r="J5" s="16" t="s">
        <v>93</v>
      </c>
      <c r="K5" s="16" t="s">
        <v>73</v>
      </c>
      <c r="L5" s="16" t="s">
        <v>94</v>
      </c>
      <c r="M5" s="18" t="str">
        <f aca="false">IF(OR(C5="",D5=""),"",IF(MOD(COUNTIFS($C$2:C5,C5,$D$2:D5,D5)*7,10)&lt;3,"teste","treino"))</f>
        <v>treino</v>
      </c>
      <c r="N5" s="16" t="s">
        <v>74</v>
      </c>
      <c r="O5" s="16" t="s">
        <v>75</v>
      </c>
      <c r="P5" s="16" t="s">
        <v>76</v>
      </c>
      <c r="Q5" s="17" t="s">
        <v>95</v>
      </c>
    </row>
    <row r="6" customFormat="false" ht="23.85" hidden="false" customHeight="false" outlineLevel="0" collapsed="false">
      <c r="A6" s="15" t="n">
        <f aca="false">IF(B6="","",ROW()-1)</f>
        <v>5</v>
      </c>
      <c r="B6" s="16" t="s">
        <v>96</v>
      </c>
      <c r="C6" s="16" t="s">
        <v>87</v>
      </c>
      <c r="D6" s="16" t="s">
        <v>88</v>
      </c>
      <c r="E6" s="16" t="s">
        <v>97</v>
      </c>
      <c r="F6" s="17" t="s">
        <v>98</v>
      </c>
      <c r="G6" s="16" t="s">
        <v>99</v>
      </c>
      <c r="H6" s="16" t="s">
        <v>92</v>
      </c>
      <c r="I6" s="16" t="n">
        <v>2018</v>
      </c>
      <c r="J6" s="16" t="s">
        <v>100</v>
      </c>
      <c r="K6" s="16" t="s">
        <v>73</v>
      </c>
      <c r="L6" s="16" t="s">
        <v>94</v>
      </c>
      <c r="M6" s="18" t="str">
        <f aca="false">IF(OR(C6="",D6=""),"",IF(MOD(COUNTIFS($C$2:C6,C6,$D$2:D6,D6)*7,10)&lt;3,"teste","treino"))</f>
        <v>treino</v>
      </c>
      <c r="N6" s="16" t="s">
        <v>74</v>
      </c>
      <c r="O6" s="16" t="s">
        <v>75</v>
      </c>
      <c r="P6" s="16" t="s">
        <v>76</v>
      </c>
      <c r="Q6" s="17" t="s">
        <v>101</v>
      </c>
    </row>
    <row r="7" customFormat="false" ht="23.85" hidden="false" customHeight="false" outlineLevel="0" collapsed="false">
      <c r="A7" s="15" t="n">
        <f aca="false">IF(B7="","",ROW()-1)</f>
        <v>6</v>
      </c>
      <c r="B7" s="16" t="s">
        <v>102</v>
      </c>
      <c r="C7" s="16" t="s">
        <v>87</v>
      </c>
      <c r="D7" s="16" t="s">
        <v>88</v>
      </c>
      <c r="E7" s="16" t="s">
        <v>97</v>
      </c>
      <c r="F7" s="17" t="s">
        <v>103</v>
      </c>
      <c r="G7" s="16" t="s">
        <v>99</v>
      </c>
      <c r="H7" s="16" t="s">
        <v>92</v>
      </c>
      <c r="I7" s="16" t="n">
        <v>2017</v>
      </c>
      <c r="J7" s="16" t="s">
        <v>100</v>
      </c>
      <c r="K7" s="16" t="s">
        <v>73</v>
      </c>
      <c r="L7" s="16" t="s">
        <v>94</v>
      </c>
      <c r="M7" s="18" t="str">
        <f aca="false">IF(OR(C7="",D7=""),"",IF(MOD(COUNTIFS($C$2:C7,C7,$D$2:D7,D7)*7,10)&lt;3,"teste","treino"))</f>
        <v>teste</v>
      </c>
      <c r="N7" s="16" t="s">
        <v>74</v>
      </c>
      <c r="O7" s="16" t="s">
        <v>75</v>
      </c>
      <c r="P7" s="16" t="s">
        <v>76</v>
      </c>
      <c r="Q7" s="17" t="s">
        <v>101</v>
      </c>
    </row>
    <row r="8" customFormat="false" ht="23.85" hidden="false" customHeight="false" outlineLevel="0" collapsed="false">
      <c r="A8" s="15" t="n">
        <f aca="false">IF(B8="","",ROW()-1)</f>
        <v>7</v>
      </c>
      <c r="B8" s="16" t="s">
        <v>104</v>
      </c>
      <c r="C8" s="16" t="s">
        <v>87</v>
      </c>
      <c r="D8" s="16" t="s">
        <v>88</v>
      </c>
      <c r="E8" s="16" t="s">
        <v>97</v>
      </c>
      <c r="F8" s="17" t="s">
        <v>105</v>
      </c>
      <c r="G8" s="16" t="s">
        <v>99</v>
      </c>
      <c r="H8" s="16" t="s">
        <v>92</v>
      </c>
      <c r="I8" s="16" t="n">
        <v>2017</v>
      </c>
      <c r="J8" s="16" t="s">
        <v>100</v>
      </c>
      <c r="K8" s="16" t="s">
        <v>73</v>
      </c>
      <c r="L8" s="16" t="s">
        <v>94</v>
      </c>
      <c r="M8" s="18" t="str">
        <f aca="false">IF(OR(C8="",D8=""),"",IF(MOD(COUNTIFS($C$2:C8,C8,$D$2:D8,D8)*7,10)&lt;3,"teste","treino"))</f>
        <v>treino</v>
      </c>
      <c r="N8" s="16" t="s">
        <v>74</v>
      </c>
      <c r="O8" s="16" t="s">
        <v>75</v>
      </c>
      <c r="P8" s="16" t="s">
        <v>76</v>
      </c>
      <c r="Q8" s="17" t="s">
        <v>101</v>
      </c>
    </row>
    <row r="9" customFormat="false" ht="15" hidden="false" customHeight="false" outlineLevel="0" collapsed="false">
      <c r="A9" s="15" t="str">
        <f aca="false">IF(B9="","",ROW()-1)</f>
        <v/>
      </c>
      <c r="B9" s="16"/>
      <c r="C9" s="16"/>
      <c r="D9" s="16"/>
      <c r="E9" s="16"/>
      <c r="F9" s="17"/>
      <c r="G9" s="16"/>
      <c r="H9" s="16"/>
      <c r="I9" s="16"/>
      <c r="J9" s="16"/>
      <c r="K9" s="16"/>
      <c r="L9" s="16"/>
      <c r="M9" s="18" t="str">
        <f aca="false">IF(OR(C9="",D9=""),"",IF(MOD(COUNTIFS($C$2:C9,C9,$D$2:D9,D9)*7,10)&lt;3,"teste","treino"))</f>
        <v/>
      </c>
      <c r="N9" s="16"/>
      <c r="O9" s="16"/>
      <c r="P9" s="16"/>
      <c r="Q9" s="17"/>
    </row>
    <row r="10" customFormat="false" ht="15" hidden="false" customHeight="false" outlineLevel="0" collapsed="false">
      <c r="A10" s="15" t="str">
        <f aca="false">IF(B10="","",ROW()-1)</f>
        <v/>
      </c>
      <c r="B10" s="16"/>
      <c r="C10" s="16"/>
      <c r="D10" s="16"/>
      <c r="E10" s="16"/>
      <c r="F10" s="17"/>
      <c r="G10" s="16"/>
      <c r="H10" s="16"/>
      <c r="I10" s="16"/>
      <c r="J10" s="16"/>
      <c r="K10" s="16"/>
      <c r="L10" s="16"/>
      <c r="M10" s="18" t="str">
        <f aca="false">IF(OR(C10="",D10=""),"",IF(MOD(COUNTIFS($C$2:C10,C10,$D$2:D10,D10)*7,10)&lt;3,"teste","treino"))</f>
        <v/>
      </c>
      <c r="N10" s="16"/>
      <c r="O10" s="16"/>
      <c r="P10" s="16"/>
      <c r="Q10" s="17"/>
    </row>
    <row r="11" customFormat="false" ht="15" hidden="false" customHeight="false" outlineLevel="0" collapsed="false">
      <c r="A11" s="15" t="str">
        <f aca="false">IF(B11="","",ROW()-1)</f>
        <v/>
      </c>
      <c r="B11" s="16"/>
      <c r="C11" s="16"/>
      <c r="D11" s="16"/>
      <c r="E11" s="16"/>
      <c r="F11" s="17"/>
      <c r="G11" s="16"/>
      <c r="H11" s="16"/>
      <c r="I11" s="16"/>
      <c r="J11" s="16"/>
      <c r="K11" s="16"/>
      <c r="L11" s="16"/>
      <c r="M11" s="18" t="str">
        <f aca="false">IF(OR(C11="",D11=""),"",IF(MOD(COUNTIFS($C$2:C11,C11,$D$2:D11,D11)*7,10)&lt;3,"teste","treino"))</f>
        <v/>
      </c>
      <c r="N11" s="16"/>
      <c r="O11" s="16"/>
      <c r="P11" s="16"/>
      <c r="Q11" s="17"/>
    </row>
    <row r="12" customFormat="false" ht="15" hidden="false" customHeight="false" outlineLevel="0" collapsed="false">
      <c r="A12" s="15" t="str">
        <f aca="false">IF(B12="","",ROW()-1)</f>
        <v/>
      </c>
      <c r="B12" s="16"/>
      <c r="C12" s="16"/>
      <c r="D12" s="16"/>
      <c r="E12" s="16"/>
      <c r="F12" s="17"/>
      <c r="G12" s="16"/>
      <c r="H12" s="16"/>
      <c r="I12" s="16"/>
      <c r="J12" s="16"/>
      <c r="K12" s="16"/>
      <c r="L12" s="16"/>
      <c r="M12" s="18" t="str">
        <f aca="false">IF(OR(C12="",D12=""),"",IF(MOD(COUNTIFS($C$2:C12,C12,$D$2:D12,D12)*7,10)&lt;3,"teste","treino"))</f>
        <v/>
      </c>
      <c r="N12" s="16"/>
      <c r="O12" s="16"/>
      <c r="P12" s="16"/>
      <c r="Q12" s="17"/>
    </row>
    <row r="13" customFormat="false" ht="15" hidden="false" customHeight="false" outlineLevel="0" collapsed="false">
      <c r="A13" s="15" t="str">
        <f aca="false">IF(B13="","",ROW()-1)</f>
        <v/>
      </c>
      <c r="B13" s="16"/>
      <c r="C13" s="16"/>
      <c r="D13" s="16"/>
      <c r="E13" s="16"/>
      <c r="F13" s="17"/>
      <c r="G13" s="16"/>
      <c r="H13" s="16"/>
      <c r="I13" s="16"/>
      <c r="J13" s="16"/>
      <c r="K13" s="16"/>
      <c r="L13" s="16"/>
      <c r="M13" s="18" t="str">
        <f aca="false">IF(OR(C13="",D13=""),"",IF(MOD(COUNTIFS($C$2:C13,C13,$D$2:D13,D13)*7,10)&lt;3,"teste","treino"))</f>
        <v/>
      </c>
      <c r="N13" s="16"/>
      <c r="O13" s="16"/>
      <c r="P13" s="16"/>
      <c r="Q13" s="17"/>
    </row>
    <row r="14" customFormat="false" ht="15" hidden="false" customHeight="false" outlineLevel="0" collapsed="false">
      <c r="A14" s="15" t="str">
        <f aca="false">IF(B14="","",ROW()-1)</f>
        <v/>
      </c>
      <c r="B14" s="16"/>
      <c r="C14" s="16"/>
      <c r="D14" s="16"/>
      <c r="E14" s="16"/>
      <c r="F14" s="17"/>
      <c r="G14" s="16"/>
      <c r="H14" s="16"/>
      <c r="I14" s="16"/>
      <c r="J14" s="16"/>
      <c r="K14" s="16"/>
      <c r="L14" s="16"/>
      <c r="M14" s="18" t="str">
        <f aca="false">IF(OR(C14="",D14=""),"",IF(MOD(COUNTIFS($C$2:C14,C14,$D$2:D14,D14)*7,10)&lt;3,"teste","treino"))</f>
        <v/>
      </c>
      <c r="N14" s="16"/>
      <c r="O14" s="16"/>
      <c r="P14" s="16"/>
      <c r="Q14" s="17"/>
    </row>
    <row r="15" customFormat="false" ht="15" hidden="false" customHeight="false" outlineLevel="0" collapsed="false">
      <c r="A15" s="15" t="str">
        <f aca="false">IF(B15="","",ROW()-1)</f>
        <v/>
      </c>
      <c r="B15" s="16"/>
      <c r="C15" s="16"/>
      <c r="D15" s="16"/>
      <c r="E15" s="16"/>
      <c r="F15" s="17"/>
      <c r="G15" s="16"/>
      <c r="H15" s="16"/>
      <c r="I15" s="16"/>
      <c r="J15" s="16"/>
      <c r="K15" s="16"/>
      <c r="L15" s="16"/>
      <c r="M15" s="18" t="str">
        <f aca="false">IF(OR(C15="",D15=""),"",IF(MOD(COUNTIFS($C$2:C15,C15,$D$2:D15,D15)*7,10)&lt;3,"teste","treino"))</f>
        <v/>
      </c>
      <c r="N15" s="16"/>
      <c r="O15" s="16"/>
      <c r="P15" s="16"/>
      <c r="Q15" s="17"/>
    </row>
    <row r="16" customFormat="false" ht="15" hidden="false" customHeight="false" outlineLevel="0" collapsed="false">
      <c r="A16" s="15" t="str">
        <f aca="false">IF(B16="","",ROW()-1)</f>
        <v/>
      </c>
      <c r="B16" s="16"/>
      <c r="C16" s="16"/>
      <c r="D16" s="16"/>
      <c r="E16" s="16"/>
      <c r="F16" s="17"/>
      <c r="G16" s="16"/>
      <c r="H16" s="16"/>
      <c r="I16" s="16"/>
      <c r="J16" s="16"/>
      <c r="K16" s="16"/>
      <c r="L16" s="16"/>
      <c r="M16" s="18" t="str">
        <f aca="false">IF(OR(C16="",D16=""),"",IF(MOD(COUNTIFS($C$2:C16,C16,$D$2:D16,D16)*7,10)&lt;3,"teste","treino"))</f>
        <v/>
      </c>
      <c r="N16" s="16"/>
      <c r="O16" s="16"/>
      <c r="P16" s="16"/>
      <c r="Q16" s="17"/>
    </row>
    <row r="17" customFormat="false" ht="15" hidden="false" customHeight="false" outlineLevel="0" collapsed="false">
      <c r="A17" s="15" t="str">
        <f aca="false">IF(B17="","",ROW()-1)</f>
        <v/>
      </c>
      <c r="B17" s="16"/>
      <c r="C17" s="16"/>
      <c r="D17" s="16"/>
      <c r="E17" s="16"/>
      <c r="F17" s="17"/>
      <c r="G17" s="16"/>
      <c r="H17" s="16"/>
      <c r="I17" s="16"/>
      <c r="J17" s="16"/>
      <c r="K17" s="16"/>
      <c r="L17" s="16"/>
      <c r="M17" s="18" t="str">
        <f aca="false">IF(OR(C17="",D17=""),"",IF(MOD(COUNTIFS($C$2:C17,C17,$D$2:D17,D17)*7,10)&lt;3,"teste","treino"))</f>
        <v/>
      </c>
      <c r="N17" s="16"/>
      <c r="O17" s="16"/>
      <c r="P17" s="16"/>
      <c r="Q17" s="17"/>
    </row>
    <row r="18" customFormat="false" ht="15" hidden="false" customHeight="false" outlineLevel="0" collapsed="false">
      <c r="A18" s="15" t="str">
        <f aca="false">IF(B18="","",ROW()-1)</f>
        <v/>
      </c>
      <c r="B18" s="16"/>
      <c r="C18" s="16"/>
      <c r="D18" s="16"/>
      <c r="E18" s="16"/>
      <c r="F18" s="17"/>
      <c r="G18" s="16"/>
      <c r="H18" s="16"/>
      <c r="I18" s="16"/>
      <c r="J18" s="16"/>
      <c r="K18" s="16"/>
      <c r="L18" s="16"/>
      <c r="M18" s="18" t="str">
        <f aca="false">IF(OR(C18="",D18=""),"",IF(MOD(COUNTIFS($C$2:C18,C18,$D$2:D18,D18)*7,10)&lt;3,"teste","treino"))</f>
        <v/>
      </c>
      <c r="N18" s="16"/>
      <c r="O18" s="16"/>
      <c r="P18" s="16"/>
      <c r="Q18" s="17"/>
    </row>
    <row r="19" customFormat="false" ht="15" hidden="false" customHeight="false" outlineLevel="0" collapsed="false">
      <c r="A19" s="15" t="str">
        <f aca="false">IF(B19="","",ROW()-1)</f>
        <v/>
      </c>
      <c r="B19" s="16"/>
      <c r="C19" s="16"/>
      <c r="D19" s="16"/>
      <c r="E19" s="16"/>
      <c r="F19" s="17"/>
      <c r="G19" s="16"/>
      <c r="H19" s="16"/>
      <c r="I19" s="16"/>
      <c r="J19" s="16"/>
      <c r="K19" s="16"/>
      <c r="L19" s="16"/>
      <c r="M19" s="18" t="str">
        <f aca="false">IF(OR(C19="",D19=""),"",IF(MOD(COUNTIFS($C$2:C19,C19,$D$2:D19,D19)*7,10)&lt;3,"teste","treino"))</f>
        <v/>
      </c>
      <c r="N19" s="16"/>
      <c r="O19" s="16"/>
      <c r="P19" s="16"/>
      <c r="Q19" s="17"/>
    </row>
    <row r="20" customFormat="false" ht="15" hidden="false" customHeight="false" outlineLevel="0" collapsed="false">
      <c r="A20" s="15" t="str">
        <f aca="false">IF(B20="","",ROW()-1)</f>
        <v/>
      </c>
      <c r="B20" s="16"/>
      <c r="C20" s="16"/>
      <c r="D20" s="16"/>
      <c r="E20" s="16"/>
      <c r="F20" s="17"/>
      <c r="G20" s="16"/>
      <c r="H20" s="16"/>
      <c r="I20" s="16"/>
      <c r="J20" s="16"/>
      <c r="K20" s="16"/>
      <c r="L20" s="16"/>
      <c r="M20" s="18" t="str">
        <f aca="false">IF(OR(C20="",D20=""),"",IF(MOD(COUNTIFS($C$2:C20,C20,$D$2:D20,D20)*7,10)&lt;3,"teste","treino"))</f>
        <v/>
      </c>
      <c r="N20" s="16"/>
      <c r="O20" s="16"/>
      <c r="P20" s="16"/>
      <c r="Q20" s="17"/>
    </row>
    <row r="21" customFormat="false" ht="15" hidden="false" customHeight="false" outlineLevel="0" collapsed="false">
      <c r="A21" s="15" t="str">
        <f aca="false">IF(B21="","",ROW()-1)</f>
        <v/>
      </c>
      <c r="B21" s="16"/>
      <c r="C21" s="16"/>
      <c r="D21" s="16"/>
      <c r="E21" s="16"/>
      <c r="F21" s="17"/>
      <c r="G21" s="16"/>
      <c r="H21" s="16"/>
      <c r="I21" s="16"/>
      <c r="J21" s="16"/>
      <c r="K21" s="16"/>
      <c r="L21" s="16"/>
      <c r="M21" s="18" t="str">
        <f aca="false">IF(OR(C21="",D21=""),"",IF(MOD(COUNTIFS($C$2:C21,C21,$D$2:D21,D21)*7,10)&lt;3,"teste","treino"))</f>
        <v/>
      </c>
      <c r="N21" s="16"/>
      <c r="O21" s="16"/>
      <c r="P21" s="16"/>
      <c r="Q21" s="17"/>
    </row>
    <row r="22" customFormat="false" ht="15" hidden="false" customHeight="false" outlineLevel="0" collapsed="false">
      <c r="A22" s="15" t="str">
        <f aca="false">IF(B22="","",ROW()-1)</f>
        <v/>
      </c>
      <c r="B22" s="16"/>
      <c r="C22" s="16"/>
      <c r="D22" s="16"/>
      <c r="E22" s="16"/>
      <c r="F22" s="17"/>
      <c r="G22" s="16"/>
      <c r="H22" s="16"/>
      <c r="I22" s="16"/>
      <c r="J22" s="16"/>
      <c r="K22" s="16"/>
      <c r="L22" s="16"/>
      <c r="M22" s="18" t="str">
        <f aca="false">IF(OR(C22="",D22=""),"",IF(MOD(COUNTIFS($C$2:C22,C22,$D$2:D22,D22)*7,10)&lt;3,"teste","treino"))</f>
        <v/>
      </c>
      <c r="N22" s="16"/>
      <c r="O22" s="16"/>
      <c r="P22" s="16"/>
      <c r="Q22" s="17"/>
    </row>
    <row r="23" customFormat="false" ht="15" hidden="false" customHeight="false" outlineLevel="0" collapsed="false">
      <c r="A23" s="15" t="str">
        <f aca="false">IF(B23="","",ROW()-1)</f>
        <v/>
      </c>
      <c r="B23" s="16"/>
      <c r="C23" s="16"/>
      <c r="D23" s="16"/>
      <c r="E23" s="16"/>
      <c r="F23" s="17"/>
      <c r="G23" s="16"/>
      <c r="H23" s="16"/>
      <c r="I23" s="16"/>
      <c r="J23" s="16"/>
      <c r="K23" s="16"/>
      <c r="L23" s="16"/>
      <c r="M23" s="18" t="str">
        <f aca="false">IF(OR(C23="",D23=""),"",IF(MOD(COUNTIFS($C$2:C23,C23,$D$2:D23,D23)*7,10)&lt;3,"teste","treino"))</f>
        <v/>
      </c>
      <c r="N23" s="16"/>
      <c r="O23" s="16"/>
      <c r="P23" s="16"/>
      <c r="Q23" s="17"/>
    </row>
    <row r="24" customFormat="false" ht="15" hidden="false" customHeight="false" outlineLevel="0" collapsed="false">
      <c r="A24" s="15" t="str">
        <f aca="false">IF(B24="","",ROW()-1)</f>
        <v/>
      </c>
      <c r="B24" s="16"/>
      <c r="C24" s="16"/>
      <c r="D24" s="16"/>
      <c r="E24" s="16"/>
      <c r="F24" s="17"/>
      <c r="G24" s="16"/>
      <c r="H24" s="16"/>
      <c r="I24" s="16"/>
      <c r="J24" s="16"/>
      <c r="K24" s="16"/>
      <c r="L24" s="16"/>
      <c r="M24" s="18" t="str">
        <f aca="false">IF(OR(C24="",D24=""),"",IF(MOD(COUNTIFS($C$2:C24,C24,$D$2:D24,D24)*7,10)&lt;3,"teste","treino"))</f>
        <v/>
      </c>
      <c r="N24" s="16"/>
      <c r="O24" s="16"/>
      <c r="P24" s="16"/>
      <c r="Q24" s="17"/>
    </row>
    <row r="25" customFormat="false" ht="15" hidden="false" customHeight="false" outlineLevel="0" collapsed="false">
      <c r="A25" s="15" t="str">
        <f aca="false">IF(B25="","",ROW()-1)</f>
        <v/>
      </c>
      <c r="B25" s="16"/>
      <c r="C25" s="16"/>
      <c r="D25" s="16"/>
      <c r="E25" s="16"/>
      <c r="F25" s="17"/>
      <c r="G25" s="16"/>
      <c r="H25" s="16"/>
      <c r="I25" s="16"/>
      <c r="J25" s="16"/>
      <c r="K25" s="16"/>
      <c r="L25" s="16"/>
      <c r="M25" s="18" t="str">
        <f aca="false">IF(OR(C25="",D25=""),"",IF(MOD(COUNTIFS($C$2:C25,C25,$D$2:D25,D25)*7,10)&lt;3,"teste","treino"))</f>
        <v/>
      </c>
      <c r="N25" s="16"/>
      <c r="O25" s="16"/>
      <c r="P25" s="16"/>
      <c r="Q25" s="17"/>
    </row>
    <row r="26" customFormat="false" ht="15" hidden="false" customHeight="false" outlineLevel="0" collapsed="false">
      <c r="A26" s="15" t="str">
        <f aca="false">IF(B26="","",ROW()-1)</f>
        <v/>
      </c>
      <c r="B26" s="16"/>
      <c r="C26" s="16"/>
      <c r="D26" s="16"/>
      <c r="E26" s="16"/>
      <c r="F26" s="17"/>
      <c r="G26" s="16"/>
      <c r="H26" s="16"/>
      <c r="I26" s="16"/>
      <c r="J26" s="16"/>
      <c r="K26" s="16"/>
      <c r="L26" s="16"/>
      <c r="M26" s="18" t="str">
        <f aca="false">IF(OR(C26="",D26=""),"",IF(MOD(COUNTIFS($C$2:C26,C26,$D$2:D26,D26)*7,10)&lt;3,"teste","treino"))</f>
        <v/>
      </c>
      <c r="N26" s="16"/>
      <c r="O26" s="16"/>
      <c r="P26" s="16"/>
      <c r="Q26" s="17"/>
    </row>
    <row r="27" customFormat="false" ht="15" hidden="false" customHeight="false" outlineLevel="0" collapsed="false">
      <c r="A27" s="15" t="str">
        <f aca="false">IF(B27="","",ROW()-1)</f>
        <v/>
      </c>
      <c r="B27" s="16"/>
      <c r="C27" s="16"/>
      <c r="D27" s="16"/>
      <c r="E27" s="16"/>
      <c r="F27" s="17"/>
      <c r="G27" s="16"/>
      <c r="H27" s="16"/>
      <c r="I27" s="16"/>
      <c r="J27" s="16"/>
      <c r="K27" s="16"/>
      <c r="L27" s="16"/>
      <c r="M27" s="18" t="str">
        <f aca="false">IF(OR(C27="",D27=""),"",IF(MOD(COUNTIFS($C$2:C27,C27,$D$2:D27,D27)*7,10)&lt;3,"teste","treino"))</f>
        <v/>
      </c>
      <c r="N27" s="16"/>
      <c r="O27" s="16"/>
      <c r="P27" s="16"/>
      <c r="Q27" s="17"/>
    </row>
    <row r="28" customFormat="false" ht="15" hidden="false" customHeight="false" outlineLevel="0" collapsed="false">
      <c r="A28" s="15" t="str">
        <f aca="false">IF(B28="","",ROW()-1)</f>
        <v/>
      </c>
      <c r="B28" s="16"/>
      <c r="C28" s="16"/>
      <c r="D28" s="16"/>
      <c r="E28" s="16"/>
      <c r="F28" s="17"/>
      <c r="G28" s="16"/>
      <c r="H28" s="16"/>
      <c r="I28" s="16"/>
      <c r="J28" s="16"/>
      <c r="K28" s="16"/>
      <c r="L28" s="16"/>
      <c r="M28" s="18" t="str">
        <f aca="false">IF(OR(C28="",D28=""),"",IF(MOD(COUNTIFS($C$2:C28,C28,$D$2:D28,D28)*7,10)&lt;3,"teste","treino"))</f>
        <v/>
      </c>
      <c r="N28" s="16"/>
      <c r="O28" s="16"/>
      <c r="P28" s="16"/>
      <c r="Q28" s="17"/>
    </row>
    <row r="29" customFormat="false" ht="15" hidden="false" customHeight="false" outlineLevel="0" collapsed="false">
      <c r="A29" s="15" t="str">
        <f aca="false">IF(B29="","",ROW()-1)</f>
        <v/>
      </c>
      <c r="B29" s="16"/>
      <c r="C29" s="16"/>
      <c r="D29" s="16"/>
      <c r="E29" s="16"/>
      <c r="F29" s="17"/>
      <c r="G29" s="16"/>
      <c r="H29" s="16"/>
      <c r="I29" s="16"/>
      <c r="J29" s="16"/>
      <c r="K29" s="16"/>
      <c r="L29" s="16"/>
      <c r="M29" s="18" t="str">
        <f aca="false">IF(OR(C29="",D29=""),"",IF(MOD(COUNTIFS($C$2:C29,C29,$D$2:D29,D29)*7,10)&lt;3,"teste","treino"))</f>
        <v/>
      </c>
      <c r="N29" s="16"/>
      <c r="O29" s="16"/>
      <c r="P29" s="16"/>
      <c r="Q29" s="17"/>
    </row>
    <row r="30" customFormat="false" ht="15" hidden="false" customHeight="false" outlineLevel="0" collapsed="false">
      <c r="A30" s="15" t="str">
        <f aca="false">IF(B30="","",ROW()-1)</f>
        <v/>
      </c>
      <c r="B30" s="16"/>
      <c r="C30" s="16"/>
      <c r="D30" s="16"/>
      <c r="E30" s="16"/>
      <c r="F30" s="17"/>
      <c r="G30" s="16"/>
      <c r="H30" s="16"/>
      <c r="I30" s="16"/>
      <c r="J30" s="16"/>
      <c r="K30" s="16"/>
      <c r="L30" s="16"/>
      <c r="M30" s="18" t="str">
        <f aca="false">IF(OR(C30="",D30=""),"",IF(MOD(COUNTIFS($C$2:C30,C30,$D$2:D30,D30)*7,10)&lt;3,"teste","treino"))</f>
        <v/>
      </c>
      <c r="N30" s="16"/>
      <c r="O30" s="16"/>
      <c r="P30" s="16"/>
      <c r="Q30" s="17"/>
    </row>
    <row r="31" customFormat="false" ht="15" hidden="false" customHeight="false" outlineLevel="0" collapsed="false">
      <c r="A31" s="15" t="str">
        <f aca="false">IF(B31="","",ROW()-1)</f>
        <v/>
      </c>
      <c r="B31" s="16"/>
      <c r="C31" s="16"/>
      <c r="D31" s="16"/>
      <c r="E31" s="16"/>
      <c r="F31" s="17"/>
      <c r="G31" s="16"/>
      <c r="H31" s="16"/>
      <c r="I31" s="16"/>
      <c r="J31" s="16"/>
      <c r="K31" s="16"/>
      <c r="L31" s="16"/>
      <c r="M31" s="18" t="str">
        <f aca="false">IF(OR(C31="",D31=""),"",IF(MOD(COUNTIFS($C$2:C31,C31,$D$2:D31,D31)*7,10)&lt;3,"teste","treino"))</f>
        <v/>
      </c>
      <c r="N31" s="16"/>
      <c r="O31" s="16"/>
      <c r="P31" s="16"/>
      <c r="Q31" s="17"/>
    </row>
    <row r="32" customFormat="false" ht="15" hidden="false" customHeight="false" outlineLevel="0" collapsed="false">
      <c r="A32" s="15" t="str">
        <f aca="false">IF(B32="","",ROW()-1)</f>
        <v/>
      </c>
      <c r="B32" s="16"/>
      <c r="C32" s="16"/>
      <c r="D32" s="16"/>
      <c r="E32" s="16"/>
      <c r="F32" s="17"/>
      <c r="G32" s="16"/>
      <c r="H32" s="16"/>
      <c r="I32" s="16"/>
      <c r="J32" s="16"/>
      <c r="K32" s="16"/>
      <c r="L32" s="16"/>
      <c r="M32" s="18" t="str">
        <f aca="false">IF(OR(C32="",D32=""),"",IF(MOD(COUNTIFS($C$2:C32,C32,$D$2:D32,D32)*7,10)&lt;3,"teste","treino"))</f>
        <v/>
      </c>
      <c r="N32" s="16"/>
      <c r="O32" s="16"/>
      <c r="P32" s="16"/>
      <c r="Q32" s="17"/>
    </row>
    <row r="33" customFormat="false" ht="15" hidden="false" customHeight="false" outlineLevel="0" collapsed="false">
      <c r="A33" s="15" t="str">
        <f aca="false">IF(B33="","",ROW()-1)</f>
        <v/>
      </c>
      <c r="B33" s="16"/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8" t="str">
        <f aca="false">IF(OR(C33="",D33=""),"",IF(MOD(COUNTIFS($C$2:C33,C33,$D$2:D33,D33)*7,10)&lt;3,"teste","treino"))</f>
        <v/>
      </c>
      <c r="N33" s="16"/>
      <c r="O33" s="16"/>
      <c r="P33" s="16"/>
      <c r="Q33" s="17"/>
    </row>
    <row r="34" customFormat="false" ht="15" hidden="false" customHeight="false" outlineLevel="0" collapsed="false">
      <c r="A34" s="15" t="str">
        <f aca="false">IF(B34="","",ROW()-1)</f>
        <v/>
      </c>
      <c r="B34" s="16"/>
      <c r="C34" s="16"/>
      <c r="D34" s="16"/>
      <c r="E34" s="16"/>
      <c r="F34" s="17"/>
      <c r="G34" s="16"/>
      <c r="H34" s="16"/>
      <c r="I34" s="16"/>
      <c r="J34" s="16"/>
      <c r="K34" s="16"/>
      <c r="L34" s="16"/>
      <c r="M34" s="18" t="str">
        <f aca="false">IF(OR(C34="",D34=""),"",IF(MOD(COUNTIFS($C$2:C34,C34,$D$2:D34,D34)*7,10)&lt;3,"teste","treino"))</f>
        <v/>
      </c>
      <c r="N34" s="16"/>
      <c r="O34" s="16"/>
      <c r="P34" s="16"/>
      <c r="Q34" s="17"/>
    </row>
    <row r="35" customFormat="false" ht="15" hidden="false" customHeight="false" outlineLevel="0" collapsed="false">
      <c r="A35" s="15" t="str">
        <f aca="false">IF(B35="","",ROW()-1)</f>
        <v/>
      </c>
      <c r="B35" s="16"/>
      <c r="C35" s="16"/>
      <c r="D35" s="16"/>
      <c r="E35" s="16"/>
      <c r="F35" s="17"/>
      <c r="G35" s="16"/>
      <c r="H35" s="16"/>
      <c r="I35" s="16"/>
      <c r="J35" s="16"/>
      <c r="K35" s="16"/>
      <c r="L35" s="16"/>
      <c r="M35" s="18" t="str">
        <f aca="false">IF(OR(C35="",D35=""),"",IF(MOD(COUNTIFS($C$2:C35,C35,$D$2:D35,D35)*7,10)&lt;3,"teste","treino"))</f>
        <v/>
      </c>
      <c r="N35" s="16"/>
      <c r="O35" s="16"/>
      <c r="P35" s="16"/>
      <c r="Q35" s="17"/>
    </row>
    <row r="36" customFormat="false" ht="15" hidden="false" customHeight="false" outlineLevel="0" collapsed="false">
      <c r="A36" s="15" t="str">
        <f aca="false">IF(B36="","",ROW()-1)</f>
        <v/>
      </c>
      <c r="B36" s="16"/>
      <c r="C36" s="16"/>
      <c r="D36" s="16"/>
      <c r="E36" s="16"/>
      <c r="F36" s="17"/>
      <c r="G36" s="16"/>
      <c r="H36" s="16"/>
      <c r="I36" s="16"/>
      <c r="J36" s="16"/>
      <c r="K36" s="16"/>
      <c r="L36" s="16"/>
      <c r="M36" s="18" t="str">
        <f aca="false">IF(OR(C36="",D36=""),"",IF(MOD(COUNTIFS($C$2:C36,C36,$D$2:D36,D36)*7,10)&lt;3,"teste","treino"))</f>
        <v/>
      </c>
      <c r="N36" s="16"/>
      <c r="O36" s="16"/>
      <c r="P36" s="16"/>
      <c r="Q36" s="17"/>
    </row>
    <row r="37" customFormat="false" ht="15" hidden="false" customHeight="false" outlineLevel="0" collapsed="false">
      <c r="A37" s="15" t="str">
        <f aca="false">IF(B37="","",ROW()-1)</f>
        <v/>
      </c>
      <c r="B37" s="16"/>
      <c r="C37" s="16"/>
      <c r="D37" s="16"/>
      <c r="E37" s="16"/>
      <c r="F37" s="17"/>
      <c r="G37" s="16"/>
      <c r="H37" s="16"/>
      <c r="I37" s="16"/>
      <c r="J37" s="16"/>
      <c r="K37" s="16"/>
      <c r="L37" s="16"/>
      <c r="M37" s="18" t="str">
        <f aca="false">IF(OR(C37="",D37=""),"",IF(MOD(COUNTIFS($C$2:C37,C37,$D$2:D37,D37)*7,10)&lt;3,"teste","treino"))</f>
        <v/>
      </c>
      <c r="N37" s="16"/>
      <c r="O37" s="16"/>
      <c r="P37" s="16"/>
      <c r="Q37" s="17"/>
    </row>
    <row r="38" customFormat="false" ht="15" hidden="false" customHeight="false" outlineLevel="0" collapsed="false">
      <c r="A38" s="15" t="str">
        <f aca="false">IF(B38="","",ROW()-1)</f>
        <v/>
      </c>
      <c r="B38" s="16"/>
      <c r="C38" s="16"/>
      <c r="D38" s="16"/>
      <c r="E38" s="16"/>
      <c r="F38" s="17"/>
      <c r="G38" s="16"/>
      <c r="H38" s="16"/>
      <c r="I38" s="16"/>
      <c r="J38" s="16"/>
      <c r="K38" s="16"/>
      <c r="L38" s="16"/>
      <c r="M38" s="18" t="str">
        <f aca="false">IF(OR(C38="",D38=""),"",IF(MOD(COUNTIFS($C$2:C38,C38,$D$2:D38,D38)*7,10)&lt;3,"teste","treino"))</f>
        <v/>
      </c>
      <c r="N38" s="16"/>
      <c r="O38" s="16"/>
      <c r="P38" s="16"/>
      <c r="Q38" s="17"/>
    </row>
    <row r="39" customFormat="false" ht="15" hidden="false" customHeight="false" outlineLevel="0" collapsed="false">
      <c r="A39" s="15" t="str">
        <f aca="false">IF(B39="","",ROW()-1)</f>
        <v/>
      </c>
      <c r="B39" s="16"/>
      <c r="C39" s="16"/>
      <c r="D39" s="16"/>
      <c r="E39" s="16"/>
      <c r="F39" s="17"/>
      <c r="G39" s="16"/>
      <c r="H39" s="16"/>
      <c r="I39" s="16"/>
      <c r="J39" s="16"/>
      <c r="K39" s="16"/>
      <c r="L39" s="16"/>
      <c r="M39" s="18" t="str">
        <f aca="false">IF(OR(C39="",D39=""),"",IF(MOD(COUNTIFS($C$2:C39,C39,$D$2:D39,D39)*7,10)&lt;3,"teste","treino"))</f>
        <v/>
      </c>
      <c r="N39" s="16"/>
      <c r="O39" s="16"/>
      <c r="P39" s="16"/>
      <c r="Q39" s="17"/>
    </row>
    <row r="40" customFormat="false" ht="15" hidden="false" customHeight="false" outlineLevel="0" collapsed="false">
      <c r="A40" s="15" t="str">
        <f aca="false">IF(B40="","",ROW()-1)</f>
        <v/>
      </c>
      <c r="B40" s="16"/>
      <c r="C40" s="16"/>
      <c r="D40" s="16"/>
      <c r="E40" s="16"/>
      <c r="F40" s="17"/>
      <c r="G40" s="16"/>
      <c r="H40" s="16"/>
      <c r="I40" s="16"/>
      <c r="J40" s="16"/>
      <c r="K40" s="16"/>
      <c r="L40" s="16"/>
      <c r="M40" s="18" t="str">
        <f aca="false">IF(OR(C40="",D40=""),"",IF(MOD(COUNTIFS($C$2:C40,C40,$D$2:D40,D40)*7,10)&lt;3,"teste","treino"))</f>
        <v/>
      </c>
      <c r="N40" s="16"/>
      <c r="O40" s="16"/>
      <c r="P40" s="16"/>
      <c r="Q40" s="17"/>
    </row>
    <row r="41" customFormat="false" ht="15" hidden="false" customHeight="false" outlineLevel="0" collapsed="false">
      <c r="A41" s="15" t="str">
        <f aca="false">IF(B41="","",ROW()-1)</f>
        <v/>
      </c>
      <c r="B41" s="16"/>
      <c r="C41" s="16"/>
      <c r="D41" s="16"/>
      <c r="E41" s="16"/>
      <c r="F41" s="17"/>
      <c r="G41" s="16"/>
      <c r="H41" s="16"/>
      <c r="I41" s="16"/>
      <c r="J41" s="16"/>
      <c r="K41" s="16"/>
      <c r="L41" s="16"/>
      <c r="M41" s="18" t="str">
        <f aca="false">IF(OR(C41="",D41=""),"",IF(MOD(COUNTIFS($C$2:C41,C41,$D$2:D41,D41)*7,10)&lt;3,"teste","treino"))</f>
        <v/>
      </c>
      <c r="N41" s="16"/>
      <c r="O41" s="16"/>
      <c r="P41" s="16"/>
      <c r="Q41" s="17"/>
    </row>
    <row r="42" customFormat="false" ht="15" hidden="false" customHeight="false" outlineLevel="0" collapsed="false">
      <c r="A42" s="15" t="str">
        <f aca="false">IF(B42="","",ROW()-1)</f>
        <v/>
      </c>
      <c r="B42" s="16"/>
      <c r="C42" s="16"/>
      <c r="D42" s="16"/>
      <c r="E42" s="16"/>
      <c r="F42" s="17"/>
      <c r="G42" s="16"/>
      <c r="H42" s="16"/>
      <c r="I42" s="16"/>
      <c r="J42" s="16"/>
      <c r="K42" s="16"/>
      <c r="L42" s="16"/>
      <c r="M42" s="18" t="str">
        <f aca="false">IF(OR(C42="",D42=""),"",IF(MOD(COUNTIFS($C$2:C42,C42,$D$2:D42,D42)*7,10)&lt;3,"teste","treino"))</f>
        <v/>
      </c>
      <c r="N42" s="16"/>
      <c r="O42" s="16"/>
      <c r="P42" s="16"/>
      <c r="Q42" s="17"/>
    </row>
    <row r="43" customFormat="false" ht="15" hidden="false" customHeight="false" outlineLevel="0" collapsed="false">
      <c r="A43" s="15" t="str">
        <f aca="false">IF(B43="","",ROW()-1)</f>
        <v/>
      </c>
      <c r="B43" s="16"/>
      <c r="C43" s="16"/>
      <c r="D43" s="16"/>
      <c r="E43" s="16"/>
      <c r="F43" s="17"/>
      <c r="G43" s="16"/>
      <c r="H43" s="16"/>
      <c r="I43" s="16"/>
      <c r="J43" s="16"/>
      <c r="K43" s="16"/>
      <c r="L43" s="16"/>
      <c r="M43" s="18" t="str">
        <f aca="false">IF(OR(C43="",D43=""),"",IF(MOD(COUNTIFS($C$2:C43,C43,$D$2:D43,D43)*7,10)&lt;3,"teste","treino"))</f>
        <v/>
      </c>
      <c r="N43" s="16"/>
      <c r="O43" s="16"/>
      <c r="P43" s="16"/>
      <c r="Q43" s="17"/>
    </row>
    <row r="44" customFormat="false" ht="15" hidden="false" customHeight="false" outlineLevel="0" collapsed="false">
      <c r="A44" s="15" t="str">
        <f aca="false">IF(B44="","",ROW()-1)</f>
        <v/>
      </c>
      <c r="B44" s="16"/>
      <c r="C44" s="16"/>
      <c r="D44" s="16"/>
      <c r="E44" s="16"/>
      <c r="F44" s="17"/>
      <c r="G44" s="16"/>
      <c r="H44" s="16"/>
      <c r="I44" s="16"/>
      <c r="J44" s="16"/>
      <c r="K44" s="16"/>
      <c r="L44" s="16"/>
      <c r="M44" s="18" t="str">
        <f aca="false">IF(OR(C44="",D44=""),"",IF(MOD(COUNTIFS($C$2:C44,C44,$D$2:D44,D44)*7,10)&lt;3,"teste","treino"))</f>
        <v/>
      </c>
      <c r="N44" s="16"/>
      <c r="O44" s="16"/>
      <c r="P44" s="16"/>
      <c r="Q44" s="17"/>
    </row>
    <row r="45" customFormat="false" ht="15" hidden="false" customHeight="false" outlineLevel="0" collapsed="false">
      <c r="A45" s="15" t="str">
        <f aca="false">IF(B45="","",ROW()-1)</f>
        <v/>
      </c>
      <c r="B45" s="16"/>
      <c r="C45" s="16"/>
      <c r="D45" s="16"/>
      <c r="E45" s="16"/>
      <c r="F45" s="17"/>
      <c r="G45" s="16"/>
      <c r="H45" s="16"/>
      <c r="I45" s="16"/>
      <c r="J45" s="16"/>
      <c r="K45" s="16"/>
      <c r="L45" s="16"/>
      <c r="M45" s="18" t="str">
        <f aca="false">IF(OR(C45="",D45=""),"",IF(MOD(COUNTIFS($C$2:C45,C45,$D$2:D45,D45)*7,10)&lt;3,"teste","treino"))</f>
        <v/>
      </c>
      <c r="N45" s="16"/>
      <c r="O45" s="16"/>
      <c r="P45" s="16"/>
      <c r="Q45" s="17"/>
    </row>
    <row r="46" customFormat="false" ht="15" hidden="false" customHeight="false" outlineLevel="0" collapsed="false">
      <c r="A46" s="15" t="str">
        <f aca="false">IF(B46="","",ROW()-1)</f>
        <v/>
      </c>
      <c r="B46" s="16"/>
      <c r="C46" s="16"/>
      <c r="D46" s="16"/>
      <c r="E46" s="16"/>
      <c r="F46" s="17"/>
      <c r="G46" s="16"/>
      <c r="H46" s="16"/>
      <c r="I46" s="16"/>
      <c r="J46" s="16"/>
      <c r="K46" s="16"/>
      <c r="L46" s="16"/>
      <c r="M46" s="18" t="str">
        <f aca="false">IF(OR(C46="",D46=""),"",IF(MOD(COUNTIFS($C$2:C46,C46,$D$2:D46,D46)*7,10)&lt;3,"teste","treino"))</f>
        <v/>
      </c>
      <c r="N46" s="16"/>
      <c r="O46" s="16"/>
      <c r="P46" s="16"/>
      <c r="Q46" s="17"/>
    </row>
    <row r="47" customFormat="false" ht="15" hidden="false" customHeight="false" outlineLevel="0" collapsed="false">
      <c r="A47" s="15" t="str">
        <f aca="false">IF(B47="","",ROW()-1)</f>
        <v/>
      </c>
      <c r="B47" s="16"/>
      <c r="C47" s="16"/>
      <c r="D47" s="16"/>
      <c r="E47" s="16"/>
      <c r="F47" s="17"/>
      <c r="G47" s="16"/>
      <c r="H47" s="16"/>
      <c r="I47" s="16"/>
      <c r="J47" s="16"/>
      <c r="K47" s="16"/>
      <c r="L47" s="16"/>
      <c r="M47" s="18" t="str">
        <f aca="false">IF(OR(C47="",D47=""),"",IF(MOD(COUNTIFS($C$2:C47,C47,$D$2:D47,D47)*7,10)&lt;3,"teste","treino"))</f>
        <v/>
      </c>
      <c r="N47" s="16"/>
      <c r="O47" s="16"/>
      <c r="P47" s="16"/>
      <c r="Q47" s="17"/>
    </row>
    <row r="48" customFormat="false" ht="15" hidden="false" customHeight="false" outlineLevel="0" collapsed="false">
      <c r="A48" s="15" t="str">
        <f aca="false">IF(B48="","",ROW()-1)</f>
        <v/>
      </c>
      <c r="B48" s="16"/>
      <c r="C48" s="16"/>
      <c r="D48" s="16"/>
      <c r="E48" s="16"/>
      <c r="F48" s="17"/>
      <c r="G48" s="16"/>
      <c r="H48" s="16"/>
      <c r="I48" s="16"/>
      <c r="J48" s="16"/>
      <c r="K48" s="16"/>
      <c r="L48" s="16"/>
      <c r="M48" s="18" t="str">
        <f aca="false">IF(OR(C48="",D48=""),"",IF(MOD(COUNTIFS($C$2:C48,C48,$D$2:D48,D48)*7,10)&lt;3,"teste","treino"))</f>
        <v/>
      </c>
      <c r="N48" s="16"/>
      <c r="O48" s="16"/>
      <c r="P48" s="16"/>
      <c r="Q48" s="17"/>
    </row>
    <row r="49" customFormat="false" ht="15" hidden="false" customHeight="false" outlineLevel="0" collapsed="false">
      <c r="A49" s="15" t="str">
        <f aca="false">IF(B49="","",ROW()-1)</f>
        <v/>
      </c>
      <c r="B49" s="16"/>
      <c r="C49" s="16"/>
      <c r="D49" s="16"/>
      <c r="E49" s="16"/>
      <c r="F49" s="17"/>
      <c r="G49" s="16"/>
      <c r="H49" s="16"/>
      <c r="I49" s="16"/>
      <c r="J49" s="16"/>
      <c r="K49" s="16"/>
      <c r="L49" s="16"/>
      <c r="M49" s="18" t="str">
        <f aca="false">IF(OR(C49="",D49=""),"",IF(MOD(COUNTIFS($C$2:C49,C49,$D$2:D49,D49)*7,10)&lt;3,"teste","treino"))</f>
        <v/>
      </c>
      <c r="N49" s="16"/>
      <c r="O49" s="16"/>
      <c r="P49" s="16"/>
      <c r="Q49" s="17"/>
    </row>
    <row r="50" customFormat="false" ht="15" hidden="false" customHeight="false" outlineLevel="0" collapsed="false">
      <c r="A50" s="15" t="str">
        <f aca="false">IF(B50="","",ROW()-1)</f>
        <v/>
      </c>
      <c r="B50" s="16"/>
      <c r="C50" s="16"/>
      <c r="D50" s="16"/>
      <c r="E50" s="16"/>
      <c r="F50" s="17"/>
      <c r="G50" s="16"/>
      <c r="H50" s="16"/>
      <c r="I50" s="16"/>
      <c r="J50" s="16"/>
      <c r="K50" s="16"/>
      <c r="L50" s="16"/>
      <c r="M50" s="18" t="str">
        <f aca="false">IF(OR(C50="",D50=""),"",IF(MOD(COUNTIFS($C$2:C50,C50,$D$2:D50,D50)*7,10)&lt;3,"teste","treino"))</f>
        <v/>
      </c>
      <c r="N50" s="16"/>
      <c r="O50" s="16"/>
      <c r="P50" s="16"/>
      <c r="Q50" s="17"/>
    </row>
    <row r="51" customFormat="false" ht="15" hidden="false" customHeight="false" outlineLevel="0" collapsed="false">
      <c r="A51" s="15" t="str">
        <f aca="false">IF(B51="","",ROW()-1)</f>
        <v/>
      </c>
      <c r="B51" s="16"/>
      <c r="C51" s="16"/>
      <c r="D51" s="16"/>
      <c r="E51" s="16"/>
      <c r="F51" s="17"/>
      <c r="G51" s="16"/>
      <c r="H51" s="16"/>
      <c r="I51" s="16"/>
      <c r="J51" s="16"/>
      <c r="K51" s="16"/>
      <c r="L51" s="16"/>
      <c r="M51" s="18" t="str">
        <f aca="false">IF(OR(C51="",D51=""),"",IF(MOD(COUNTIFS($C$2:C51,C51,$D$2:D51,D51)*7,10)&lt;3,"teste","treino"))</f>
        <v/>
      </c>
      <c r="N51" s="16"/>
      <c r="O51" s="16"/>
      <c r="P51" s="16"/>
      <c r="Q51" s="17"/>
    </row>
    <row r="52" customFormat="false" ht="15" hidden="false" customHeight="false" outlineLevel="0" collapsed="false">
      <c r="A52" s="15" t="str">
        <f aca="false">IF(B52="","",ROW()-1)</f>
        <v/>
      </c>
      <c r="B52" s="16"/>
      <c r="C52" s="16"/>
      <c r="D52" s="16"/>
      <c r="E52" s="16"/>
      <c r="F52" s="17"/>
      <c r="G52" s="16"/>
      <c r="H52" s="16"/>
      <c r="I52" s="16"/>
      <c r="J52" s="16"/>
      <c r="K52" s="16"/>
      <c r="L52" s="16"/>
      <c r="M52" s="18" t="str">
        <f aca="false">IF(OR(C52="",D52=""),"",IF(MOD(COUNTIFS($C$2:C52,C52,$D$2:D52,D52)*7,10)&lt;3,"teste","treino"))</f>
        <v/>
      </c>
      <c r="N52" s="16"/>
      <c r="O52" s="16"/>
      <c r="P52" s="16"/>
      <c r="Q52" s="17"/>
    </row>
    <row r="53" customFormat="false" ht="15" hidden="false" customHeight="false" outlineLevel="0" collapsed="false">
      <c r="A53" s="15" t="str">
        <f aca="false">IF(B53="","",ROW()-1)</f>
        <v/>
      </c>
      <c r="B53" s="16"/>
      <c r="C53" s="16"/>
      <c r="D53" s="16"/>
      <c r="E53" s="16"/>
      <c r="F53" s="17"/>
      <c r="G53" s="16"/>
      <c r="H53" s="16"/>
      <c r="I53" s="16"/>
      <c r="J53" s="16"/>
      <c r="K53" s="16"/>
      <c r="L53" s="16"/>
      <c r="M53" s="18" t="str">
        <f aca="false">IF(OR(C53="",D53=""),"",IF(MOD(COUNTIFS($C$2:C53,C53,$D$2:D53,D53)*7,10)&lt;3,"teste","treino"))</f>
        <v/>
      </c>
      <c r="N53" s="16"/>
      <c r="O53" s="16"/>
      <c r="P53" s="16"/>
      <c r="Q53" s="17"/>
    </row>
    <row r="54" customFormat="false" ht="15" hidden="false" customHeight="false" outlineLevel="0" collapsed="false">
      <c r="A54" s="15" t="str">
        <f aca="false">IF(B54="","",ROW()-1)</f>
        <v/>
      </c>
      <c r="B54" s="16"/>
      <c r="C54" s="16"/>
      <c r="D54" s="16"/>
      <c r="E54" s="16"/>
      <c r="F54" s="17"/>
      <c r="G54" s="16"/>
      <c r="H54" s="16"/>
      <c r="I54" s="16"/>
      <c r="J54" s="16"/>
      <c r="K54" s="16"/>
      <c r="L54" s="16"/>
      <c r="M54" s="18" t="str">
        <f aca="false">IF(OR(C54="",D54=""),"",IF(MOD(COUNTIFS($C$2:C54,C54,$D$2:D54,D54)*7,10)&lt;3,"teste","treino"))</f>
        <v/>
      </c>
      <c r="N54" s="16"/>
      <c r="O54" s="16"/>
      <c r="P54" s="16"/>
      <c r="Q54" s="17"/>
    </row>
    <row r="55" customFormat="false" ht="15" hidden="false" customHeight="false" outlineLevel="0" collapsed="false">
      <c r="A55" s="15" t="str">
        <f aca="false">IF(B55="","",ROW()-1)</f>
        <v/>
      </c>
      <c r="B55" s="16"/>
      <c r="C55" s="16"/>
      <c r="D55" s="16"/>
      <c r="E55" s="16"/>
      <c r="F55" s="17"/>
      <c r="G55" s="16"/>
      <c r="H55" s="16"/>
      <c r="I55" s="16"/>
      <c r="J55" s="16"/>
      <c r="K55" s="16"/>
      <c r="L55" s="16"/>
      <c r="M55" s="18" t="str">
        <f aca="false">IF(OR(C55="",D55=""),"",IF(MOD(COUNTIFS($C$2:C55,C55,$D$2:D55,D55)*7,10)&lt;3,"teste","treino"))</f>
        <v/>
      </c>
      <c r="N55" s="16"/>
      <c r="O55" s="16"/>
      <c r="P55" s="16"/>
      <c r="Q55" s="17"/>
    </row>
    <row r="56" customFormat="false" ht="15" hidden="false" customHeight="false" outlineLevel="0" collapsed="false">
      <c r="A56" s="15" t="str">
        <f aca="false">IF(B56="","",ROW()-1)</f>
        <v/>
      </c>
      <c r="B56" s="16"/>
      <c r="C56" s="16"/>
      <c r="D56" s="16"/>
      <c r="E56" s="16"/>
      <c r="F56" s="17"/>
      <c r="G56" s="16"/>
      <c r="H56" s="16"/>
      <c r="I56" s="16"/>
      <c r="J56" s="16"/>
      <c r="K56" s="16"/>
      <c r="L56" s="16"/>
      <c r="M56" s="18" t="str">
        <f aca="false">IF(OR(C56="",D56=""),"",IF(MOD(COUNTIFS($C$2:C56,C56,$D$2:D56,D56)*7,10)&lt;3,"teste","treino"))</f>
        <v/>
      </c>
      <c r="N56" s="16"/>
      <c r="O56" s="16"/>
      <c r="P56" s="16"/>
      <c r="Q56" s="17"/>
    </row>
    <row r="57" customFormat="false" ht="15" hidden="false" customHeight="false" outlineLevel="0" collapsed="false">
      <c r="A57" s="15" t="str">
        <f aca="false">IF(B57="","",ROW()-1)</f>
        <v/>
      </c>
      <c r="B57" s="16"/>
      <c r="C57" s="16"/>
      <c r="D57" s="16"/>
      <c r="E57" s="16"/>
      <c r="F57" s="17"/>
      <c r="G57" s="16"/>
      <c r="H57" s="16"/>
      <c r="I57" s="16"/>
      <c r="J57" s="16"/>
      <c r="K57" s="16"/>
      <c r="L57" s="16"/>
      <c r="M57" s="18" t="str">
        <f aca="false">IF(OR(C57="",D57=""),"",IF(MOD(COUNTIFS($C$2:C57,C57,$D$2:D57,D57)*7,10)&lt;3,"teste","treino"))</f>
        <v/>
      </c>
      <c r="N57" s="16"/>
      <c r="O57" s="16"/>
      <c r="P57" s="16"/>
      <c r="Q57" s="17"/>
    </row>
    <row r="58" customFormat="false" ht="15" hidden="false" customHeight="false" outlineLevel="0" collapsed="false">
      <c r="A58" s="15" t="str">
        <f aca="false">IF(B58="","",ROW()-1)</f>
        <v/>
      </c>
      <c r="B58" s="16"/>
      <c r="C58" s="16"/>
      <c r="D58" s="16"/>
      <c r="E58" s="16"/>
      <c r="F58" s="17"/>
      <c r="G58" s="16"/>
      <c r="H58" s="16"/>
      <c r="I58" s="16"/>
      <c r="J58" s="16"/>
      <c r="K58" s="16"/>
      <c r="L58" s="16"/>
      <c r="M58" s="18" t="str">
        <f aca="false">IF(OR(C58="",D58=""),"",IF(MOD(COUNTIFS($C$2:C58,C58,$D$2:D58,D58)*7,10)&lt;3,"teste","treino"))</f>
        <v/>
      </c>
      <c r="N58" s="16"/>
      <c r="O58" s="16"/>
      <c r="P58" s="16"/>
      <c r="Q58" s="17"/>
    </row>
    <row r="59" customFormat="false" ht="15" hidden="false" customHeight="false" outlineLevel="0" collapsed="false">
      <c r="A59" s="15" t="str">
        <f aca="false">IF(B59="","",ROW()-1)</f>
        <v/>
      </c>
      <c r="B59" s="16"/>
      <c r="C59" s="16"/>
      <c r="D59" s="16"/>
      <c r="E59" s="16"/>
      <c r="F59" s="17"/>
      <c r="G59" s="16"/>
      <c r="H59" s="16"/>
      <c r="I59" s="16"/>
      <c r="J59" s="16"/>
      <c r="K59" s="16"/>
      <c r="L59" s="16"/>
      <c r="M59" s="18" t="str">
        <f aca="false">IF(OR(C59="",D59=""),"",IF(MOD(COUNTIFS($C$2:C59,C59,$D$2:D59,D59)*7,10)&lt;3,"teste","treino"))</f>
        <v/>
      </c>
      <c r="N59" s="16"/>
      <c r="O59" s="16"/>
      <c r="P59" s="16"/>
      <c r="Q59" s="17"/>
    </row>
    <row r="60" customFormat="false" ht="15" hidden="false" customHeight="false" outlineLevel="0" collapsed="false">
      <c r="A60" s="15" t="str">
        <f aca="false">IF(B60="","",ROW()-1)</f>
        <v/>
      </c>
      <c r="B60" s="16"/>
      <c r="C60" s="16"/>
      <c r="D60" s="16"/>
      <c r="E60" s="16"/>
      <c r="F60" s="17"/>
      <c r="G60" s="16"/>
      <c r="H60" s="16"/>
      <c r="I60" s="16"/>
      <c r="J60" s="16"/>
      <c r="K60" s="16"/>
      <c r="L60" s="16"/>
      <c r="M60" s="18" t="str">
        <f aca="false">IF(OR(C60="",D60=""),"",IF(MOD(COUNTIFS($C$2:C60,C60,$D$2:D60,D60)*7,10)&lt;3,"teste","treino"))</f>
        <v/>
      </c>
      <c r="N60" s="16"/>
      <c r="O60" s="16"/>
      <c r="P60" s="16"/>
      <c r="Q60" s="17"/>
    </row>
    <row r="61" customFormat="false" ht="15" hidden="false" customHeight="false" outlineLevel="0" collapsed="false">
      <c r="A61" s="15" t="str">
        <f aca="false">IF(B61="","",ROW()-1)</f>
        <v/>
      </c>
      <c r="B61" s="16"/>
      <c r="C61" s="16"/>
      <c r="D61" s="16"/>
      <c r="E61" s="16"/>
      <c r="F61" s="17"/>
      <c r="G61" s="16"/>
      <c r="H61" s="16"/>
      <c r="I61" s="16"/>
      <c r="J61" s="16"/>
      <c r="K61" s="16"/>
      <c r="L61" s="16"/>
      <c r="M61" s="18" t="str">
        <f aca="false">IF(OR(C61="",D61=""),"",IF(MOD(COUNTIFS($C$2:C61,C61,$D$2:D61,D61)*7,10)&lt;3,"teste","treino"))</f>
        <v/>
      </c>
      <c r="N61" s="16"/>
      <c r="O61" s="16"/>
      <c r="P61" s="16"/>
      <c r="Q61" s="17"/>
    </row>
    <row r="62" customFormat="false" ht="15" hidden="false" customHeight="false" outlineLevel="0" collapsed="false">
      <c r="A62" s="15" t="str">
        <f aca="false">IF(B62="","",ROW()-1)</f>
        <v/>
      </c>
      <c r="B62" s="16"/>
      <c r="C62" s="16"/>
      <c r="D62" s="16"/>
      <c r="E62" s="16"/>
      <c r="F62" s="17"/>
      <c r="G62" s="16"/>
      <c r="H62" s="16"/>
      <c r="I62" s="16"/>
      <c r="J62" s="16"/>
      <c r="K62" s="16"/>
      <c r="L62" s="16"/>
      <c r="M62" s="18" t="str">
        <f aca="false">IF(OR(C62="",D62=""),"",IF(MOD(COUNTIFS($C$2:C62,C62,$D$2:D62,D62)*7,10)&lt;3,"teste","treino"))</f>
        <v/>
      </c>
      <c r="N62" s="16"/>
      <c r="O62" s="16"/>
      <c r="P62" s="16"/>
      <c r="Q62" s="17"/>
    </row>
    <row r="63" customFormat="false" ht="15" hidden="false" customHeight="false" outlineLevel="0" collapsed="false">
      <c r="A63" s="15" t="str">
        <f aca="false">IF(B63="","",ROW()-1)</f>
        <v/>
      </c>
      <c r="B63" s="16"/>
      <c r="C63" s="16"/>
      <c r="D63" s="16"/>
      <c r="E63" s="16"/>
      <c r="F63" s="17"/>
      <c r="G63" s="16"/>
      <c r="H63" s="16"/>
      <c r="I63" s="16"/>
      <c r="J63" s="16"/>
      <c r="K63" s="16"/>
      <c r="L63" s="16"/>
      <c r="M63" s="18" t="str">
        <f aca="false">IF(OR(C63="",D63=""),"",IF(MOD(COUNTIFS($C$2:C63,C63,$D$2:D63,D63)*7,10)&lt;3,"teste","treino"))</f>
        <v/>
      </c>
      <c r="N63" s="16"/>
      <c r="O63" s="16"/>
      <c r="P63" s="16"/>
      <c r="Q63" s="17"/>
    </row>
    <row r="64" customFormat="false" ht="15" hidden="false" customHeight="false" outlineLevel="0" collapsed="false">
      <c r="A64" s="15" t="str">
        <f aca="false">IF(B64="","",ROW()-1)</f>
        <v/>
      </c>
      <c r="B64" s="16"/>
      <c r="C64" s="16"/>
      <c r="D64" s="16"/>
      <c r="E64" s="16"/>
      <c r="F64" s="17"/>
      <c r="G64" s="16"/>
      <c r="H64" s="16"/>
      <c r="I64" s="16"/>
      <c r="J64" s="16"/>
      <c r="K64" s="16"/>
      <c r="L64" s="16"/>
      <c r="M64" s="18" t="str">
        <f aca="false">IF(OR(C64="",D64=""),"",IF(MOD(COUNTIFS($C$2:C64,C64,$D$2:D64,D64)*7,10)&lt;3,"teste","treino"))</f>
        <v/>
      </c>
      <c r="N64" s="16"/>
      <c r="O64" s="16"/>
      <c r="P64" s="16"/>
      <c r="Q64" s="17"/>
    </row>
    <row r="65" customFormat="false" ht="15" hidden="false" customHeight="false" outlineLevel="0" collapsed="false">
      <c r="A65" s="15" t="str">
        <f aca="false">IF(B65="","",ROW()-1)</f>
        <v/>
      </c>
      <c r="B65" s="16"/>
      <c r="C65" s="16"/>
      <c r="D65" s="16"/>
      <c r="E65" s="16"/>
      <c r="F65" s="17"/>
      <c r="G65" s="16"/>
      <c r="H65" s="16"/>
      <c r="I65" s="16"/>
      <c r="J65" s="16"/>
      <c r="K65" s="16"/>
      <c r="L65" s="16"/>
      <c r="M65" s="18" t="str">
        <f aca="false">IF(OR(C65="",D65=""),"",IF(MOD(COUNTIFS($C$2:C65,C65,$D$2:D65,D65)*7,10)&lt;3,"teste","treino"))</f>
        <v/>
      </c>
      <c r="N65" s="16"/>
      <c r="O65" s="16"/>
      <c r="P65" s="16"/>
      <c r="Q65" s="17"/>
    </row>
    <row r="66" customFormat="false" ht="15" hidden="false" customHeight="false" outlineLevel="0" collapsed="false">
      <c r="A66" s="15" t="str">
        <f aca="false">IF(B66="","",ROW()-1)</f>
        <v/>
      </c>
      <c r="B66" s="16"/>
      <c r="C66" s="16"/>
      <c r="D66" s="16"/>
      <c r="E66" s="16"/>
      <c r="F66" s="17"/>
      <c r="G66" s="16"/>
      <c r="H66" s="16"/>
      <c r="I66" s="16"/>
      <c r="J66" s="16"/>
      <c r="K66" s="16"/>
      <c r="L66" s="16"/>
      <c r="M66" s="18" t="str">
        <f aca="false">IF(OR(C66="",D66=""),"",IF(MOD(COUNTIFS($C$2:C66,C66,$D$2:D66,D66)*7,10)&lt;3,"teste","treino"))</f>
        <v/>
      </c>
      <c r="N66" s="16"/>
      <c r="O66" s="16"/>
      <c r="P66" s="16"/>
      <c r="Q66" s="17"/>
    </row>
    <row r="67" customFormat="false" ht="15" hidden="false" customHeight="false" outlineLevel="0" collapsed="false">
      <c r="A67" s="15" t="str">
        <f aca="false">IF(B67="","",ROW()-1)</f>
        <v/>
      </c>
      <c r="B67" s="16"/>
      <c r="C67" s="16"/>
      <c r="D67" s="16"/>
      <c r="E67" s="16"/>
      <c r="F67" s="17"/>
      <c r="G67" s="16"/>
      <c r="H67" s="16"/>
      <c r="I67" s="16"/>
      <c r="J67" s="16"/>
      <c r="K67" s="16"/>
      <c r="L67" s="16"/>
      <c r="M67" s="18" t="str">
        <f aca="false">IF(OR(C67="",D67=""),"",IF(MOD(COUNTIFS($C$2:C67,C67,$D$2:D67,D67)*7,10)&lt;3,"teste","treino"))</f>
        <v/>
      </c>
      <c r="N67" s="16"/>
      <c r="O67" s="16"/>
      <c r="P67" s="16"/>
      <c r="Q67" s="17"/>
    </row>
    <row r="68" customFormat="false" ht="15" hidden="false" customHeight="false" outlineLevel="0" collapsed="false">
      <c r="A68" s="15" t="str">
        <f aca="false">IF(B68="","",ROW()-1)</f>
        <v/>
      </c>
      <c r="B68" s="16"/>
      <c r="C68" s="16"/>
      <c r="D68" s="16"/>
      <c r="E68" s="16"/>
      <c r="F68" s="17"/>
      <c r="G68" s="16"/>
      <c r="H68" s="16"/>
      <c r="I68" s="16"/>
      <c r="J68" s="16"/>
      <c r="K68" s="16"/>
      <c r="L68" s="16"/>
      <c r="M68" s="18" t="str">
        <f aca="false">IF(OR(C68="",D68=""),"",IF(MOD(COUNTIFS($C$2:C68,C68,$D$2:D68,D68)*7,10)&lt;3,"teste","treino"))</f>
        <v/>
      </c>
      <c r="N68" s="16"/>
      <c r="O68" s="16"/>
      <c r="P68" s="16"/>
      <c r="Q68" s="17"/>
    </row>
    <row r="69" customFormat="false" ht="15" hidden="false" customHeight="false" outlineLevel="0" collapsed="false">
      <c r="A69" s="15" t="str">
        <f aca="false">IF(B69="","",ROW()-1)</f>
        <v/>
      </c>
      <c r="B69" s="16"/>
      <c r="C69" s="16"/>
      <c r="D69" s="16"/>
      <c r="E69" s="16"/>
      <c r="F69" s="17"/>
      <c r="G69" s="16"/>
      <c r="H69" s="16"/>
      <c r="I69" s="16"/>
      <c r="J69" s="16"/>
      <c r="K69" s="16"/>
      <c r="L69" s="16"/>
      <c r="M69" s="18" t="str">
        <f aca="false">IF(OR(C69="",D69=""),"",IF(MOD(COUNTIFS($C$2:C69,C69,$D$2:D69,D69)*7,10)&lt;3,"teste","treino"))</f>
        <v/>
      </c>
      <c r="N69" s="16"/>
      <c r="O69" s="16"/>
      <c r="P69" s="16"/>
      <c r="Q69" s="17"/>
    </row>
    <row r="70" customFormat="false" ht="15" hidden="false" customHeight="false" outlineLevel="0" collapsed="false">
      <c r="A70" s="15" t="str">
        <f aca="false">IF(B70="","",ROW()-1)</f>
        <v/>
      </c>
      <c r="B70" s="16"/>
      <c r="C70" s="16"/>
      <c r="D70" s="16"/>
      <c r="E70" s="16"/>
      <c r="F70" s="17"/>
      <c r="G70" s="16"/>
      <c r="H70" s="16"/>
      <c r="I70" s="16"/>
      <c r="J70" s="16"/>
      <c r="K70" s="16"/>
      <c r="L70" s="16"/>
      <c r="M70" s="18" t="str">
        <f aca="false">IF(OR(C70="",D70=""),"",IF(MOD(COUNTIFS($C$2:C70,C70,$D$2:D70,D70)*7,10)&lt;3,"teste","treino"))</f>
        <v/>
      </c>
      <c r="N70" s="16"/>
      <c r="O70" s="16"/>
      <c r="P70" s="16"/>
      <c r="Q70" s="17"/>
    </row>
    <row r="71" customFormat="false" ht="15" hidden="false" customHeight="false" outlineLevel="0" collapsed="false">
      <c r="A71" s="15" t="str">
        <f aca="false">IF(B71="","",ROW()-1)</f>
        <v/>
      </c>
      <c r="B71" s="16"/>
      <c r="C71" s="16"/>
      <c r="D71" s="16"/>
      <c r="E71" s="16"/>
      <c r="F71" s="17"/>
      <c r="G71" s="16"/>
      <c r="H71" s="16"/>
      <c r="I71" s="16"/>
      <c r="J71" s="16"/>
      <c r="K71" s="16"/>
      <c r="L71" s="16"/>
      <c r="M71" s="18" t="str">
        <f aca="false">IF(OR(C71="",D71=""),"",IF(MOD(COUNTIFS($C$2:C71,C71,$D$2:D71,D71)*7,10)&lt;3,"teste","treino"))</f>
        <v/>
      </c>
      <c r="N71" s="16"/>
      <c r="O71" s="16"/>
      <c r="P71" s="16"/>
      <c r="Q71" s="17"/>
    </row>
    <row r="72" customFormat="false" ht="15" hidden="false" customHeight="false" outlineLevel="0" collapsed="false">
      <c r="A72" s="15" t="str">
        <f aca="false">IF(B72="","",ROW()-1)</f>
        <v/>
      </c>
      <c r="B72" s="16"/>
      <c r="C72" s="16"/>
      <c r="D72" s="16"/>
      <c r="E72" s="16"/>
      <c r="F72" s="17"/>
      <c r="G72" s="16"/>
      <c r="H72" s="16"/>
      <c r="I72" s="16"/>
      <c r="J72" s="16"/>
      <c r="K72" s="16"/>
      <c r="L72" s="16"/>
      <c r="M72" s="18" t="str">
        <f aca="false">IF(OR(C72="",D72=""),"",IF(MOD(COUNTIFS($C$2:C72,C72,$D$2:D72,D72)*7,10)&lt;3,"teste","treino"))</f>
        <v/>
      </c>
      <c r="N72" s="16"/>
      <c r="O72" s="16"/>
      <c r="P72" s="16"/>
      <c r="Q72" s="17"/>
    </row>
    <row r="73" customFormat="false" ht="15" hidden="false" customHeight="false" outlineLevel="0" collapsed="false">
      <c r="A73" s="15" t="str">
        <f aca="false">IF(B73="","",ROW()-1)</f>
        <v/>
      </c>
      <c r="B73" s="16"/>
      <c r="C73" s="16"/>
      <c r="D73" s="16"/>
      <c r="E73" s="16"/>
      <c r="F73" s="17"/>
      <c r="G73" s="16"/>
      <c r="H73" s="16"/>
      <c r="I73" s="16"/>
      <c r="J73" s="16"/>
      <c r="K73" s="16"/>
      <c r="L73" s="16"/>
      <c r="M73" s="18" t="str">
        <f aca="false">IF(OR(C73="",D73=""),"",IF(MOD(COUNTIFS($C$2:C73,C73,$D$2:D73,D73)*7,10)&lt;3,"teste","treino"))</f>
        <v/>
      </c>
      <c r="N73" s="16"/>
      <c r="O73" s="16"/>
      <c r="P73" s="16"/>
      <c r="Q73" s="17"/>
    </row>
    <row r="74" customFormat="false" ht="15" hidden="false" customHeight="false" outlineLevel="0" collapsed="false">
      <c r="A74" s="15" t="str">
        <f aca="false">IF(B74="","",ROW()-1)</f>
        <v/>
      </c>
      <c r="B74" s="16"/>
      <c r="C74" s="16"/>
      <c r="D74" s="16"/>
      <c r="E74" s="16"/>
      <c r="F74" s="17"/>
      <c r="G74" s="16"/>
      <c r="H74" s="16"/>
      <c r="I74" s="16"/>
      <c r="J74" s="16"/>
      <c r="K74" s="16"/>
      <c r="L74" s="16"/>
      <c r="M74" s="18" t="str">
        <f aca="false">IF(OR(C74="",D74=""),"",IF(MOD(COUNTIFS($C$2:C74,C74,$D$2:D74,D74)*7,10)&lt;3,"teste","treino"))</f>
        <v/>
      </c>
      <c r="N74" s="16"/>
      <c r="O74" s="16"/>
      <c r="P74" s="16"/>
      <c r="Q74" s="17"/>
    </row>
    <row r="75" customFormat="false" ht="15" hidden="false" customHeight="false" outlineLevel="0" collapsed="false">
      <c r="A75" s="15" t="str">
        <f aca="false">IF(B75="","",ROW()-1)</f>
        <v/>
      </c>
      <c r="B75" s="16"/>
      <c r="C75" s="16"/>
      <c r="D75" s="16"/>
      <c r="E75" s="16"/>
      <c r="F75" s="17"/>
      <c r="G75" s="16"/>
      <c r="H75" s="16"/>
      <c r="I75" s="16"/>
      <c r="J75" s="16"/>
      <c r="K75" s="16"/>
      <c r="L75" s="16"/>
      <c r="M75" s="18" t="str">
        <f aca="false">IF(OR(C75="",D75=""),"",IF(MOD(COUNTIFS($C$2:C75,C75,$D$2:D75,D75)*7,10)&lt;3,"teste","treino"))</f>
        <v/>
      </c>
      <c r="N75" s="16"/>
      <c r="O75" s="16"/>
      <c r="P75" s="16"/>
      <c r="Q75" s="17"/>
    </row>
    <row r="76" customFormat="false" ht="15" hidden="false" customHeight="false" outlineLevel="0" collapsed="false">
      <c r="A76" s="15" t="str">
        <f aca="false">IF(B76="","",ROW()-1)</f>
        <v/>
      </c>
      <c r="B76" s="16"/>
      <c r="C76" s="16"/>
      <c r="D76" s="16"/>
      <c r="E76" s="16"/>
      <c r="F76" s="17"/>
      <c r="G76" s="16"/>
      <c r="H76" s="16"/>
      <c r="I76" s="16"/>
      <c r="J76" s="16"/>
      <c r="K76" s="16"/>
      <c r="L76" s="16"/>
      <c r="M76" s="18" t="str">
        <f aca="false">IF(OR(C76="",D76=""),"",IF(MOD(COUNTIFS($C$2:C76,C76,$D$2:D76,D76)*7,10)&lt;3,"teste","treino"))</f>
        <v/>
      </c>
      <c r="N76" s="16"/>
      <c r="O76" s="16"/>
      <c r="P76" s="16"/>
      <c r="Q76" s="17"/>
    </row>
    <row r="77" customFormat="false" ht="15" hidden="false" customHeight="false" outlineLevel="0" collapsed="false">
      <c r="A77" s="15" t="str">
        <f aca="false">IF(B77="","",ROW()-1)</f>
        <v/>
      </c>
      <c r="B77" s="16"/>
      <c r="C77" s="16"/>
      <c r="D77" s="16"/>
      <c r="E77" s="16"/>
      <c r="F77" s="17"/>
      <c r="G77" s="16"/>
      <c r="H77" s="16"/>
      <c r="I77" s="16"/>
      <c r="J77" s="16"/>
      <c r="K77" s="16"/>
      <c r="L77" s="16"/>
      <c r="M77" s="18" t="str">
        <f aca="false">IF(OR(C77="",D77=""),"",IF(MOD(COUNTIFS($C$2:C77,C77,$D$2:D77,D77)*7,10)&lt;3,"teste","treino"))</f>
        <v/>
      </c>
      <c r="N77" s="16"/>
      <c r="O77" s="16"/>
      <c r="P77" s="16"/>
      <c r="Q77" s="17"/>
    </row>
    <row r="78" customFormat="false" ht="15" hidden="false" customHeight="false" outlineLevel="0" collapsed="false">
      <c r="A78" s="15" t="str">
        <f aca="false">IF(B78="","",ROW()-1)</f>
        <v/>
      </c>
      <c r="B78" s="16"/>
      <c r="C78" s="16"/>
      <c r="D78" s="16"/>
      <c r="E78" s="16"/>
      <c r="F78" s="17"/>
      <c r="G78" s="16"/>
      <c r="H78" s="16"/>
      <c r="I78" s="16"/>
      <c r="J78" s="16"/>
      <c r="K78" s="16"/>
      <c r="L78" s="16"/>
      <c r="M78" s="18" t="str">
        <f aca="false">IF(OR(C78="",D78=""),"",IF(MOD(COUNTIFS($C$2:C78,C78,$D$2:D78,D78)*7,10)&lt;3,"teste","treino"))</f>
        <v/>
      </c>
      <c r="N78" s="16"/>
      <c r="O78" s="16"/>
      <c r="P78" s="16"/>
      <c r="Q78" s="17"/>
    </row>
    <row r="79" customFormat="false" ht="15" hidden="false" customHeight="false" outlineLevel="0" collapsed="false">
      <c r="A79" s="15" t="str">
        <f aca="false">IF(B79="","",ROW()-1)</f>
        <v/>
      </c>
      <c r="B79" s="16"/>
      <c r="C79" s="16"/>
      <c r="D79" s="16"/>
      <c r="E79" s="16"/>
      <c r="F79" s="17"/>
      <c r="G79" s="16"/>
      <c r="H79" s="16"/>
      <c r="I79" s="16"/>
      <c r="J79" s="16"/>
      <c r="K79" s="16"/>
      <c r="L79" s="16"/>
      <c r="M79" s="18" t="str">
        <f aca="false">IF(OR(C79="",D79=""),"",IF(MOD(COUNTIFS($C$2:C79,C79,$D$2:D79,D79)*7,10)&lt;3,"teste","treino"))</f>
        <v/>
      </c>
      <c r="N79" s="16"/>
      <c r="O79" s="16"/>
      <c r="P79" s="16"/>
      <c r="Q79" s="17"/>
    </row>
    <row r="80" customFormat="false" ht="15" hidden="false" customHeight="false" outlineLevel="0" collapsed="false">
      <c r="A80" s="15" t="str">
        <f aca="false">IF(B80="","",ROW()-1)</f>
        <v/>
      </c>
      <c r="B80" s="16"/>
      <c r="C80" s="16"/>
      <c r="D80" s="16"/>
      <c r="E80" s="16"/>
      <c r="F80" s="17"/>
      <c r="G80" s="16"/>
      <c r="H80" s="16"/>
      <c r="I80" s="16"/>
      <c r="J80" s="16"/>
      <c r="K80" s="16"/>
      <c r="L80" s="16"/>
      <c r="M80" s="18" t="str">
        <f aca="false">IF(OR(C80="",D80=""),"",IF(MOD(COUNTIFS($C$2:C80,C80,$D$2:D80,D80)*7,10)&lt;3,"teste","treino"))</f>
        <v/>
      </c>
      <c r="N80" s="16"/>
      <c r="O80" s="16"/>
      <c r="P80" s="16"/>
      <c r="Q80" s="17"/>
    </row>
    <row r="81" customFormat="false" ht="15" hidden="false" customHeight="false" outlineLevel="0" collapsed="false">
      <c r="A81" s="15" t="str">
        <f aca="false">IF(B81="","",ROW()-1)</f>
        <v/>
      </c>
      <c r="B81" s="16"/>
      <c r="C81" s="16"/>
      <c r="D81" s="16"/>
      <c r="E81" s="16"/>
      <c r="F81" s="17"/>
      <c r="G81" s="16"/>
      <c r="H81" s="16"/>
      <c r="I81" s="16"/>
      <c r="J81" s="16"/>
      <c r="K81" s="16"/>
      <c r="L81" s="16"/>
      <c r="M81" s="18" t="str">
        <f aca="false">IF(OR(C81="",D81=""),"",IF(MOD(COUNTIFS($C$2:C81,C81,$D$2:D81,D81)*7,10)&lt;3,"teste","treino"))</f>
        <v/>
      </c>
      <c r="N81" s="16"/>
      <c r="O81" s="16"/>
      <c r="P81" s="16"/>
      <c r="Q81" s="17"/>
    </row>
    <row r="82" customFormat="false" ht="15" hidden="false" customHeight="false" outlineLevel="0" collapsed="false">
      <c r="A82" s="15" t="str">
        <f aca="false">IF(B82="","",ROW()-1)</f>
        <v/>
      </c>
      <c r="B82" s="16"/>
      <c r="C82" s="16"/>
      <c r="D82" s="16"/>
      <c r="E82" s="16"/>
      <c r="F82" s="17"/>
      <c r="G82" s="16"/>
      <c r="H82" s="16"/>
      <c r="I82" s="16"/>
      <c r="J82" s="16"/>
      <c r="K82" s="16"/>
      <c r="L82" s="16"/>
      <c r="M82" s="18" t="str">
        <f aca="false">IF(OR(C82="",D82=""),"",IF(MOD(COUNTIFS($C$2:C82,C82,$D$2:D82,D82)*7,10)&lt;3,"teste","treino"))</f>
        <v/>
      </c>
      <c r="N82" s="16"/>
      <c r="O82" s="16"/>
      <c r="P82" s="16"/>
      <c r="Q82" s="17"/>
    </row>
    <row r="83" customFormat="false" ht="15" hidden="false" customHeight="false" outlineLevel="0" collapsed="false">
      <c r="A83" s="15" t="str">
        <f aca="false">IF(B83="","",ROW()-1)</f>
        <v/>
      </c>
      <c r="B83" s="16"/>
      <c r="C83" s="16"/>
      <c r="D83" s="16"/>
      <c r="E83" s="16"/>
      <c r="F83" s="17"/>
      <c r="G83" s="16"/>
      <c r="H83" s="16"/>
      <c r="I83" s="16"/>
      <c r="J83" s="16"/>
      <c r="K83" s="16"/>
      <c r="L83" s="16"/>
      <c r="M83" s="18" t="str">
        <f aca="false">IF(OR(C83="",D83=""),"",IF(MOD(COUNTIFS($C$2:C83,C83,$D$2:D83,D83)*7,10)&lt;3,"teste","treino"))</f>
        <v/>
      </c>
      <c r="N83" s="16"/>
      <c r="O83" s="16"/>
      <c r="P83" s="16"/>
      <c r="Q83" s="17"/>
    </row>
    <row r="84" customFormat="false" ht="15" hidden="false" customHeight="false" outlineLevel="0" collapsed="false">
      <c r="A84" s="15" t="str">
        <f aca="false">IF(B84="","",ROW()-1)</f>
        <v/>
      </c>
      <c r="B84" s="16"/>
      <c r="C84" s="16"/>
      <c r="D84" s="16"/>
      <c r="E84" s="16"/>
      <c r="F84" s="17"/>
      <c r="G84" s="16"/>
      <c r="H84" s="16"/>
      <c r="I84" s="16"/>
      <c r="J84" s="16"/>
      <c r="K84" s="16"/>
      <c r="L84" s="16"/>
      <c r="M84" s="18" t="str">
        <f aca="false">IF(OR(C84="",D84=""),"",IF(MOD(COUNTIFS($C$2:C84,C84,$D$2:D84,D84)*7,10)&lt;3,"teste","treino"))</f>
        <v/>
      </c>
      <c r="N84" s="16"/>
      <c r="O84" s="16"/>
      <c r="P84" s="16"/>
      <c r="Q84" s="17"/>
    </row>
    <row r="85" customFormat="false" ht="15" hidden="false" customHeight="false" outlineLevel="0" collapsed="false">
      <c r="A85" s="15" t="str">
        <f aca="false">IF(B85="","",ROW()-1)</f>
        <v/>
      </c>
      <c r="B85" s="16"/>
      <c r="C85" s="16"/>
      <c r="D85" s="16"/>
      <c r="E85" s="16"/>
      <c r="F85" s="17"/>
      <c r="G85" s="16"/>
      <c r="H85" s="16"/>
      <c r="I85" s="16"/>
      <c r="J85" s="16"/>
      <c r="K85" s="16"/>
      <c r="L85" s="16"/>
      <c r="M85" s="18" t="str">
        <f aca="false">IF(OR(C85="",D85=""),"",IF(MOD(COUNTIFS($C$2:C85,C85,$D$2:D85,D85)*7,10)&lt;3,"teste","treino"))</f>
        <v/>
      </c>
      <c r="N85" s="16"/>
      <c r="O85" s="16"/>
      <c r="P85" s="16"/>
      <c r="Q85" s="17"/>
    </row>
    <row r="86" customFormat="false" ht="15" hidden="false" customHeight="false" outlineLevel="0" collapsed="false">
      <c r="A86" s="15" t="str">
        <f aca="false">IF(B86="","",ROW()-1)</f>
        <v/>
      </c>
      <c r="B86" s="16"/>
      <c r="C86" s="16"/>
      <c r="D86" s="16"/>
      <c r="E86" s="16"/>
      <c r="F86" s="17"/>
      <c r="G86" s="16"/>
      <c r="H86" s="16"/>
      <c r="I86" s="16"/>
      <c r="J86" s="16"/>
      <c r="K86" s="16"/>
      <c r="L86" s="16"/>
      <c r="M86" s="18" t="str">
        <f aca="false">IF(OR(C86="",D86=""),"",IF(MOD(COUNTIFS($C$2:C86,C86,$D$2:D86,D86)*7,10)&lt;3,"teste","treino"))</f>
        <v/>
      </c>
      <c r="N86" s="16"/>
      <c r="O86" s="16"/>
      <c r="P86" s="16"/>
      <c r="Q86" s="17"/>
    </row>
    <row r="87" customFormat="false" ht="15" hidden="false" customHeight="false" outlineLevel="0" collapsed="false">
      <c r="A87" s="15" t="str">
        <f aca="false">IF(B87="","",ROW()-1)</f>
        <v/>
      </c>
      <c r="B87" s="16"/>
      <c r="C87" s="16"/>
      <c r="D87" s="16"/>
      <c r="E87" s="16"/>
      <c r="F87" s="17"/>
      <c r="G87" s="16"/>
      <c r="H87" s="16"/>
      <c r="I87" s="16"/>
      <c r="J87" s="16"/>
      <c r="K87" s="16"/>
      <c r="L87" s="16"/>
      <c r="M87" s="18" t="str">
        <f aca="false">IF(OR(C87="",D87=""),"",IF(MOD(COUNTIFS($C$2:C87,C87,$D$2:D87,D87)*7,10)&lt;3,"teste","treino"))</f>
        <v/>
      </c>
      <c r="N87" s="16"/>
      <c r="O87" s="16"/>
      <c r="P87" s="16"/>
      <c r="Q87" s="17"/>
    </row>
    <row r="88" customFormat="false" ht="15" hidden="false" customHeight="false" outlineLevel="0" collapsed="false">
      <c r="A88" s="15" t="str">
        <f aca="false">IF(B88="","",ROW()-1)</f>
        <v/>
      </c>
      <c r="B88" s="16"/>
      <c r="C88" s="16"/>
      <c r="D88" s="16"/>
      <c r="E88" s="16"/>
      <c r="F88" s="17"/>
      <c r="G88" s="16"/>
      <c r="H88" s="16"/>
      <c r="I88" s="16"/>
      <c r="J88" s="16"/>
      <c r="K88" s="16"/>
      <c r="L88" s="16"/>
      <c r="M88" s="18" t="str">
        <f aca="false">IF(OR(C88="",D88=""),"",IF(MOD(COUNTIFS($C$2:C88,C88,$D$2:D88,D88)*7,10)&lt;3,"teste","treino"))</f>
        <v/>
      </c>
      <c r="N88" s="16"/>
      <c r="O88" s="16"/>
      <c r="P88" s="16"/>
      <c r="Q88" s="17"/>
    </row>
    <row r="89" customFormat="false" ht="15" hidden="false" customHeight="false" outlineLevel="0" collapsed="false">
      <c r="A89" s="15" t="str">
        <f aca="false">IF(B89="","",ROW()-1)</f>
        <v/>
      </c>
      <c r="B89" s="16"/>
      <c r="C89" s="16"/>
      <c r="D89" s="16"/>
      <c r="E89" s="16"/>
      <c r="F89" s="17"/>
      <c r="G89" s="16"/>
      <c r="H89" s="16"/>
      <c r="I89" s="16"/>
      <c r="J89" s="16"/>
      <c r="K89" s="16"/>
      <c r="L89" s="16"/>
      <c r="M89" s="18" t="str">
        <f aca="false">IF(OR(C89="",D89=""),"",IF(MOD(COUNTIFS($C$2:C89,C89,$D$2:D89,D89)*7,10)&lt;3,"teste","treino"))</f>
        <v/>
      </c>
      <c r="N89" s="16"/>
      <c r="O89" s="16"/>
      <c r="P89" s="16"/>
      <c r="Q89" s="17"/>
    </row>
    <row r="90" customFormat="false" ht="15" hidden="false" customHeight="false" outlineLevel="0" collapsed="false">
      <c r="A90" s="15" t="str">
        <f aca="false">IF(B90="","",ROW()-1)</f>
        <v/>
      </c>
      <c r="B90" s="16"/>
      <c r="C90" s="16"/>
      <c r="D90" s="16"/>
      <c r="E90" s="16"/>
      <c r="F90" s="17"/>
      <c r="G90" s="16"/>
      <c r="H90" s="16"/>
      <c r="I90" s="16"/>
      <c r="J90" s="16"/>
      <c r="K90" s="16"/>
      <c r="L90" s="16"/>
      <c r="M90" s="18" t="str">
        <f aca="false">IF(OR(C90="",D90=""),"",IF(MOD(COUNTIFS($C$2:C90,C90,$D$2:D90,D90)*7,10)&lt;3,"teste","treino"))</f>
        <v/>
      </c>
      <c r="N90" s="16"/>
      <c r="O90" s="16"/>
      <c r="P90" s="16"/>
      <c r="Q90" s="17"/>
    </row>
    <row r="91" customFormat="false" ht="15" hidden="false" customHeight="false" outlineLevel="0" collapsed="false">
      <c r="A91" s="15" t="str">
        <f aca="false">IF(B91="","",ROW()-1)</f>
        <v/>
      </c>
      <c r="B91" s="16"/>
      <c r="C91" s="16"/>
      <c r="D91" s="16"/>
      <c r="E91" s="16"/>
      <c r="F91" s="17"/>
      <c r="G91" s="16"/>
      <c r="H91" s="16"/>
      <c r="I91" s="16"/>
      <c r="J91" s="16"/>
      <c r="K91" s="16"/>
      <c r="L91" s="16"/>
      <c r="M91" s="18" t="str">
        <f aca="false">IF(OR(C91="",D91=""),"",IF(MOD(COUNTIFS($C$2:C91,C91,$D$2:D91,D91)*7,10)&lt;3,"teste","treino"))</f>
        <v/>
      </c>
      <c r="N91" s="16"/>
      <c r="O91" s="16"/>
      <c r="P91" s="16"/>
      <c r="Q91" s="17"/>
    </row>
    <row r="92" customFormat="false" ht="15" hidden="false" customHeight="false" outlineLevel="0" collapsed="false">
      <c r="A92" s="15" t="str">
        <f aca="false">IF(B92="","",ROW()-1)</f>
        <v/>
      </c>
      <c r="B92" s="16"/>
      <c r="C92" s="16"/>
      <c r="D92" s="16"/>
      <c r="E92" s="16"/>
      <c r="F92" s="17"/>
      <c r="G92" s="16"/>
      <c r="H92" s="16"/>
      <c r="I92" s="16"/>
      <c r="J92" s="16"/>
      <c r="K92" s="16"/>
      <c r="L92" s="16"/>
      <c r="M92" s="18" t="str">
        <f aca="false">IF(OR(C92="",D92=""),"",IF(MOD(COUNTIFS($C$2:C92,C92,$D$2:D92,D92)*7,10)&lt;3,"teste","treino"))</f>
        <v/>
      </c>
      <c r="N92" s="16"/>
      <c r="O92" s="16"/>
      <c r="P92" s="16"/>
      <c r="Q92" s="17"/>
    </row>
    <row r="93" customFormat="false" ht="15" hidden="false" customHeight="false" outlineLevel="0" collapsed="false">
      <c r="A93" s="15" t="str">
        <f aca="false">IF(B93="","",ROW()-1)</f>
        <v/>
      </c>
      <c r="B93" s="16"/>
      <c r="C93" s="16"/>
      <c r="D93" s="16"/>
      <c r="E93" s="16"/>
      <c r="F93" s="17"/>
      <c r="G93" s="16"/>
      <c r="H93" s="16"/>
      <c r="I93" s="16"/>
      <c r="J93" s="16"/>
      <c r="K93" s="16"/>
      <c r="L93" s="16"/>
      <c r="M93" s="18" t="str">
        <f aca="false">IF(OR(C93="",D93=""),"",IF(MOD(COUNTIFS($C$2:C93,C93,$D$2:D93,D93)*7,10)&lt;3,"teste","treino"))</f>
        <v/>
      </c>
      <c r="N93" s="16"/>
      <c r="O93" s="16"/>
      <c r="P93" s="16"/>
      <c r="Q93" s="17"/>
    </row>
    <row r="94" customFormat="false" ht="15" hidden="false" customHeight="false" outlineLevel="0" collapsed="false">
      <c r="A94" s="15" t="str">
        <f aca="false">IF(B94="","",ROW()-1)</f>
        <v/>
      </c>
      <c r="B94" s="16"/>
      <c r="C94" s="16"/>
      <c r="D94" s="16"/>
      <c r="E94" s="16"/>
      <c r="F94" s="17"/>
      <c r="G94" s="16"/>
      <c r="H94" s="16"/>
      <c r="I94" s="16"/>
      <c r="J94" s="16"/>
      <c r="K94" s="16"/>
      <c r="L94" s="16"/>
      <c r="M94" s="18" t="str">
        <f aca="false">IF(OR(C94="",D94=""),"",IF(MOD(COUNTIFS($C$2:C94,C94,$D$2:D94,D94)*7,10)&lt;3,"teste","treino"))</f>
        <v/>
      </c>
      <c r="N94" s="16"/>
      <c r="O94" s="16"/>
      <c r="P94" s="16"/>
      <c r="Q94" s="17"/>
    </row>
    <row r="95" customFormat="false" ht="15" hidden="false" customHeight="false" outlineLevel="0" collapsed="false">
      <c r="A95" s="15" t="str">
        <f aca="false">IF(B95="","",ROW()-1)</f>
        <v/>
      </c>
      <c r="B95" s="16"/>
      <c r="C95" s="16"/>
      <c r="D95" s="16"/>
      <c r="E95" s="16"/>
      <c r="F95" s="17"/>
      <c r="G95" s="16"/>
      <c r="H95" s="16"/>
      <c r="I95" s="16"/>
      <c r="J95" s="16"/>
      <c r="K95" s="16"/>
      <c r="L95" s="16"/>
      <c r="M95" s="18" t="str">
        <f aca="false">IF(OR(C95="",D95=""),"",IF(MOD(COUNTIFS($C$2:C95,C95,$D$2:D95,D95)*7,10)&lt;3,"teste","treino"))</f>
        <v/>
      </c>
      <c r="N95" s="16"/>
      <c r="O95" s="16"/>
      <c r="P95" s="16"/>
      <c r="Q95" s="17"/>
    </row>
    <row r="96" customFormat="false" ht="15" hidden="false" customHeight="false" outlineLevel="0" collapsed="false">
      <c r="A96" s="15" t="str">
        <f aca="false">IF(B96="","",ROW()-1)</f>
        <v/>
      </c>
      <c r="B96" s="16"/>
      <c r="C96" s="16"/>
      <c r="D96" s="16"/>
      <c r="E96" s="16"/>
      <c r="F96" s="17"/>
      <c r="G96" s="16"/>
      <c r="H96" s="16"/>
      <c r="I96" s="16"/>
      <c r="J96" s="16"/>
      <c r="K96" s="16"/>
      <c r="L96" s="16"/>
      <c r="M96" s="18" t="str">
        <f aca="false">IF(OR(C96="",D96=""),"",IF(MOD(COUNTIFS($C$2:C96,C96,$D$2:D96,D96)*7,10)&lt;3,"teste","treino"))</f>
        <v/>
      </c>
      <c r="N96" s="16"/>
      <c r="O96" s="16"/>
      <c r="P96" s="16"/>
      <c r="Q96" s="17"/>
    </row>
    <row r="97" customFormat="false" ht="15" hidden="false" customHeight="false" outlineLevel="0" collapsed="false">
      <c r="A97" s="15" t="str">
        <f aca="false">IF(B97="","",ROW()-1)</f>
        <v/>
      </c>
      <c r="B97" s="16"/>
      <c r="C97" s="16"/>
      <c r="D97" s="16"/>
      <c r="E97" s="16"/>
      <c r="F97" s="17"/>
      <c r="G97" s="16"/>
      <c r="H97" s="16"/>
      <c r="I97" s="16"/>
      <c r="J97" s="16"/>
      <c r="K97" s="16"/>
      <c r="L97" s="16"/>
      <c r="M97" s="18" t="str">
        <f aca="false">IF(OR(C97="",D97=""),"",IF(MOD(COUNTIFS($C$2:C97,C97,$D$2:D97,D97)*7,10)&lt;3,"teste","treino"))</f>
        <v/>
      </c>
      <c r="N97" s="16"/>
      <c r="O97" s="16"/>
      <c r="P97" s="16"/>
      <c r="Q97" s="17"/>
    </row>
    <row r="98" customFormat="false" ht="15" hidden="false" customHeight="false" outlineLevel="0" collapsed="false">
      <c r="A98" s="15" t="str">
        <f aca="false">IF(B98="","",ROW()-1)</f>
        <v/>
      </c>
      <c r="B98" s="16"/>
      <c r="C98" s="16"/>
      <c r="D98" s="16"/>
      <c r="E98" s="16"/>
      <c r="F98" s="17"/>
      <c r="G98" s="16"/>
      <c r="H98" s="16"/>
      <c r="I98" s="16"/>
      <c r="J98" s="16"/>
      <c r="K98" s="16"/>
      <c r="L98" s="16"/>
      <c r="M98" s="18" t="str">
        <f aca="false">IF(OR(C98="",D98=""),"",IF(MOD(COUNTIFS($C$2:C98,C98,$D$2:D98,D98)*7,10)&lt;3,"teste","treino"))</f>
        <v/>
      </c>
      <c r="N98" s="16"/>
      <c r="O98" s="16"/>
      <c r="P98" s="16"/>
      <c r="Q98" s="17"/>
    </row>
    <row r="99" customFormat="false" ht="15" hidden="false" customHeight="false" outlineLevel="0" collapsed="false">
      <c r="A99" s="15" t="str">
        <f aca="false">IF(B99="","",ROW()-1)</f>
        <v/>
      </c>
      <c r="B99" s="16"/>
      <c r="C99" s="16"/>
      <c r="D99" s="16"/>
      <c r="E99" s="16"/>
      <c r="F99" s="17"/>
      <c r="G99" s="16"/>
      <c r="H99" s="16"/>
      <c r="I99" s="16"/>
      <c r="J99" s="16"/>
      <c r="K99" s="16"/>
      <c r="L99" s="16"/>
      <c r="M99" s="18" t="str">
        <f aca="false">IF(OR(C99="",D99=""),"",IF(MOD(COUNTIFS($C$2:C99,C99,$D$2:D99,D99)*7,10)&lt;3,"teste","treino"))</f>
        <v/>
      </c>
      <c r="N99" s="16"/>
      <c r="O99" s="16"/>
      <c r="P99" s="16"/>
      <c r="Q99" s="17"/>
    </row>
    <row r="100" customFormat="false" ht="15" hidden="false" customHeight="false" outlineLevel="0" collapsed="false">
      <c r="A100" s="15" t="str">
        <f aca="false">IF(B100="","",ROW()-1)</f>
        <v/>
      </c>
      <c r="B100" s="16"/>
      <c r="C100" s="16"/>
      <c r="D100" s="16"/>
      <c r="E100" s="16"/>
      <c r="F100" s="17"/>
      <c r="G100" s="16"/>
      <c r="H100" s="16"/>
      <c r="I100" s="16"/>
      <c r="J100" s="16"/>
      <c r="K100" s="16"/>
      <c r="L100" s="16"/>
      <c r="M100" s="18" t="str">
        <f aca="false">IF(OR(C100="",D100=""),"",IF(MOD(COUNTIFS($C$2:C100,C100,$D$2:D100,D100)*7,10)&lt;3,"teste","treino"))</f>
        <v/>
      </c>
      <c r="N100" s="16"/>
      <c r="O100" s="16"/>
      <c r="P100" s="16"/>
      <c r="Q100" s="17"/>
    </row>
    <row r="101" customFormat="false" ht="15" hidden="false" customHeight="false" outlineLevel="0" collapsed="false">
      <c r="A101" s="15" t="str">
        <f aca="false">IF(B101="","",ROW()-1)</f>
        <v/>
      </c>
      <c r="B101" s="16"/>
      <c r="C101" s="16"/>
      <c r="D101" s="16"/>
      <c r="E101" s="16"/>
      <c r="F101" s="17"/>
      <c r="G101" s="16"/>
      <c r="H101" s="16"/>
      <c r="I101" s="16"/>
      <c r="J101" s="16"/>
      <c r="K101" s="16"/>
      <c r="L101" s="16"/>
      <c r="M101" s="18" t="str">
        <f aca="false">IF(OR(C101="",D101=""),"",IF(MOD(COUNTIFS($C$2:C101,C101,$D$2:D101,D101)*7,10)&lt;3,"teste","treino"))</f>
        <v/>
      </c>
      <c r="N101" s="16"/>
      <c r="O101" s="16"/>
      <c r="P101" s="16"/>
      <c r="Q101" s="17"/>
    </row>
    <row r="102" customFormat="false" ht="15" hidden="false" customHeight="false" outlineLevel="0" collapsed="false">
      <c r="A102" s="15" t="str">
        <f aca="false">IF(B102="","",ROW()-1)</f>
        <v/>
      </c>
      <c r="B102" s="16"/>
      <c r="C102" s="16"/>
      <c r="D102" s="16"/>
      <c r="E102" s="16"/>
      <c r="F102" s="17"/>
      <c r="G102" s="16"/>
      <c r="H102" s="16"/>
      <c r="I102" s="16"/>
      <c r="J102" s="16"/>
      <c r="K102" s="16"/>
      <c r="L102" s="16"/>
      <c r="M102" s="18" t="str">
        <f aca="false">IF(OR(C102="",D102=""),"",IF(MOD(COUNTIFS($C$2:C102,C102,$D$2:D102,D102)*7,10)&lt;3,"teste","treino"))</f>
        <v/>
      </c>
      <c r="N102" s="16"/>
      <c r="O102" s="16"/>
      <c r="P102" s="16"/>
      <c r="Q102" s="17"/>
    </row>
    <row r="103" customFormat="false" ht="15" hidden="false" customHeight="false" outlineLevel="0" collapsed="false">
      <c r="A103" s="15" t="str">
        <f aca="false">IF(B103="","",ROW()-1)</f>
        <v/>
      </c>
      <c r="B103" s="16"/>
      <c r="C103" s="16"/>
      <c r="D103" s="16"/>
      <c r="E103" s="16"/>
      <c r="F103" s="17"/>
      <c r="G103" s="16"/>
      <c r="H103" s="16"/>
      <c r="I103" s="16"/>
      <c r="J103" s="16"/>
      <c r="K103" s="16"/>
      <c r="L103" s="16"/>
      <c r="M103" s="18" t="str">
        <f aca="false">IF(OR(C103="",D103=""),"",IF(MOD(COUNTIFS($C$2:C103,C103,$D$2:D103,D103)*7,10)&lt;3,"teste","treino"))</f>
        <v/>
      </c>
      <c r="N103" s="16"/>
      <c r="O103" s="16"/>
      <c r="P103" s="16"/>
      <c r="Q103" s="17"/>
    </row>
    <row r="104" customFormat="false" ht="15" hidden="false" customHeight="false" outlineLevel="0" collapsed="false">
      <c r="A104" s="15" t="str">
        <f aca="false">IF(B104="","",ROW()-1)</f>
        <v/>
      </c>
      <c r="B104" s="16"/>
      <c r="C104" s="16"/>
      <c r="D104" s="16"/>
      <c r="E104" s="16"/>
      <c r="F104" s="17"/>
      <c r="G104" s="16"/>
      <c r="H104" s="16"/>
      <c r="I104" s="16"/>
      <c r="J104" s="16"/>
      <c r="K104" s="16"/>
      <c r="L104" s="16"/>
      <c r="M104" s="18" t="str">
        <f aca="false">IF(OR(C104="",D104=""),"",IF(MOD(COUNTIFS($C$2:C104,C104,$D$2:D104,D104)*7,10)&lt;3,"teste","treino"))</f>
        <v/>
      </c>
      <c r="N104" s="16"/>
      <c r="O104" s="16"/>
      <c r="P104" s="16"/>
      <c r="Q104" s="17"/>
    </row>
    <row r="105" customFormat="false" ht="15" hidden="false" customHeight="false" outlineLevel="0" collapsed="false">
      <c r="A105" s="15" t="str">
        <f aca="false">IF(B105="","",ROW()-1)</f>
        <v/>
      </c>
      <c r="B105" s="16"/>
      <c r="C105" s="16"/>
      <c r="D105" s="16"/>
      <c r="E105" s="16"/>
      <c r="F105" s="17"/>
      <c r="G105" s="16"/>
      <c r="H105" s="16"/>
      <c r="I105" s="16"/>
      <c r="J105" s="16"/>
      <c r="K105" s="16"/>
      <c r="L105" s="16"/>
      <c r="M105" s="18" t="str">
        <f aca="false">IF(OR(C105="",D105=""),"",IF(MOD(COUNTIFS($C$2:C105,C105,$D$2:D105,D105)*7,10)&lt;3,"teste","treino"))</f>
        <v/>
      </c>
      <c r="N105" s="16"/>
      <c r="O105" s="16"/>
      <c r="P105" s="16"/>
      <c r="Q105" s="17"/>
    </row>
    <row r="106" customFormat="false" ht="15" hidden="false" customHeight="false" outlineLevel="0" collapsed="false">
      <c r="A106" s="15" t="str">
        <f aca="false">IF(B106="","",ROW()-1)</f>
        <v/>
      </c>
      <c r="B106" s="16"/>
      <c r="C106" s="16"/>
      <c r="D106" s="16"/>
      <c r="E106" s="16"/>
      <c r="F106" s="17"/>
      <c r="G106" s="16"/>
      <c r="H106" s="16"/>
      <c r="I106" s="16"/>
      <c r="J106" s="16"/>
      <c r="K106" s="16"/>
      <c r="L106" s="16"/>
      <c r="M106" s="18" t="str">
        <f aca="false">IF(OR(C106="",D106=""),"",IF(MOD(COUNTIFS($C$2:C106,C106,$D$2:D106,D106)*7,10)&lt;3,"teste","treino"))</f>
        <v/>
      </c>
      <c r="N106" s="16"/>
      <c r="O106" s="16"/>
      <c r="P106" s="16"/>
      <c r="Q106" s="17"/>
    </row>
    <row r="107" customFormat="false" ht="15" hidden="false" customHeight="false" outlineLevel="0" collapsed="false">
      <c r="A107" s="15" t="str">
        <f aca="false">IF(B107="","",ROW()-1)</f>
        <v/>
      </c>
      <c r="B107" s="16"/>
      <c r="C107" s="16"/>
      <c r="D107" s="16"/>
      <c r="E107" s="16"/>
      <c r="F107" s="17"/>
      <c r="G107" s="16"/>
      <c r="H107" s="16"/>
      <c r="I107" s="16"/>
      <c r="J107" s="16"/>
      <c r="K107" s="16"/>
      <c r="L107" s="16"/>
      <c r="M107" s="18" t="str">
        <f aca="false">IF(OR(C107="",D107=""),"",IF(MOD(COUNTIFS($C$2:C107,C107,$D$2:D107,D107)*7,10)&lt;3,"teste","treino"))</f>
        <v/>
      </c>
      <c r="N107" s="16"/>
      <c r="O107" s="16"/>
      <c r="P107" s="16"/>
      <c r="Q107" s="17"/>
    </row>
    <row r="108" customFormat="false" ht="15" hidden="false" customHeight="false" outlineLevel="0" collapsed="false">
      <c r="A108" s="15" t="str">
        <f aca="false">IF(B108="","",ROW()-1)</f>
        <v/>
      </c>
      <c r="B108" s="16"/>
      <c r="C108" s="16"/>
      <c r="D108" s="16"/>
      <c r="E108" s="16"/>
      <c r="F108" s="17"/>
      <c r="G108" s="16"/>
      <c r="H108" s="16"/>
      <c r="I108" s="16"/>
      <c r="J108" s="16"/>
      <c r="K108" s="16"/>
      <c r="L108" s="16"/>
      <c r="M108" s="18" t="str">
        <f aca="false">IF(OR(C108="",D108=""),"",IF(MOD(COUNTIFS($C$2:C108,C108,$D$2:D108,D108)*7,10)&lt;3,"teste","treino"))</f>
        <v/>
      </c>
      <c r="N108" s="16"/>
      <c r="O108" s="16"/>
      <c r="P108" s="16"/>
      <c r="Q108" s="17"/>
    </row>
    <row r="109" customFormat="false" ht="15" hidden="false" customHeight="false" outlineLevel="0" collapsed="false">
      <c r="A109" s="15" t="str">
        <f aca="false">IF(B109="","",ROW()-1)</f>
        <v/>
      </c>
      <c r="B109" s="16"/>
      <c r="C109" s="16"/>
      <c r="D109" s="16"/>
      <c r="E109" s="16"/>
      <c r="F109" s="17"/>
      <c r="G109" s="16"/>
      <c r="H109" s="16"/>
      <c r="I109" s="16"/>
      <c r="J109" s="16"/>
      <c r="K109" s="16"/>
      <c r="L109" s="16"/>
      <c r="M109" s="18" t="str">
        <f aca="false">IF(OR(C109="",D109=""),"",IF(MOD(COUNTIFS($C$2:C109,C109,$D$2:D109,D109)*7,10)&lt;3,"teste","treino"))</f>
        <v/>
      </c>
      <c r="N109" s="16"/>
      <c r="O109" s="16"/>
      <c r="P109" s="16"/>
      <c r="Q109" s="17"/>
    </row>
    <row r="110" customFormat="false" ht="15" hidden="false" customHeight="false" outlineLevel="0" collapsed="false">
      <c r="A110" s="15" t="str">
        <f aca="false">IF(B110="","",ROW()-1)</f>
        <v/>
      </c>
      <c r="B110" s="16"/>
      <c r="C110" s="16"/>
      <c r="D110" s="16"/>
      <c r="E110" s="16"/>
      <c r="F110" s="17"/>
      <c r="G110" s="16"/>
      <c r="H110" s="16"/>
      <c r="I110" s="16"/>
      <c r="J110" s="16"/>
      <c r="K110" s="16"/>
      <c r="L110" s="16"/>
      <c r="M110" s="18" t="str">
        <f aca="false">IF(OR(C110="",D110=""),"",IF(MOD(COUNTIFS($C$2:C110,C110,$D$2:D110,D110)*7,10)&lt;3,"teste","treino"))</f>
        <v/>
      </c>
      <c r="N110" s="16"/>
      <c r="O110" s="16"/>
      <c r="P110" s="16"/>
      <c r="Q110" s="17"/>
    </row>
    <row r="111" customFormat="false" ht="15" hidden="false" customHeight="false" outlineLevel="0" collapsed="false">
      <c r="A111" s="15" t="str">
        <f aca="false">IF(B111="","",ROW()-1)</f>
        <v/>
      </c>
      <c r="B111" s="16"/>
      <c r="C111" s="16"/>
      <c r="D111" s="16"/>
      <c r="E111" s="16"/>
      <c r="F111" s="17"/>
      <c r="G111" s="16"/>
      <c r="H111" s="16"/>
      <c r="I111" s="16"/>
      <c r="J111" s="16"/>
      <c r="K111" s="16"/>
      <c r="L111" s="16"/>
      <c r="M111" s="18" t="str">
        <f aca="false">IF(OR(C111="",D111=""),"",IF(MOD(COUNTIFS($C$2:C111,C111,$D$2:D111,D111)*7,10)&lt;3,"teste","treino"))</f>
        <v/>
      </c>
      <c r="N111" s="16"/>
      <c r="O111" s="16"/>
      <c r="P111" s="16"/>
      <c r="Q111" s="17"/>
    </row>
    <row r="112" customFormat="false" ht="15" hidden="false" customHeight="false" outlineLevel="0" collapsed="false">
      <c r="A112" s="15" t="str">
        <f aca="false">IF(B112="","",ROW()-1)</f>
        <v/>
      </c>
      <c r="B112" s="16"/>
      <c r="C112" s="16"/>
      <c r="D112" s="16"/>
      <c r="E112" s="16"/>
      <c r="F112" s="17"/>
      <c r="G112" s="16"/>
      <c r="H112" s="16"/>
      <c r="I112" s="16"/>
      <c r="J112" s="16"/>
      <c r="K112" s="16"/>
      <c r="L112" s="16"/>
      <c r="M112" s="18" t="str">
        <f aca="false">IF(OR(C112="",D112=""),"",IF(MOD(COUNTIFS($C$2:C112,C112,$D$2:D112,D112)*7,10)&lt;3,"teste","treino"))</f>
        <v/>
      </c>
      <c r="N112" s="16"/>
      <c r="O112" s="16"/>
      <c r="P112" s="16"/>
      <c r="Q112" s="17"/>
    </row>
    <row r="113" customFormat="false" ht="15" hidden="false" customHeight="false" outlineLevel="0" collapsed="false">
      <c r="A113" s="15" t="str">
        <f aca="false">IF(B113="","",ROW()-1)</f>
        <v/>
      </c>
      <c r="B113" s="16"/>
      <c r="C113" s="16"/>
      <c r="D113" s="16"/>
      <c r="E113" s="16"/>
      <c r="F113" s="17"/>
      <c r="G113" s="16"/>
      <c r="H113" s="16"/>
      <c r="I113" s="16"/>
      <c r="J113" s="16"/>
      <c r="K113" s="16"/>
      <c r="L113" s="16"/>
      <c r="M113" s="18" t="str">
        <f aca="false">IF(OR(C113="",D113=""),"",IF(MOD(COUNTIFS($C$2:C113,C113,$D$2:D113,D113)*7,10)&lt;3,"teste","treino"))</f>
        <v/>
      </c>
      <c r="N113" s="16"/>
      <c r="O113" s="16"/>
      <c r="P113" s="16"/>
      <c r="Q113" s="17"/>
    </row>
    <row r="114" customFormat="false" ht="15" hidden="false" customHeight="false" outlineLevel="0" collapsed="false">
      <c r="A114" s="15" t="str">
        <f aca="false">IF(B114="","",ROW()-1)</f>
        <v/>
      </c>
      <c r="B114" s="16"/>
      <c r="C114" s="16"/>
      <c r="D114" s="16"/>
      <c r="E114" s="16"/>
      <c r="F114" s="17"/>
      <c r="G114" s="16"/>
      <c r="H114" s="16"/>
      <c r="I114" s="16"/>
      <c r="J114" s="16"/>
      <c r="K114" s="16"/>
      <c r="L114" s="16"/>
      <c r="M114" s="18" t="str">
        <f aca="false">IF(OR(C114="",D114=""),"",IF(MOD(COUNTIFS($C$2:C114,C114,$D$2:D114,D114)*7,10)&lt;3,"teste","treino"))</f>
        <v/>
      </c>
      <c r="N114" s="16"/>
      <c r="O114" s="16"/>
      <c r="P114" s="16"/>
      <c r="Q114" s="17"/>
    </row>
    <row r="115" customFormat="false" ht="15" hidden="false" customHeight="false" outlineLevel="0" collapsed="false">
      <c r="A115" s="15" t="str">
        <f aca="false">IF(B115="","",ROW()-1)</f>
        <v/>
      </c>
      <c r="B115" s="16"/>
      <c r="C115" s="16"/>
      <c r="D115" s="16"/>
      <c r="E115" s="16"/>
      <c r="F115" s="17"/>
      <c r="G115" s="16"/>
      <c r="H115" s="16"/>
      <c r="I115" s="16"/>
      <c r="J115" s="16"/>
      <c r="K115" s="16"/>
      <c r="L115" s="16"/>
      <c r="M115" s="18" t="str">
        <f aca="false">IF(OR(C115="",D115=""),"",IF(MOD(COUNTIFS($C$2:C115,C115,$D$2:D115,D115)*7,10)&lt;3,"teste","treino"))</f>
        <v/>
      </c>
      <c r="N115" s="16"/>
      <c r="O115" s="16"/>
      <c r="P115" s="16"/>
      <c r="Q115" s="17"/>
    </row>
    <row r="116" customFormat="false" ht="15" hidden="false" customHeight="false" outlineLevel="0" collapsed="false">
      <c r="A116" s="15" t="str">
        <f aca="false">IF(B116="","",ROW()-1)</f>
        <v/>
      </c>
      <c r="B116" s="16"/>
      <c r="C116" s="16"/>
      <c r="D116" s="16"/>
      <c r="E116" s="16"/>
      <c r="F116" s="17"/>
      <c r="G116" s="16"/>
      <c r="H116" s="16"/>
      <c r="I116" s="16"/>
      <c r="J116" s="16"/>
      <c r="K116" s="16"/>
      <c r="L116" s="16"/>
      <c r="M116" s="18" t="str">
        <f aca="false">IF(OR(C116="",D116=""),"",IF(MOD(COUNTIFS($C$2:C116,C116,$D$2:D116,D116)*7,10)&lt;3,"teste","treino"))</f>
        <v/>
      </c>
      <c r="N116" s="16"/>
      <c r="O116" s="16"/>
      <c r="P116" s="16"/>
      <c r="Q116" s="17"/>
    </row>
    <row r="117" customFormat="false" ht="15" hidden="false" customHeight="false" outlineLevel="0" collapsed="false">
      <c r="A117" s="15" t="str">
        <f aca="false">IF(B117="","",ROW()-1)</f>
        <v/>
      </c>
      <c r="B117" s="16"/>
      <c r="C117" s="16"/>
      <c r="D117" s="16"/>
      <c r="E117" s="16"/>
      <c r="F117" s="17"/>
      <c r="G117" s="16"/>
      <c r="H117" s="16"/>
      <c r="I117" s="16"/>
      <c r="J117" s="16"/>
      <c r="K117" s="16"/>
      <c r="L117" s="16"/>
      <c r="M117" s="18" t="str">
        <f aca="false">IF(OR(C117="",D117=""),"",IF(MOD(COUNTIFS($C$2:C117,C117,$D$2:D117,D117)*7,10)&lt;3,"teste","treino"))</f>
        <v/>
      </c>
      <c r="N117" s="16"/>
      <c r="O117" s="16"/>
      <c r="P117" s="16"/>
      <c r="Q117" s="17"/>
    </row>
    <row r="118" customFormat="false" ht="15" hidden="false" customHeight="false" outlineLevel="0" collapsed="false">
      <c r="A118" s="15" t="str">
        <f aca="false">IF(B118="","",ROW()-1)</f>
        <v/>
      </c>
      <c r="B118" s="16"/>
      <c r="C118" s="16"/>
      <c r="D118" s="16"/>
      <c r="E118" s="16"/>
      <c r="F118" s="17"/>
      <c r="G118" s="16"/>
      <c r="H118" s="16"/>
      <c r="I118" s="16"/>
      <c r="J118" s="16"/>
      <c r="K118" s="16"/>
      <c r="L118" s="16"/>
      <c r="M118" s="18" t="str">
        <f aca="false">IF(OR(C118="",D118=""),"",IF(MOD(COUNTIFS($C$2:C118,C118,$D$2:D118,D118)*7,10)&lt;3,"teste","treino"))</f>
        <v/>
      </c>
      <c r="N118" s="16"/>
      <c r="O118" s="16"/>
      <c r="P118" s="16"/>
      <c r="Q118" s="17"/>
    </row>
    <row r="119" customFormat="false" ht="15" hidden="false" customHeight="false" outlineLevel="0" collapsed="false">
      <c r="A119" s="15" t="str">
        <f aca="false">IF(B119="","",ROW()-1)</f>
        <v/>
      </c>
      <c r="B119" s="16"/>
      <c r="C119" s="16"/>
      <c r="D119" s="16"/>
      <c r="E119" s="16"/>
      <c r="F119" s="17"/>
      <c r="G119" s="16"/>
      <c r="H119" s="16"/>
      <c r="I119" s="16"/>
      <c r="J119" s="16"/>
      <c r="K119" s="16"/>
      <c r="L119" s="16"/>
      <c r="M119" s="18" t="str">
        <f aca="false">IF(OR(C119="",D119=""),"",IF(MOD(COUNTIFS($C$2:C119,C119,$D$2:D119,D119)*7,10)&lt;3,"teste","treino"))</f>
        <v/>
      </c>
      <c r="N119" s="16"/>
      <c r="O119" s="16"/>
      <c r="P119" s="16"/>
      <c r="Q119" s="17"/>
    </row>
    <row r="120" customFormat="false" ht="15" hidden="false" customHeight="false" outlineLevel="0" collapsed="false">
      <c r="A120" s="15" t="str">
        <f aca="false">IF(B120="","",ROW()-1)</f>
        <v/>
      </c>
      <c r="B120" s="16"/>
      <c r="C120" s="16"/>
      <c r="D120" s="16"/>
      <c r="E120" s="16"/>
      <c r="F120" s="17"/>
      <c r="G120" s="16"/>
      <c r="H120" s="16"/>
      <c r="I120" s="16"/>
      <c r="J120" s="16"/>
      <c r="K120" s="16"/>
      <c r="L120" s="16"/>
      <c r="M120" s="18" t="str">
        <f aca="false">IF(OR(C120="",D120=""),"",IF(MOD(COUNTIFS($C$2:C120,C120,$D$2:D120,D120)*7,10)&lt;3,"teste","treino"))</f>
        <v/>
      </c>
      <c r="N120" s="16"/>
      <c r="O120" s="16"/>
      <c r="P120" s="16"/>
      <c r="Q120" s="17"/>
    </row>
    <row r="121" customFormat="false" ht="15" hidden="false" customHeight="false" outlineLevel="0" collapsed="false">
      <c r="A121" s="15" t="str">
        <f aca="false">IF(B121="","",ROW()-1)</f>
        <v/>
      </c>
      <c r="B121" s="16"/>
      <c r="C121" s="16"/>
      <c r="D121" s="16"/>
      <c r="E121" s="16"/>
      <c r="F121" s="17"/>
      <c r="G121" s="16"/>
      <c r="H121" s="16"/>
      <c r="I121" s="16"/>
      <c r="J121" s="16"/>
      <c r="K121" s="16"/>
      <c r="L121" s="16"/>
      <c r="M121" s="18" t="str">
        <f aca="false">IF(OR(C121="",D121=""),"",IF(MOD(COUNTIFS($C$2:C121,C121,$D$2:D121,D121)*7,10)&lt;3,"teste","treino"))</f>
        <v/>
      </c>
      <c r="N121" s="16"/>
      <c r="O121" s="16"/>
      <c r="P121" s="16"/>
      <c r="Q121" s="17"/>
    </row>
    <row r="122" customFormat="false" ht="15" hidden="false" customHeight="false" outlineLevel="0" collapsed="false">
      <c r="A122" s="15" t="str">
        <f aca="false">IF(B122="","",ROW()-1)</f>
        <v/>
      </c>
      <c r="B122" s="16"/>
      <c r="C122" s="16"/>
      <c r="D122" s="16"/>
      <c r="E122" s="16"/>
      <c r="F122" s="17"/>
      <c r="G122" s="16"/>
      <c r="H122" s="16"/>
      <c r="I122" s="16"/>
      <c r="J122" s="16"/>
      <c r="K122" s="16"/>
      <c r="L122" s="16"/>
      <c r="M122" s="18" t="str">
        <f aca="false">IF(OR(C122="",D122=""),"",IF(MOD(COUNTIFS($C$2:C122,C122,$D$2:D122,D122)*7,10)&lt;3,"teste","treino"))</f>
        <v/>
      </c>
      <c r="N122" s="16"/>
      <c r="O122" s="16"/>
      <c r="P122" s="16"/>
      <c r="Q122" s="17"/>
    </row>
    <row r="123" customFormat="false" ht="15" hidden="false" customHeight="false" outlineLevel="0" collapsed="false">
      <c r="A123" s="15" t="str">
        <f aca="false">IF(B123="","",ROW()-1)</f>
        <v/>
      </c>
      <c r="B123" s="16"/>
      <c r="C123" s="16"/>
      <c r="D123" s="16"/>
      <c r="E123" s="16"/>
      <c r="F123" s="17"/>
      <c r="G123" s="16"/>
      <c r="H123" s="16"/>
      <c r="I123" s="16"/>
      <c r="J123" s="16"/>
      <c r="K123" s="16"/>
      <c r="L123" s="16"/>
      <c r="M123" s="18" t="str">
        <f aca="false">IF(OR(C123="",D123=""),"",IF(MOD(COUNTIFS($C$2:C123,C123,$D$2:D123,D123)*7,10)&lt;3,"teste","treino"))</f>
        <v/>
      </c>
      <c r="N123" s="16"/>
      <c r="O123" s="16"/>
      <c r="P123" s="16"/>
      <c r="Q123" s="17"/>
    </row>
    <row r="124" customFormat="false" ht="15" hidden="false" customHeight="false" outlineLevel="0" collapsed="false">
      <c r="A124" s="15" t="str">
        <f aca="false">IF(B124="","",ROW()-1)</f>
        <v/>
      </c>
      <c r="B124" s="16"/>
      <c r="C124" s="16"/>
      <c r="D124" s="16"/>
      <c r="E124" s="16"/>
      <c r="F124" s="17"/>
      <c r="G124" s="16"/>
      <c r="H124" s="16"/>
      <c r="I124" s="16"/>
      <c r="J124" s="16"/>
      <c r="K124" s="16"/>
      <c r="L124" s="16"/>
      <c r="M124" s="18" t="str">
        <f aca="false">IF(OR(C124="",D124=""),"",IF(MOD(COUNTIFS($C$2:C124,C124,$D$2:D124,D124)*7,10)&lt;3,"teste","treino"))</f>
        <v/>
      </c>
      <c r="N124" s="16"/>
      <c r="O124" s="16"/>
      <c r="P124" s="16"/>
      <c r="Q124" s="17"/>
    </row>
    <row r="125" customFormat="false" ht="15" hidden="false" customHeight="false" outlineLevel="0" collapsed="false">
      <c r="A125" s="15" t="str">
        <f aca="false">IF(B125="","",ROW()-1)</f>
        <v/>
      </c>
      <c r="B125" s="16"/>
      <c r="C125" s="16"/>
      <c r="D125" s="16"/>
      <c r="E125" s="16"/>
      <c r="F125" s="17"/>
      <c r="G125" s="16"/>
      <c r="H125" s="16"/>
      <c r="I125" s="16"/>
      <c r="J125" s="16"/>
      <c r="K125" s="16"/>
      <c r="L125" s="16"/>
      <c r="M125" s="18" t="str">
        <f aca="false">IF(OR(C125="",D125=""),"",IF(MOD(COUNTIFS($C$2:C125,C125,$D$2:D125,D125)*7,10)&lt;3,"teste","treino"))</f>
        <v/>
      </c>
      <c r="N125" s="16"/>
      <c r="O125" s="16"/>
      <c r="P125" s="16"/>
      <c r="Q125" s="17"/>
    </row>
    <row r="126" customFormat="false" ht="15" hidden="false" customHeight="false" outlineLevel="0" collapsed="false">
      <c r="A126" s="15" t="str">
        <f aca="false">IF(B126="","",ROW()-1)</f>
        <v/>
      </c>
      <c r="B126" s="16"/>
      <c r="C126" s="16"/>
      <c r="D126" s="16"/>
      <c r="E126" s="16"/>
      <c r="F126" s="17"/>
      <c r="G126" s="16"/>
      <c r="H126" s="16"/>
      <c r="I126" s="16"/>
      <c r="J126" s="16"/>
      <c r="K126" s="16"/>
      <c r="L126" s="16"/>
      <c r="M126" s="18" t="str">
        <f aca="false">IF(OR(C126="",D126=""),"",IF(MOD(COUNTIFS($C$2:C126,C126,$D$2:D126,D126)*7,10)&lt;3,"teste","treino"))</f>
        <v/>
      </c>
      <c r="N126" s="16"/>
      <c r="O126" s="16"/>
      <c r="P126" s="16"/>
      <c r="Q126" s="17"/>
    </row>
    <row r="127" customFormat="false" ht="15" hidden="false" customHeight="false" outlineLevel="0" collapsed="false">
      <c r="A127" s="15" t="str">
        <f aca="false">IF(B127="","",ROW()-1)</f>
        <v/>
      </c>
      <c r="B127" s="16"/>
      <c r="C127" s="16"/>
      <c r="D127" s="16"/>
      <c r="E127" s="16"/>
      <c r="F127" s="17"/>
      <c r="G127" s="16"/>
      <c r="H127" s="16"/>
      <c r="I127" s="16"/>
      <c r="J127" s="16"/>
      <c r="K127" s="16"/>
      <c r="L127" s="16"/>
      <c r="M127" s="18" t="str">
        <f aca="false">IF(OR(C127="",D127=""),"",IF(MOD(COUNTIFS($C$2:C127,C127,$D$2:D127,D127)*7,10)&lt;3,"teste","treino"))</f>
        <v/>
      </c>
      <c r="N127" s="16"/>
      <c r="O127" s="16"/>
      <c r="P127" s="16"/>
      <c r="Q127" s="17"/>
    </row>
    <row r="128" customFormat="false" ht="15" hidden="false" customHeight="false" outlineLevel="0" collapsed="false">
      <c r="A128" s="15" t="str">
        <f aca="false">IF(B128="","",ROW()-1)</f>
        <v/>
      </c>
      <c r="B128" s="16"/>
      <c r="C128" s="16"/>
      <c r="D128" s="16"/>
      <c r="E128" s="16"/>
      <c r="F128" s="17"/>
      <c r="G128" s="16"/>
      <c r="H128" s="16"/>
      <c r="I128" s="16"/>
      <c r="J128" s="16"/>
      <c r="K128" s="16"/>
      <c r="L128" s="16"/>
      <c r="M128" s="18" t="str">
        <f aca="false">IF(OR(C128="",D128=""),"",IF(MOD(COUNTIFS($C$2:C128,C128,$D$2:D128,D128)*7,10)&lt;3,"teste","treino"))</f>
        <v/>
      </c>
      <c r="N128" s="16"/>
      <c r="O128" s="16"/>
      <c r="P128" s="16"/>
      <c r="Q128" s="17"/>
    </row>
    <row r="129" customFormat="false" ht="15" hidden="false" customHeight="false" outlineLevel="0" collapsed="false">
      <c r="A129" s="15" t="str">
        <f aca="false">IF(B129="","",ROW()-1)</f>
        <v/>
      </c>
      <c r="B129" s="16"/>
      <c r="C129" s="16"/>
      <c r="D129" s="16"/>
      <c r="E129" s="16"/>
      <c r="F129" s="17"/>
      <c r="G129" s="16"/>
      <c r="H129" s="16"/>
      <c r="I129" s="16"/>
      <c r="J129" s="16"/>
      <c r="K129" s="16"/>
      <c r="L129" s="16"/>
      <c r="M129" s="18" t="str">
        <f aca="false">IF(OR(C129="",D129=""),"",IF(MOD(COUNTIFS($C$2:C129,C129,$D$2:D129,D129)*7,10)&lt;3,"teste","treino"))</f>
        <v/>
      </c>
      <c r="N129" s="16"/>
      <c r="O129" s="16"/>
      <c r="P129" s="16"/>
      <c r="Q129" s="17"/>
    </row>
    <row r="130" customFormat="false" ht="15" hidden="false" customHeight="false" outlineLevel="0" collapsed="false">
      <c r="A130" s="15" t="str">
        <f aca="false">IF(B130="","",ROW()-1)</f>
        <v/>
      </c>
      <c r="B130" s="16"/>
      <c r="C130" s="16"/>
      <c r="D130" s="16"/>
      <c r="E130" s="16"/>
      <c r="F130" s="17"/>
      <c r="G130" s="16"/>
      <c r="H130" s="16"/>
      <c r="I130" s="16"/>
      <c r="J130" s="16"/>
      <c r="K130" s="16"/>
      <c r="L130" s="16"/>
      <c r="M130" s="18" t="str">
        <f aca="false">IF(OR(C130="",D130=""),"",IF(MOD(COUNTIFS($C$2:C130,C130,$D$2:D130,D130)*7,10)&lt;3,"teste","treino"))</f>
        <v/>
      </c>
      <c r="N130" s="16"/>
      <c r="O130" s="16"/>
      <c r="P130" s="16"/>
      <c r="Q130" s="17"/>
    </row>
    <row r="131" customFormat="false" ht="15" hidden="false" customHeight="false" outlineLevel="0" collapsed="false">
      <c r="A131" s="15" t="str">
        <f aca="false">IF(B131="","",ROW()-1)</f>
        <v/>
      </c>
      <c r="B131" s="16"/>
      <c r="C131" s="16"/>
      <c r="D131" s="16"/>
      <c r="E131" s="16"/>
      <c r="F131" s="17"/>
      <c r="G131" s="16"/>
      <c r="H131" s="16"/>
      <c r="I131" s="16"/>
      <c r="J131" s="16"/>
      <c r="K131" s="16"/>
      <c r="L131" s="16"/>
      <c r="M131" s="18" t="str">
        <f aca="false">IF(OR(C131="",D131=""),"",IF(MOD(COUNTIFS($C$2:C131,C131,$D$2:D131,D131)*7,10)&lt;3,"teste","treino"))</f>
        <v/>
      </c>
      <c r="N131" s="16"/>
      <c r="O131" s="16"/>
      <c r="P131" s="16"/>
      <c r="Q131" s="17"/>
    </row>
    <row r="132" customFormat="false" ht="15" hidden="false" customHeight="false" outlineLevel="0" collapsed="false">
      <c r="A132" s="15" t="str">
        <f aca="false">IF(B132="","",ROW()-1)</f>
        <v/>
      </c>
      <c r="B132" s="16"/>
      <c r="C132" s="16"/>
      <c r="D132" s="16"/>
      <c r="E132" s="16"/>
      <c r="F132" s="17"/>
      <c r="G132" s="16"/>
      <c r="H132" s="16"/>
      <c r="I132" s="16"/>
      <c r="J132" s="16"/>
      <c r="K132" s="16"/>
      <c r="L132" s="16"/>
      <c r="M132" s="18" t="str">
        <f aca="false">IF(OR(C132="",D132=""),"",IF(MOD(COUNTIFS($C$2:C132,C132,$D$2:D132,D132)*7,10)&lt;3,"teste","treino"))</f>
        <v/>
      </c>
      <c r="N132" s="16"/>
      <c r="O132" s="16"/>
      <c r="P132" s="16"/>
      <c r="Q132" s="17"/>
    </row>
    <row r="133" customFormat="false" ht="15" hidden="false" customHeight="false" outlineLevel="0" collapsed="false">
      <c r="A133" s="15" t="str">
        <f aca="false">IF(B133="","",ROW()-1)</f>
        <v/>
      </c>
      <c r="B133" s="16"/>
      <c r="C133" s="16"/>
      <c r="D133" s="16"/>
      <c r="E133" s="16"/>
      <c r="F133" s="17"/>
      <c r="G133" s="16"/>
      <c r="H133" s="16"/>
      <c r="I133" s="16"/>
      <c r="J133" s="16"/>
      <c r="K133" s="16"/>
      <c r="L133" s="16"/>
      <c r="M133" s="18" t="str">
        <f aca="false">IF(OR(C133="",D133=""),"",IF(MOD(COUNTIFS($C$2:C133,C133,$D$2:D133,D133)*7,10)&lt;3,"teste","treino"))</f>
        <v/>
      </c>
      <c r="N133" s="16"/>
      <c r="O133" s="16"/>
      <c r="P133" s="16"/>
      <c r="Q133" s="17"/>
    </row>
    <row r="134" customFormat="false" ht="15" hidden="false" customHeight="false" outlineLevel="0" collapsed="false">
      <c r="A134" s="15" t="str">
        <f aca="false">IF(B134="","",ROW()-1)</f>
        <v/>
      </c>
      <c r="B134" s="16"/>
      <c r="C134" s="16"/>
      <c r="D134" s="16"/>
      <c r="E134" s="16"/>
      <c r="F134" s="17"/>
      <c r="G134" s="16"/>
      <c r="H134" s="16"/>
      <c r="I134" s="16"/>
      <c r="J134" s="16"/>
      <c r="K134" s="16"/>
      <c r="L134" s="16"/>
      <c r="M134" s="18" t="str">
        <f aca="false">IF(OR(C134="",D134=""),"",IF(MOD(COUNTIFS($C$2:C134,C134,$D$2:D134,D134)*7,10)&lt;3,"teste","treino"))</f>
        <v/>
      </c>
      <c r="N134" s="16"/>
      <c r="O134" s="16"/>
      <c r="P134" s="16"/>
      <c r="Q134" s="17"/>
    </row>
    <row r="135" customFormat="false" ht="15" hidden="false" customHeight="false" outlineLevel="0" collapsed="false">
      <c r="A135" s="15" t="str">
        <f aca="false">IF(B135="","",ROW()-1)</f>
        <v/>
      </c>
      <c r="B135" s="16"/>
      <c r="C135" s="16"/>
      <c r="D135" s="16"/>
      <c r="E135" s="16"/>
      <c r="F135" s="17"/>
      <c r="G135" s="16"/>
      <c r="H135" s="16"/>
      <c r="I135" s="16"/>
      <c r="J135" s="16"/>
      <c r="K135" s="16"/>
      <c r="L135" s="16"/>
      <c r="M135" s="18" t="str">
        <f aca="false">IF(OR(C135="",D135=""),"",IF(MOD(COUNTIFS($C$2:C135,C135,$D$2:D135,D135)*7,10)&lt;3,"teste","treino"))</f>
        <v/>
      </c>
      <c r="N135" s="16"/>
      <c r="O135" s="16"/>
      <c r="P135" s="16"/>
      <c r="Q135" s="17"/>
    </row>
    <row r="136" customFormat="false" ht="15" hidden="false" customHeight="false" outlineLevel="0" collapsed="false">
      <c r="A136" s="15" t="str">
        <f aca="false">IF(B136="","",ROW()-1)</f>
        <v/>
      </c>
      <c r="B136" s="16"/>
      <c r="C136" s="16"/>
      <c r="D136" s="16"/>
      <c r="E136" s="16"/>
      <c r="F136" s="17"/>
      <c r="G136" s="16"/>
      <c r="H136" s="16"/>
      <c r="I136" s="16"/>
      <c r="J136" s="16"/>
      <c r="K136" s="16"/>
      <c r="L136" s="16"/>
      <c r="M136" s="18" t="str">
        <f aca="false">IF(OR(C136="",D136=""),"",IF(MOD(COUNTIFS($C$2:C136,C136,$D$2:D136,D136)*7,10)&lt;3,"teste","treino"))</f>
        <v/>
      </c>
      <c r="N136" s="16"/>
      <c r="O136" s="16"/>
      <c r="P136" s="16"/>
      <c r="Q136" s="17"/>
    </row>
    <row r="137" customFormat="false" ht="15" hidden="false" customHeight="false" outlineLevel="0" collapsed="false">
      <c r="A137" s="15" t="str">
        <f aca="false">IF(B137="","",ROW()-1)</f>
        <v/>
      </c>
      <c r="B137" s="16"/>
      <c r="C137" s="16"/>
      <c r="D137" s="16"/>
      <c r="E137" s="16"/>
      <c r="F137" s="17"/>
      <c r="G137" s="16"/>
      <c r="H137" s="16"/>
      <c r="I137" s="16"/>
      <c r="J137" s="16"/>
      <c r="K137" s="16"/>
      <c r="L137" s="16"/>
      <c r="M137" s="18" t="str">
        <f aca="false">IF(OR(C137="",D137=""),"",IF(MOD(COUNTIFS($C$2:C137,C137,$D$2:D137,D137)*7,10)&lt;3,"teste","treino"))</f>
        <v/>
      </c>
      <c r="N137" s="16"/>
      <c r="O137" s="16"/>
      <c r="P137" s="16"/>
      <c r="Q137" s="17"/>
    </row>
    <row r="138" customFormat="false" ht="15" hidden="false" customHeight="false" outlineLevel="0" collapsed="false">
      <c r="A138" s="15" t="str">
        <f aca="false">IF(B138="","",ROW()-1)</f>
        <v/>
      </c>
      <c r="B138" s="16"/>
      <c r="C138" s="16"/>
      <c r="D138" s="16"/>
      <c r="E138" s="16"/>
      <c r="F138" s="17"/>
      <c r="G138" s="16"/>
      <c r="H138" s="16"/>
      <c r="I138" s="16"/>
      <c r="J138" s="16"/>
      <c r="K138" s="16"/>
      <c r="L138" s="16"/>
      <c r="M138" s="18" t="str">
        <f aca="false">IF(OR(C138="",D138=""),"",IF(MOD(COUNTIFS($C$2:C138,C138,$D$2:D138,D138)*7,10)&lt;3,"teste","treino"))</f>
        <v/>
      </c>
      <c r="N138" s="16"/>
      <c r="O138" s="16"/>
      <c r="P138" s="16"/>
      <c r="Q138" s="17"/>
    </row>
    <row r="139" customFormat="false" ht="15" hidden="false" customHeight="false" outlineLevel="0" collapsed="false">
      <c r="A139" s="15" t="str">
        <f aca="false">IF(B139="","",ROW()-1)</f>
        <v/>
      </c>
      <c r="B139" s="16"/>
      <c r="C139" s="16"/>
      <c r="D139" s="16"/>
      <c r="E139" s="16"/>
      <c r="F139" s="17"/>
      <c r="G139" s="16"/>
      <c r="H139" s="16"/>
      <c r="I139" s="16"/>
      <c r="J139" s="16"/>
      <c r="K139" s="16"/>
      <c r="L139" s="16"/>
      <c r="M139" s="18" t="str">
        <f aca="false">IF(OR(C139="",D139=""),"",IF(MOD(COUNTIFS($C$2:C139,C139,$D$2:D139,D139)*7,10)&lt;3,"teste","treino"))</f>
        <v/>
      </c>
      <c r="N139" s="16"/>
      <c r="O139" s="16"/>
      <c r="P139" s="16"/>
      <c r="Q139" s="17"/>
    </row>
    <row r="140" customFormat="false" ht="15" hidden="false" customHeight="false" outlineLevel="0" collapsed="false">
      <c r="A140" s="15" t="str">
        <f aca="false">IF(B140="","",ROW()-1)</f>
        <v/>
      </c>
      <c r="B140" s="16"/>
      <c r="C140" s="16"/>
      <c r="D140" s="16"/>
      <c r="E140" s="16"/>
      <c r="F140" s="17"/>
      <c r="G140" s="16"/>
      <c r="H140" s="16"/>
      <c r="I140" s="16"/>
      <c r="J140" s="16"/>
      <c r="K140" s="16"/>
      <c r="L140" s="16"/>
      <c r="M140" s="18" t="str">
        <f aca="false">IF(OR(C140="",D140=""),"",IF(MOD(COUNTIFS($C$2:C140,C140,$D$2:D140,D140)*7,10)&lt;3,"teste","treino"))</f>
        <v/>
      </c>
      <c r="N140" s="16"/>
      <c r="O140" s="16"/>
      <c r="P140" s="16"/>
      <c r="Q140" s="17"/>
    </row>
    <row r="141" customFormat="false" ht="15" hidden="false" customHeight="false" outlineLevel="0" collapsed="false">
      <c r="A141" s="15" t="str">
        <f aca="false">IF(B141="","",ROW()-1)</f>
        <v/>
      </c>
      <c r="B141" s="16"/>
      <c r="C141" s="16"/>
      <c r="D141" s="16"/>
      <c r="E141" s="16"/>
      <c r="F141" s="17"/>
      <c r="G141" s="16"/>
      <c r="H141" s="16"/>
      <c r="I141" s="16"/>
      <c r="J141" s="16"/>
      <c r="K141" s="16"/>
      <c r="L141" s="16"/>
      <c r="M141" s="18" t="str">
        <f aca="false">IF(OR(C141="",D141=""),"",IF(MOD(COUNTIFS($C$2:C141,C141,$D$2:D141,D141)*7,10)&lt;3,"teste","treino"))</f>
        <v/>
      </c>
      <c r="N141" s="16"/>
      <c r="O141" s="16"/>
      <c r="P141" s="16"/>
      <c r="Q141" s="17"/>
    </row>
    <row r="142" customFormat="false" ht="15" hidden="false" customHeight="false" outlineLevel="0" collapsed="false">
      <c r="A142" s="15" t="str">
        <f aca="false">IF(B142="","",ROW()-1)</f>
        <v/>
      </c>
      <c r="B142" s="16"/>
      <c r="C142" s="16"/>
      <c r="D142" s="16"/>
      <c r="E142" s="16"/>
      <c r="F142" s="17"/>
      <c r="G142" s="16"/>
      <c r="H142" s="16"/>
      <c r="I142" s="16"/>
      <c r="J142" s="16"/>
      <c r="K142" s="16"/>
      <c r="L142" s="16"/>
      <c r="M142" s="18" t="str">
        <f aca="false">IF(OR(C142="",D142=""),"",IF(MOD(COUNTIFS($C$2:C142,C142,$D$2:D142,D142)*7,10)&lt;3,"teste","treino"))</f>
        <v/>
      </c>
      <c r="N142" s="16"/>
      <c r="O142" s="16"/>
      <c r="P142" s="16"/>
      <c r="Q142" s="17"/>
    </row>
    <row r="143" customFormat="false" ht="15" hidden="false" customHeight="false" outlineLevel="0" collapsed="false">
      <c r="A143" s="15" t="str">
        <f aca="false">IF(B143="","",ROW()-1)</f>
        <v/>
      </c>
      <c r="B143" s="16"/>
      <c r="C143" s="16"/>
      <c r="D143" s="16"/>
      <c r="E143" s="16"/>
      <c r="F143" s="17"/>
      <c r="G143" s="16"/>
      <c r="H143" s="16"/>
      <c r="I143" s="16"/>
      <c r="J143" s="16"/>
      <c r="K143" s="16"/>
      <c r="L143" s="16"/>
      <c r="M143" s="18" t="str">
        <f aca="false">IF(OR(C143="",D143=""),"",IF(MOD(COUNTIFS($C$2:C143,C143,$D$2:D143,D143)*7,10)&lt;3,"teste","treino"))</f>
        <v/>
      </c>
      <c r="N143" s="16"/>
      <c r="O143" s="16"/>
      <c r="P143" s="16"/>
      <c r="Q143" s="17"/>
    </row>
    <row r="144" customFormat="false" ht="15" hidden="false" customHeight="false" outlineLevel="0" collapsed="false">
      <c r="A144" s="15" t="str">
        <f aca="false">IF(B144="","",ROW()-1)</f>
        <v/>
      </c>
      <c r="B144" s="16"/>
      <c r="C144" s="16"/>
      <c r="D144" s="16"/>
      <c r="E144" s="16"/>
      <c r="F144" s="17"/>
      <c r="G144" s="16"/>
      <c r="H144" s="16"/>
      <c r="I144" s="16"/>
      <c r="J144" s="16"/>
      <c r="K144" s="16"/>
      <c r="L144" s="16"/>
      <c r="M144" s="18" t="str">
        <f aca="false">IF(OR(C144="",D144=""),"",IF(MOD(COUNTIFS($C$2:C144,C144,$D$2:D144,D144)*7,10)&lt;3,"teste","treino"))</f>
        <v/>
      </c>
      <c r="N144" s="16"/>
      <c r="O144" s="16"/>
      <c r="P144" s="16"/>
      <c r="Q144" s="17"/>
    </row>
    <row r="145" customFormat="false" ht="15" hidden="false" customHeight="false" outlineLevel="0" collapsed="false">
      <c r="A145" s="15" t="str">
        <f aca="false">IF(B145="","",ROW()-1)</f>
        <v/>
      </c>
      <c r="B145" s="16"/>
      <c r="C145" s="16"/>
      <c r="D145" s="16"/>
      <c r="E145" s="16"/>
      <c r="F145" s="17"/>
      <c r="G145" s="16"/>
      <c r="H145" s="16"/>
      <c r="I145" s="16"/>
      <c r="J145" s="16"/>
      <c r="K145" s="16"/>
      <c r="L145" s="16"/>
      <c r="M145" s="18" t="str">
        <f aca="false">IF(OR(C145="",D145=""),"",IF(MOD(COUNTIFS($C$2:C145,C145,$D$2:D145,D145)*7,10)&lt;3,"teste","treino"))</f>
        <v/>
      </c>
      <c r="N145" s="16"/>
      <c r="O145" s="16"/>
      <c r="P145" s="16"/>
      <c r="Q145" s="17"/>
    </row>
    <row r="146" customFormat="false" ht="15" hidden="false" customHeight="false" outlineLevel="0" collapsed="false">
      <c r="A146" s="15" t="str">
        <f aca="false">IF(B146="","",ROW()-1)</f>
        <v/>
      </c>
      <c r="B146" s="16"/>
      <c r="C146" s="16"/>
      <c r="D146" s="16"/>
      <c r="E146" s="16"/>
      <c r="F146" s="17"/>
      <c r="G146" s="16"/>
      <c r="H146" s="16"/>
      <c r="I146" s="16"/>
      <c r="J146" s="16"/>
      <c r="K146" s="16"/>
      <c r="L146" s="16"/>
      <c r="M146" s="18" t="str">
        <f aca="false">IF(OR(C146="",D146=""),"",IF(MOD(COUNTIFS($C$2:C146,C146,$D$2:D146,D146)*7,10)&lt;3,"teste","treino"))</f>
        <v/>
      </c>
      <c r="N146" s="16"/>
      <c r="O146" s="16"/>
      <c r="P146" s="16"/>
      <c r="Q146" s="17"/>
    </row>
    <row r="147" customFormat="false" ht="15" hidden="false" customHeight="false" outlineLevel="0" collapsed="false">
      <c r="A147" s="15" t="str">
        <f aca="false">IF(B147="","",ROW()-1)</f>
        <v/>
      </c>
      <c r="B147" s="16"/>
      <c r="C147" s="16"/>
      <c r="D147" s="16"/>
      <c r="E147" s="16"/>
      <c r="F147" s="17"/>
      <c r="G147" s="16"/>
      <c r="H147" s="16"/>
      <c r="I147" s="16"/>
      <c r="J147" s="16"/>
      <c r="K147" s="16"/>
      <c r="L147" s="16"/>
      <c r="M147" s="18" t="str">
        <f aca="false">IF(OR(C147="",D147=""),"",IF(MOD(COUNTIFS($C$2:C147,C147,$D$2:D147,D147)*7,10)&lt;3,"teste","treino"))</f>
        <v/>
      </c>
      <c r="N147" s="16"/>
      <c r="O147" s="16"/>
      <c r="P147" s="16"/>
      <c r="Q147" s="17"/>
    </row>
    <row r="148" customFormat="false" ht="15" hidden="false" customHeight="false" outlineLevel="0" collapsed="false">
      <c r="A148" s="15" t="str">
        <f aca="false">IF(B148="","",ROW()-1)</f>
        <v/>
      </c>
      <c r="B148" s="16"/>
      <c r="C148" s="16"/>
      <c r="D148" s="16"/>
      <c r="E148" s="16"/>
      <c r="F148" s="17"/>
      <c r="G148" s="16"/>
      <c r="H148" s="16"/>
      <c r="I148" s="16"/>
      <c r="J148" s="16"/>
      <c r="K148" s="16"/>
      <c r="L148" s="16"/>
      <c r="M148" s="18" t="str">
        <f aca="false">IF(OR(C148="",D148=""),"",IF(MOD(COUNTIFS($C$2:C148,C148,$D$2:D148,D148)*7,10)&lt;3,"teste","treino"))</f>
        <v/>
      </c>
      <c r="N148" s="16"/>
      <c r="O148" s="16"/>
      <c r="P148" s="16"/>
      <c r="Q148" s="17"/>
    </row>
    <row r="149" customFormat="false" ht="15" hidden="false" customHeight="false" outlineLevel="0" collapsed="false">
      <c r="A149" s="15" t="str">
        <f aca="false">IF(B149="","",ROW()-1)</f>
        <v/>
      </c>
      <c r="B149" s="16"/>
      <c r="C149" s="16"/>
      <c r="D149" s="16"/>
      <c r="E149" s="16"/>
      <c r="F149" s="17"/>
      <c r="G149" s="16"/>
      <c r="H149" s="16"/>
      <c r="I149" s="16"/>
      <c r="J149" s="16"/>
      <c r="K149" s="16"/>
      <c r="L149" s="16"/>
      <c r="M149" s="18" t="str">
        <f aca="false">IF(OR(C149="",D149=""),"",IF(MOD(COUNTIFS($C$2:C149,C149,$D$2:D149,D149)*7,10)&lt;3,"teste","treino"))</f>
        <v/>
      </c>
      <c r="N149" s="16"/>
      <c r="O149" s="16"/>
      <c r="P149" s="16"/>
      <c r="Q149" s="17"/>
    </row>
    <row r="150" customFormat="false" ht="15" hidden="false" customHeight="false" outlineLevel="0" collapsed="false">
      <c r="A150" s="15" t="str">
        <f aca="false">IF(B150="","",ROW()-1)</f>
        <v/>
      </c>
      <c r="B150" s="16"/>
      <c r="C150" s="16"/>
      <c r="D150" s="16"/>
      <c r="E150" s="16"/>
      <c r="F150" s="17"/>
      <c r="G150" s="16"/>
      <c r="H150" s="16"/>
      <c r="I150" s="16"/>
      <c r="J150" s="16"/>
      <c r="K150" s="16"/>
      <c r="L150" s="16"/>
      <c r="M150" s="18" t="str">
        <f aca="false">IF(OR(C150="",D150=""),"",IF(MOD(COUNTIFS($C$2:C150,C150,$D$2:D150,D150)*7,10)&lt;3,"teste","treino"))</f>
        <v/>
      </c>
      <c r="N150" s="16"/>
      <c r="O150" s="16"/>
      <c r="P150" s="16"/>
      <c r="Q150" s="17"/>
    </row>
    <row r="151" customFormat="false" ht="15" hidden="false" customHeight="false" outlineLevel="0" collapsed="false">
      <c r="A151" s="15" t="str">
        <f aca="false">IF(B151="","",ROW()-1)</f>
        <v/>
      </c>
      <c r="B151" s="16"/>
      <c r="C151" s="16"/>
      <c r="D151" s="16"/>
      <c r="E151" s="16"/>
      <c r="F151" s="17"/>
      <c r="G151" s="16"/>
      <c r="H151" s="16"/>
      <c r="I151" s="16"/>
      <c r="J151" s="16"/>
      <c r="K151" s="16"/>
      <c r="L151" s="16"/>
      <c r="M151" s="18" t="str">
        <f aca="false">IF(OR(C151="",D151=""),"",IF(MOD(COUNTIFS($C$2:C151,C151,$D$2:D151,D151)*7,10)&lt;3,"teste","treino"))</f>
        <v/>
      </c>
      <c r="N151" s="16"/>
      <c r="O151" s="16"/>
      <c r="P151" s="16"/>
      <c r="Q151" s="17"/>
    </row>
    <row r="152" customFormat="false" ht="15" hidden="false" customHeight="false" outlineLevel="0" collapsed="false">
      <c r="A152" s="15" t="str">
        <f aca="false">IF(B152="","",ROW()-1)</f>
        <v/>
      </c>
      <c r="B152" s="16"/>
      <c r="C152" s="16"/>
      <c r="D152" s="16"/>
      <c r="E152" s="16"/>
      <c r="F152" s="17"/>
      <c r="G152" s="16"/>
      <c r="H152" s="16"/>
      <c r="I152" s="16"/>
      <c r="J152" s="16"/>
      <c r="K152" s="16"/>
      <c r="L152" s="16"/>
      <c r="M152" s="18" t="str">
        <f aca="false">IF(OR(C152="",D152=""),"",IF(MOD(COUNTIFS($C$2:C152,C152,$D$2:D152,D152)*7,10)&lt;3,"teste","treino"))</f>
        <v/>
      </c>
      <c r="N152" s="16"/>
      <c r="O152" s="16"/>
      <c r="P152" s="16"/>
      <c r="Q152" s="17"/>
    </row>
    <row r="153" customFormat="false" ht="15" hidden="false" customHeight="false" outlineLevel="0" collapsed="false">
      <c r="A153" s="15" t="str">
        <f aca="false">IF(B153="","",ROW()-1)</f>
        <v/>
      </c>
      <c r="B153" s="16"/>
      <c r="C153" s="16"/>
      <c r="D153" s="16"/>
      <c r="E153" s="16"/>
      <c r="F153" s="17"/>
      <c r="G153" s="16"/>
      <c r="H153" s="16"/>
      <c r="I153" s="16"/>
      <c r="J153" s="16"/>
      <c r="K153" s="16"/>
      <c r="L153" s="16"/>
      <c r="M153" s="18" t="str">
        <f aca="false">IF(OR(C153="",D153=""),"",IF(MOD(COUNTIFS($C$2:C153,C153,$D$2:D153,D153)*7,10)&lt;3,"teste","treino"))</f>
        <v/>
      </c>
      <c r="N153" s="16"/>
      <c r="O153" s="16"/>
      <c r="P153" s="16"/>
      <c r="Q153" s="17"/>
    </row>
    <row r="154" customFormat="false" ht="15" hidden="false" customHeight="false" outlineLevel="0" collapsed="false">
      <c r="A154" s="15" t="str">
        <f aca="false">IF(B154="","",ROW()-1)</f>
        <v/>
      </c>
      <c r="B154" s="16"/>
      <c r="C154" s="16"/>
      <c r="D154" s="16"/>
      <c r="E154" s="16"/>
      <c r="F154" s="17"/>
      <c r="G154" s="16"/>
      <c r="H154" s="16"/>
      <c r="I154" s="16"/>
      <c r="J154" s="16"/>
      <c r="K154" s="16"/>
      <c r="L154" s="16"/>
      <c r="M154" s="18" t="str">
        <f aca="false">IF(OR(C154="",D154=""),"",IF(MOD(COUNTIFS($C$2:C154,C154,$D$2:D154,D154)*7,10)&lt;3,"teste","treino"))</f>
        <v/>
      </c>
      <c r="N154" s="16"/>
      <c r="O154" s="16"/>
      <c r="P154" s="16"/>
      <c r="Q154" s="17"/>
    </row>
    <row r="155" customFormat="false" ht="15" hidden="false" customHeight="false" outlineLevel="0" collapsed="false">
      <c r="A155" s="15" t="str">
        <f aca="false">IF(B155="","",ROW()-1)</f>
        <v/>
      </c>
      <c r="B155" s="16"/>
      <c r="C155" s="16"/>
      <c r="D155" s="16"/>
      <c r="E155" s="16"/>
      <c r="F155" s="17"/>
      <c r="G155" s="16"/>
      <c r="H155" s="16"/>
      <c r="I155" s="16"/>
      <c r="J155" s="16"/>
      <c r="K155" s="16"/>
      <c r="L155" s="16"/>
      <c r="M155" s="18" t="str">
        <f aca="false">IF(OR(C155="",D155=""),"",IF(MOD(COUNTIFS($C$2:C155,C155,$D$2:D155,D155)*7,10)&lt;3,"teste","treino"))</f>
        <v/>
      </c>
      <c r="N155" s="16"/>
      <c r="O155" s="16"/>
      <c r="P155" s="16"/>
      <c r="Q155" s="17"/>
    </row>
    <row r="156" customFormat="false" ht="15" hidden="false" customHeight="false" outlineLevel="0" collapsed="false">
      <c r="A156" s="15" t="str">
        <f aca="false">IF(B156="","",ROW()-1)</f>
        <v/>
      </c>
      <c r="B156" s="16"/>
      <c r="C156" s="16"/>
      <c r="D156" s="16"/>
      <c r="E156" s="16"/>
      <c r="F156" s="17"/>
      <c r="G156" s="16"/>
      <c r="H156" s="16"/>
      <c r="I156" s="16"/>
      <c r="J156" s="16"/>
      <c r="K156" s="16"/>
      <c r="L156" s="16"/>
      <c r="M156" s="18" t="str">
        <f aca="false">IF(OR(C156="",D156=""),"",IF(MOD(COUNTIFS($C$2:C156,C156,$D$2:D156,D156)*7,10)&lt;3,"teste","treino"))</f>
        <v/>
      </c>
      <c r="N156" s="16"/>
      <c r="O156" s="16"/>
      <c r="P156" s="16"/>
      <c r="Q156" s="17"/>
    </row>
    <row r="157" customFormat="false" ht="15" hidden="false" customHeight="false" outlineLevel="0" collapsed="false">
      <c r="A157" s="15" t="str">
        <f aca="false">IF(B157="","",ROW()-1)</f>
        <v/>
      </c>
      <c r="B157" s="16"/>
      <c r="C157" s="16"/>
      <c r="D157" s="16"/>
      <c r="E157" s="16"/>
      <c r="F157" s="17"/>
      <c r="G157" s="16"/>
      <c r="H157" s="16"/>
      <c r="I157" s="16"/>
      <c r="J157" s="16"/>
      <c r="K157" s="16"/>
      <c r="L157" s="16"/>
      <c r="M157" s="18" t="str">
        <f aca="false">IF(OR(C157="",D157=""),"",IF(MOD(COUNTIFS($C$2:C157,C157,$D$2:D157,D157)*7,10)&lt;3,"teste","treino"))</f>
        <v/>
      </c>
      <c r="N157" s="16"/>
      <c r="O157" s="16"/>
      <c r="P157" s="16"/>
      <c r="Q157" s="17"/>
    </row>
    <row r="158" customFormat="false" ht="15" hidden="false" customHeight="false" outlineLevel="0" collapsed="false">
      <c r="A158" s="15" t="str">
        <f aca="false">IF(B158="","",ROW()-1)</f>
        <v/>
      </c>
      <c r="B158" s="16"/>
      <c r="C158" s="16"/>
      <c r="D158" s="16"/>
      <c r="E158" s="16"/>
      <c r="F158" s="17"/>
      <c r="G158" s="16"/>
      <c r="H158" s="16"/>
      <c r="I158" s="16"/>
      <c r="J158" s="16"/>
      <c r="K158" s="16"/>
      <c r="L158" s="16"/>
      <c r="M158" s="18" t="str">
        <f aca="false">IF(OR(C158="",D158=""),"",IF(MOD(COUNTIFS($C$2:C158,C158,$D$2:D158,D158)*7,10)&lt;3,"teste","treino"))</f>
        <v/>
      </c>
      <c r="N158" s="16"/>
      <c r="O158" s="16"/>
      <c r="P158" s="16"/>
      <c r="Q158" s="17"/>
    </row>
    <row r="159" customFormat="false" ht="15" hidden="false" customHeight="false" outlineLevel="0" collapsed="false">
      <c r="A159" s="15" t="str">
        <f aca="false">IF(B159="","",ROW()-1)</f>
        <v/>
      </c>
      <c r="B159" s="16"/>
      <c r="C159" s="16"/>
      <c r="D159" s="16"/>
      <c r="E159" s="16"/>
      <c r="F159" s="17"/>
      <c r="G159" s="16"/>
      <c r="H159" s="16"/>
      <c r="I159" s="16"/>
      <c r="J159" s="16"/>
      <c r="K159" s="16"/>
      <c r="L159" s="16"/>
      <c r="M159" s="18" t="str">
        <f aca="false">IF(OR(C159="",D159=""),"",IF(MOD(COUNTIFS($C$2:C159,C159,$D$2:D159,D159)*7,10)&lt;3,"teste","treino"))</f>
        <v/>
      </c>
      <c r="N159" s="16"/>
      <c r="O159" s="16"/>
      <c r="P159" s="16"/>
      <c r="Q159" s="17"/>
    </row>
    <row r="160" customFormat="false" ht="15" hidden="false" customHeight="false" outlineLevel="0" collapsed="false">
      <c r="A160" s="15" t="str">
        <f aca="false">IF(B160="","",ROW()-1)</f>
        <v/>
      </c>
      <c r="B160" s="16"/>
      <c r="C160" s="16"/>
      <c r="D160" s="16"/>
      <c r="E160" s="16"/>
      <c r="F160" s="17"/>
      <c r="G160" s="16"/>
      <c r="H160" s="16"/>
      <c r="I160" s="16"/>
      <c r="J160" s="16"/>
      <c r="K160" s="16"/>
      <c r="L160" s="16"/>
      <c r="M160" s="18" t="str">
        <f aca="false">IF(OR(C160="",D160=""),"",IF(MOD(COUNTIFS($C$2:C160,C160,$D$2:D160,D160)*7,10)&lt;3,"teste","treino"))</f>
        <v/>
      </c>
      <c r="N160" s="16"/>
      <c r="O160" s="16"/>
      <c r="P160" s="16"/>
      <c r="Q160" s="17"/>
    </row>
    <row r="161" customFormat="false" ht="15" hidden="false" customHeight="false" outlineLevel="0" collapsed="false">
      <c r="A161" s="15" t="str">
        <f aca="false">IF(B161="","",ROW()-1)</f>
        <v/>
      </c>
      <c r="B161" s="16"/>
      <c r="C161" s="16"/>
      <c r="D161" s="16"/>
      <c r="E161" s="16"/>
      <c r="F161" s="17"/>
      <c r="G161" s="16"/>
      <c r="H161" s="16"/>
      <c r="I161" s="16"/>
      <c r="J161" s="16"/>
      <c r="K161" s="16"/>
      <c r="L161" s="16"/>
      <c r="M161" s="18" t="str">
        <f aca="false">IF(OR(C161="",D161=""),"",IF(MOD(COUNTIFS($C$2:C161,C161,$D$2:D161,D161)*7,10)&lt;3,"teste","treino"))</f>
        <v/>
      </c>
      <c r="N161" s="16"/>
      <c r="O161" s="16"/>
      <c r="P161" s="16"/>
      <c r="Q161" s="17"/>
    </row>
    <row r="162" customFormat="false" ht="15" hidden="false" customHeight="false" outlineLevel="0" collapsed="false">
      <c r="A162" s="15" t="str">
        <f aca="false">IF(B162="","",ROW()-1)</f>
        <v/>
      </c>
      <c r="B162" s="16"/>
      <c r="C162" s="16"/>
      <c r="D162" s="16"/>
      <c r="E162" s="16"/>
      <c r="F162" s="17"/>
      <c r="G162" s="16"/>
      <c r="H162" s="16"/>
      <c r="I162" s="16"/>
      <c r="J162" s="16"/>
      <c r="K162" s="16"/>
      <c r="L162" s="16"/>
      <c r="M162" s="18" t="str">
        <f aca="false">IF(OR(C162="",D162=""),"",IF(MOD(COUNTIFS($C$2:C162,C162,$D$2:D162,D162)*7,10)&lt;3,"teste","treino"))</f>
        <v/>
      </c>
      <c r="N162" s="16"/>
      <c r="O162" s="16"/>
      <c r="P162" s="16"/>
      <c r="Q162" s="17"/>
    </row>
    <row r="163" customFormat="false" ht="15" hidden="false" customHeight="false" outlineLevel="0" collapsed="false">
      <c r="A163" s="15" t="str">
        <f aca="false">IF(B163="","",ROW()-1)</f>
        <v/>
      </c>
      <c r="B163" s="16"/>
      <c r="C163" s="16"/>
      <c r="D163" s="16"/>
      <c r="E163" s="16"/>
      <c r="F163" s="17"/>
      <c r="G163" s="16"/>
      <c r="H163" s="16"/>
      <c r="I163" s="16"/>
      <c r="J163" s="16"/>
      <c r="K163" s="16"/>
      <c r="L163" s="16"/>
      <c r="M163" s="18" t="str">
        <f aca="false">IF(OR(C163="",D163=""),"",IF(MOD(COUNTIFS($C$2:C163,C163,$D$2:D163,D163)*7,10)&lt;3,"teste","treino"))</f>
        <v/>
      </c>
      <c r="N163" s="16"/>
      <c r="O163" s="16"/>
      <c r="P163" s="16"/>
      <c r="Q163" s="17"/>
    </row>
    <row r="164" customFormat="false" ht="15" hidden="false" customHeight="false" outlineLevel="0" collapsed="false">
      <c r="A164" s="15" t="str">
        <f aca="false">IF(B164="","",ROW()-1)</f>
        <v/>
      </c>
      <c r="B164" s="16"/>
      <c r="C164" s="16"/>
      <c r="D164" s="16"/>
      <c r="E164" s="16"/>
      <c r="F164" s="17"/>
      <c r="G164" s="16"/>
      <c r="H164" s="16"/>
      <c r="I164" s="16"/>
      <c r="J164" s="16"/>
      <c r="K164" s="16"/>
      <c r="L164" s="16"/>
      <c r="M164" s="18" t="str">
        <f aca="false">IF(OR(C164="",D164=""),"",IF(MOD(COUNTIFS($C$2:C164,C164,$D$2:D164,D164)*7,10)&lt;3,"teste","treino"))</f>
        <v/>
      </c>
      <c r="N164" s="16"/>
      <c r="O164" s="16"/>
      <c r="P164" s="16"/>
      <c r="Q164" s="17"/>
    </row>
    <row r="165" customFormat="false" ht="15" hidden="false" customHeight="false" outlineLevel="0" collapsed="false">
      <c r="A165" s="15" t="str">
        <f aca="false">IF(B165="","",ROW()-1)</f>
        <v/>
      </c>
      <c r="B165" s="16"/>
      <c r="C165" s="16"/>
      <c r="D165" s="16"/>
      <c r="E165" s="16"/>
      <c r="F165" s="17"/>
      <c r="G165" s="16"/>
      <c r="H165" s="16"/>
      <c r="I165" s="16"/>
      <c r="J165" s="16"/>
      <c r="K165" s="16"/>
      <c r="L165" s="16"/>
      <c r="M165" s="18" t="str">
        <f aca="false">IF(OR(C165="",D165=""),"",IF(MOD(COUNTIFS($C$2:C165,C165,$D$2:D165,D165)*7,10)&lt;3,"teste","treino"))</f>
        <v/>
      </c>
      <c r="N165" s="16"/>
      <c r="O165" s="16"/>
      <c r="P165" s="16"/>
      <c r="Q165" s="17"/>
    </row>
    <row r="166" customFormat="false" ht="15" hidden="false" customHeight="false" outlineLevel="0" collapsed="false">
      <c r="A166" s="15" t="str">
        <f aca="false">IF(B166="","",ROW()-1)</f>
        <v/>
      </c>
      <c r="B166" s="16"/>
      <c r="C166" s="16"/>
      <c r="D166" s="16"/>
      <c r="E166" s="16"/>
      <c r="F166" s="17"/>
      <c r="G166" s="16"/>
      <c r="H166" s="16"/>
      <c r="I166" s="16"/>
      <c r="J166" s="16"/>
      <c r="K166" s="16"/>
      <c r="L166" s="16"/>
      <c r="M166" s="18" t="str">
        <f aca="false">IF(OR(C166="",D166=""),"",IF(MOD(COUNTIFS($C$2:C166,C166,$D$2:D166,D166)*7,10)&lt;3,"teste","treino"))</f>
        <v/>
      </c>
      <c r="N166" s="16"/>
      <c r="O166" s="16"/>
      <c r="P166" s="16"/>
      <c r="Q166" s="17"/>
    </row>
    <row r="167" customFormat="false" ht="15" hidden="false" customHeight="false" outlineLevel="0" collapsed="false">
      <c r="A167" s="15" t="str">
        <f aca="false">IF(B167="","",ROW()-1)</f>
        <v/>
      </c>
      <c r="B167" s="16"/>
      <c r="C167" s="16"/>
      <c r="D167" s="16"/>
      <c r="E167" s="16"/>
      <c r="F167" s="17"/>
      <c r="G167" s="16"/>
      <c r="H167" s="16"/>
      <c r="I167" s="16"/>
      <c r="J167" s="16"/>
      <c r="K167" s="16"/>
      <c r="L167" s="16"/>
      <c r="M167" s="18" t="str">
        <f aca="false">IF(OR(C167="",D167=""),"",IF(MOD(COUNTIFS($C$2:C167,C167,$D$2:D167,D167)*7,10)&lt;3,"teste","treino"))</f>
        <v/>
      </c>
      <c r="N167" s="16"/>
      <c r="O167" s="16"/>
      <c r="P167" s="16"/>
      <c r="Q167" s="17"/>
    </row>
    <row r="168" customFormat="false" ht="15" hidden="false" customHeight="false" outlineLevel="0" collapsed="false">
      <c r="A168" s="15" t="str">
        <f aca="false">IF(B168="","",ROW()-1)</f>
        <v/>
      </c>
      <c r="B168" s="16"/>
      <c r="C168" s="16"/>
      <c r="D168" s="16"/>
      <c r="E168" s="16"/>
      <c r="F168" s="17"/>
      <c r="G168" s="16"/>
      <c r="H168" s="16"/>
      <c r="I168" s="16"/>
      <c r="J168" s="16"/>
      <c r="K168" s="16"/>
      <c r="L168" s="16"/>
      <c r="M168" s="18" t="str">
        <f aca="false">IF(OR(C168="",D168=""),"",IF(MOD(COUNTIFS($C$2:C168,C168,$D$2:D168,D168)*7,10)&lt;3,"teste","treino"))</f>
        <v/>
      </c>
      <c r="N168" s="16"/>
      <c r="O168" s="16"/>
      <c r="P168" s="16"/>
      <c r="Q168" s="17"/>
    </row>
    <row r="169" customFormat="false" ht="15" hidden="false" customHeight="false" outlineLevel="0" collapsed="false">
      <c r="A169" s="15" t="str">
        <f aca="false">IF(B169="","",ROW()-1)</f>
        <v/>
      </c>
      <c r="B169" s="16"/>
      <c r="C169" s="16"/>
      <c r="D169" s="16"/>
      <c r="E169" s="16"/>
      <c r="F169" s="17"/>
      <c r="G169" s="16"/>
      <c r="H169" s="16"/>
      <c r="I169" s="16"/>
      <c r="J169" s="16"/>
      <c r="K169" s="16"/>
      <c r="L169" s="16"/>
      <c r="M169" s="18" t="str">
        <f aca="false">IF(OR(C169="",D169=""),"",IF(MOD(COUNTIFS($C$2:C169,C169,$D$2:D169,D169)*7,10)&lt;3,"teste","treino"))</f>
        <v/>
      </c>
      <c r="N169" s="16"/>
      <c r="O169" s="16"/>
      <c r="P169" s="16"/>
      <c r="Q169" s="17"/>
    </row>
    <row r="170" customFormat="false" ht="15" hidden="false" customHeight="false" outlineLevel="0" collapsed="false">
      <c r="A170" s="15" t="str">
        <f aca="false">IF(B170="","",ROW()-1)</f>
        <v/>
      </c>
      <c r="B170" s="16"/>
      <c r="C170" s="16"/>
      <c r="D170" s="16"/>
      <c r="E170" s="16"/>
      <c r="F170" s="17"/>
      <c r="G170" s="16"/>
      <c r="H170" s="16"/>
      <c r="I170" s="16"/>
      <c r="J170" s="16"/>
      <c r="K170" s="16"/>
      <c r="L170" s="16"/>
      <c r="M170" s="18" t="str">
        <f aca="false">IF(OR(C170="",D170=""),"",IF(MOD(COUNTIFS($C$2:C170,C170,$D$2:D170,D170)*7,10)&lt;3,"teste","treino"))</f>
        <v/>
      </c>
      <c r="N170" s="16"/>
      <c r="O170" s="16"/>
      <c r="P170" s="16"/>
      <c r="Q170" s="17"/>
    </row>
    <row r="171" customFormat="false" ht="15" hidden="false" customHeight="false" outlineLevel="0" collapsed="false">
      <c r="A171" s="15" t="str">
        <f aca="false">IF(B171="","",ROW()-1)</f>
        <v/>
      </c>
      <c r="B171" s="16"/>
      <c r="C171" s="16"/>
      <c r="D171" s="16"/>
      <c r="E171" s="16"/>
      <c r="F171" s="17"/>
      <c r="G171" s="16"/>
      <c r="H171" s="16"/>
      <c r="I171" s="16"/>
      <c r="J171" s="16"/>
      <c r="K171" s="16"/>
      <c r="L171" s="16"/>
      <c r="M171" s="18" t="str">
        <f aca="false">IF(OR(C171="",D171=""),"",IF(MOD(COUNTIFS($C$2:C171,C171,$D$2:D171,D171)*7,10)&lt;3,"teste","treino"))</f>
        <v/>
      </c>
      <c r="N171" s="16"/>
      <c r="O171" s="16"/>
      <c r="P171" s="16"/>
      <c r="Q171" s="17"/>
    </row>
    <row r="172" customFormat="false" ht="15" hidden="false" customHeight="false" outlineLevel="0" collapsed="false">
      <c r="A172" s="15" t="str">
        <f aca="false">IF(B172="","",ROW()-1)</f>
        <v/>
      </c>
      <c r="B172" s="16"/>
      <c r="C172" s="16"/>
      <c r="D172" s="16"/>
      <c r="E172" s="16"/>
      <c r="F172" s="17"/>
      <c r="G172" s="16"/>
      <c r="H172" s="16"/>
      <c r="I172" s="16"/>
      <c r="J172" s="16"/>
      <c r="K172" s="16"/>
      <c r="L172" s="16"/>
      <c r="M172" s="18" t="str">
        <f aca="false">IF(OR(C172="",D172=""),"",IF(MOD(COUNTIFS($C$2:C172,C172,$D$2:D172,D172)*7,10)&lt;3,"teste","treino"))</f>
        <v/>
      </c>
      <c r="N172" s="16"/>
      <c r="O172" s="16"/>
      <c r="P172" s="16"/>
      <c r="Q172" s="17"/>
    </row>
    <row r="173" customFormat="false" ht="15" hidden="false" customHeight="false" outlineLevel="0" collapsed="false">
      <c r="A173" s="15" t="str">
        <f aca="false">IF(B173="","",ROW()-1)</f>
        <v/>
      </c>
      <c r="B173" s="16"/>
      <c r="C173" s="16"/>
      <c r="D173" s="16"/>
      <c r="E173" s="16"/>
      <c r="F173" s="17"/>
      <c r="G173" s="16"/>
      <c r="H173" s="16"/>
      <c r="I173" s="16"/>
      <c r="J173" s="16"/>
      <c r="K173" s="16"/>
      <c r="L173" s="16"/>
      <c r="M173" s="18" t="str">
        <f aca="false">IF(OR(C173="",D173=""),"",IF(MOD(COUNTIFS($C$2:C173,C173,$D$2:D173,D173)*7,10)&lt;3,"teste","treino"))</f>
        <v/>
      </c>
      <c r="N173" s="16"/>
      <c r="O173" s="16"/>
      <c r="P173" s="16"/>
      <c r="Q173" s="17"/>
    </row>
    <row r="174" customFormat="false" ht="15" hidden="false" customHeight="false" outlineLevel="0" collapsed="false">
      <c r="A174" s="15" t="str">
        <f aca="false">IF(B174="","",ROW()-1)</f>
        <v/>
      </c>
      <c r="B174" s="16"/>
      <c r="C174" s="16"/>
      <c r="D174" s="16"/>
      <c r="E174" s="16"/>
      <c r="F174" s="17"/>
      <c r="G174" s="16"/>
      <c r="H174" s="16"/>
      <c r="I174" s="16"/>
      <c r="J174" s="16"/>
      <c r="K174" s="16"/>
      <c r="L174" s="16"/>
      <c r="M174" s="18" t="str">
        <f aca="false">IF(OR(C174="",D174=""),"",IF(MOD(COUNTIFS($C$2:C174,C174,$D$2:D174,D174)*7,10)&lt;3,"teste","treino"))</f>
        <v/>
      </c>
      <c r="N174" s="16"/>
      <c r="O174" s="16"/>
      <c r="P174" s="16"/>
      <c r="Q174" s="17"/>
    </row>
    <row r="175" customFormat="false" ht="15" hidden="false" customHeight="false" outlineLevel="0" collapsed="false">
      <c r="A175" s="15" t="str">
        <f aca="false">IF(B175="","",ROW()-1)</f>
        <v/>
      </c>
      <c r="B175" s="16"/>
      <c r="C175" s="16"/>
      <c r="D175" s="16"/>
      <c r="E175" s="16"/>
      <c r="F175" s="17"/>
      <c r="G175" s="16"/>
      <c r="H175" s="16"/>
      <c r="I175" s="16"/>
      <c r="J175" s="16"/>
      <c r="K175" s="16"/>
      <c r="L175" s="16"/>
      <c r="M175" s="18" t="str">
        <f aca="false">IF(OR(C175="",D175=""),"",IF(MOD(COUNTIFS($C$2:C175,C175,$D$2:D175,D175)*7,10)&lt;3,"teste","treino"))</f>
        <v/>
      </c>
      <c r="N175" s="16"/>
      <c r="O175" s="16"/>
      <c r="P175" s="16"/>
      <c r="Q175" s="17"/>
    </row>
    <row r="176" customFormat="false" ht="15" hidden="false" customHeight="false" outlineLevel="0" collapsed="false">
      <c r="A176" s="15" t="str">
        <f aca="false">IF(B176="","",ROW()-1)</f>
        <v/>
      </c>
      <c r="B176" s="16"/>
      <c r="C176" s="16"/>
      <c r="D176" s="16"/>
      <c r="E176" s="16"/>
      <c r="F176" s="17"/>
      <c r="G176" s="16"/>
      <c r="H176" s="16"/>
      <c r="I176" s="16"/>
      <c r="J176" s="16"/>
      <c r="K176" s="16"/>
      <c r="L176" s="16"/>
      <c r="M176" s="18" t="str">
        <f aca="false">IF(OR(C176="",D176=""),"",IF(MOD(COUNTIFS($C$2:C176,C176,$D$2:D176,D176)*7,10)&lt;3,"teste","treino"))</f>
        <v/>
      </c>
      <c r="N176" s="16"/>
      <c r="O176" s="16"/>
      <c r="P176" s="16"/>
      <c r="Q176" s="17"/>
    </row>
    <row r="177" customFormat="false" ht="15" hidden="false" customHeight="false" outlineLevel="0" collapsed="false">
      <c r="A177" s="15" t="str">
        <f aca="false">IF(B177="","",ROW()-1)</f>
        <v/>
      </c>
      <c r="B177" s="16"/>
      <c r="C177" s="16"/>
      <c r="D177" s="16"/>
      <c r="E177" s="16"/>
      <c r="F177" s="17"/>
      <c r="G177" s="16"/>
      <c r="H177" s="16"/>
      <c r="I177" s="16"/>
      <c r="J177" s="16"/>
      <c r="K177" s="16"/>
      <c r="L177" s="16"/>
      <c r="M177" s="18" t="str">
        <f aca="false">IF(OR(C177="",D177=""),"",IF(MOD(COUNTIFS($C$2:C177,C177,$D$2:D177,D177)*7,10)&lt;3,"teste","treino"))</f>
        <v/>
      </c>
      <c r="N177" s="16"/>
      <c r="O177" s="16"/>
      <c r="P177" s="16"/>
      <c r="Q177" s="17"/>
    </row>
    <row r="178" customFormat="false" ht="15" hidden="false" customHeight="false" outlineLevel="0" collapsed="false">
      <c r="A178" s="15" t="str">
        <f aca="false">IF(B178="","",ROW()-1)</f>
        <v/>
      </c>
      <c r="B178" s="16"/>
      <c r="C178" s="16"/>
      <c r="D178" s="16"/>
      <c r="E178" s="16"/>
      <c r="F178" s="17"/>
      <c r="G178" s="16"/>
      <c r="H178" s="16"/>
      <c r="I178" s="16"/>
      <c r="J178" s="16"/>
      <c r="K178" s="16"/>
      <c r="L178" s="16"/>
      <c r="M178" s="18" t="str">
        <f aca="false">IF(OR(C178="",D178=""),"",IF(MOD(COUNTIFS($C$2:C178,C178,$D$2:D178,D178)*7,10)&lt;3,"teste","treino"))</f>
        <v/>
      </c>
      <c r="N178" s="16"/>
      <c r="O178" s="16"/>
      <c r="P178" s="16"/>
      <c r="Q178" s="17"/>
    </row>
    <row r="179" customFormat="false" ht="15" hidden="false" customHeight="false" outlineLevel="0" collapsed="false">
      <c r="A179" s="15" t="str">
        <f aca="false">IF(B179="","",ROW()-1)</f>
        <v/>
      </c>
      <c r="B179" s="16"/>
      <c r="C179" s="16"/>
      <c r="D179" s="16"/>
      <c r="E179" s="16"/>
      <c r="F179" s="17"/>
      <c r="G179" s="16"/>
      <c r="H179" s="16"/>
      <c r="I179" s="16"/>
      <c r="J179" s="16"/>
      <c r="K179" s="16"/>
      <c r="L179" s="16"/>
      <c r="M179" s="18" t="str">
        <f aca="false">IF(OR(C179="",D179=""),"",IF(MOD(COUNTIFS($C$2:C179,C179,$D$2:D179,D179)*7,10)&lt;3,"teste","treino"))</f>
        <v/>
      </c>
      <c r="N179" s="16"/>
      <c r="O179" s="16"/>
      <c r="P179" s="16"/>
      <c r="Q179" s="17"/>
    </row>
    <row r="180" customFormat="false" ht="15" hidden="false" customHeight="false" outlineLevel="0" collapsed="false">
      <c r="A180" s="15" t="str">
        <f aca="false">IF(B180="","",ROW()-1)</f>
        <v/>
      </c>
      <c r="B180" s="16"/>
      <c r="C180" s="16"/>
      <c r="D180" s="16"/>
      <c r="E180" s="16"/>
      <c r="F180" s="17"/>
      <c r="G180" s="16"/>
      <c r="H180" s="16"/>
      <c r="I180" s="16"/>
      <c r="J180" s="16"/>
      <c r="K180" s="16"/>
      <c r="L180" s="16"/>
      <c r="M180" s="18" t="str">
        <f aca="false">IF(OR(C180="",D180=""),"",IF(MOD(COUNTIFS($C$2:C180,C180,$D$2:D180,D180)*7,10)&lt;3,"teste","treino"))</f>
        <v/>
      </c>
      <c r="N180" s="16"/>
      <c r="O180" s="16"/>
      <c r="P180" s="16"/>
      <c r="Q180" s="17"/>
    </row>
    <row r="181" customFormat="false" ht="15" hidden="false" customHeight="false" outlineLevel="0" collapsed="false">
      <c r="A181" s="15" t="str">
        <f aca="false">IF(B181="","",ROW()-1)</f>
        <v/>
      </c>
      <c r="B181" s="16"/>
      <c r="C181" s="16"/>
      <c r="D181" s="16"/>
      <c r="E181" s="16"/>
      <c r="F181" s="17"/>
      <c r="G181" s="16"/>
      <c r="H181" s="16"/>
      <c r="I181" s="16"/>
      <c r="J181" s="16"/>
      <c r="K181" s="16"/>
      <c r="L181" s="16"/>
      <c r="M181" s="18" t="str">
        <f aca="false">IF(OR(C181="",D181=""),"",IF(MOD(COUNTIFS($C$2:C181,C181,$D$2:D181,D181)*7,10)&lt;3,"teste","treino"))</f>
        <v/>
      </c>
      <c r="N181" s="16"/>
      <c r="O181" s="16"/>
      <c r="P181" s="16"/>
      <c r="Q181" s="17"/>
    </row>
    <row r="182" customFormat="false" ht="15" hidden="false" customHeight="false" outlineLevel="0" collapsed="false">
      <c r="A182" s="15" t="str">
        <f aca="false">IF(B182="","",ROW()-1)</f>
        <v/>
      </c>
      <c r="B182" s="16"/>
      <c r="C182" s="16"/>
      <c r="D182" s="16"/>
      <c r="E182" s="16"/>
      <c r="F182" s="17"/>
      <c r="G182" s="16"/>
      <c r="H182" s="16"/>
      <c r="I182" s="16"/>
      <c r="J182" s="16"/>
      <c r="K182" s="16"/>
      <c r="L182" s="16"/>
      <c r="M182" s="18" t="str">
        <f aca="false">IF(OR(C182="",D182=""),"",IF(MOD(COUNTIFS($C$2:C182,C182,$D$2:D182,D182)*7,10)&lt;3,"teste","treino"))</f>
        <v/>
      </c>
      <c r="N182" s="16"/>
      <c r="O182" s="16"/>
      <c r="P182" s="16"/>
      <c r="Q182" s="17"/>
    </row>
    <row r="183" customFormat="false" ht="15" hidden="false" customHeight="false" outlineLevel="0" collapsed="false">
      <c r="A183" s="15" t="str">
        <f aca="false">IF(B183="","",ROW()-1)</f>
        <v/>
      </c>
      <c r="B183" s="16"/>
      <c r="C183" s="16"/>
      <c r="D183" s="16"/>
      <c r="E183" s="16"/>
      <c r="F183" s="17"/>
      <c r="G183" s="16"/>
      <c r="H183" s="16"/>
      <c r="I183" s="16"/>
      <c r="J183" s="16"/>
      <c r="K183" s="16"/>
      <c r="L183" s="16"/>
      <c r="M183" s="18" t="str">
        <f aca="false">IF(OR(C183="",D183=""),"",IF(MOD(COUNTIFS($C$2:C183,C183,$D$2:D183,D183)*7,10)&lt;3,"teste","treino"))</f>
        <v/>
      </c>
      <c r="N183" s="16"/>
      <c r="O183" s="16"/>
      <c r="P183" s="16"/>
      <c r="Q183" s="17"/>
    </row>
    <row r="184" customFormat="false" ht="15" hidden="false" customHeight="false" outlineLevel="0" collapsed="false">
      <c r="A184" s="15" t="str">
        <f aca="false">IF(B184="","",ROW()-1)</f>
        <v/>
      </c>
      <c r="B184" s="16"/>
      <c r="C184" s="16"/>
      <c r="D184" s="16"/>
      <c r="E184" s="16"/>
      <c r="F184" s="17"/>
      <c r="G184" s="16"/>
      <c r="H184" s="16"/>
      <c r="I184" s="16"/>
      <c r="J184" s="16"/>
      <c r="K184" s="16"/>
      <c r="L184" s="16"/>
      <c r="M184" s="18" t="str">
        <f aca="false">IF(OR(C184="",D184=""),"",IF(MOD(COUNTIFS($C$2:C184,C184,$D$2:D184,D184)*7,10)&lt;3,"teste","treino"))</f>
        <v/>
      </c>
      <c r="N184" s="16"/>
      <c r="O184" s="16"/>
      <c r="P184" s="16"/>
      <c r="Q184" s="17"/>
    </row>
    <row r="185" customFormat="false" ht="15" hidden="false" customHeight="false" outlineLevel="0" collapsed="false">
      <c r="A185" s="15" t="str">
        <f aca="false">IF(B185="","",ROW()-1)</f>
        <v/>
      </c>
      <c r="B185" s="16"/>
      <c r="C185" s="16"/>
      <c r="D185" s="16"/>
      <c r="E185" s="16"/>
      <c r="F185" s="17"/>
      <c r="G185" s="16"/>
      <c r="H185" s="16"/>
      <c r="I185" s="16"/>
      <c r="J185" s="16"/>
      <c r="K185" s="16"/>
      <c r="L185" s="16"/>
      <c r="M185" s="18" t="str">
        <f aca="false">IF(OR(C185="",D185=""),"",IF(MOD(COUNTIFS($C$2:C185,C185,$D$2:D185,D185)*7,10)&lt;3,"teste","treino"))</f>
        <v/>
      </c>
      <c r="N185" s="16"/>
      <c r="O185" s="16"/>
      <c r="P185" s="16"/>
      <c r="Q185" s="17"/>
    </row>
    <row r="186" customFormat="false" ht="15" hidden="false" customHeight="false" outlineLevel="0" collapsed="false">
      <c r="A186" s="15" t="str">
        <f aca="false">IF(B186="","",ROW()-1)</f>
        <v/>
      </c>
      <c r="B186" s="16"/>
      <c r="C186" s="16"/>
      <c r="D186" s="16"/>
      <c r="E186" s="16"/>
      <c r="F186" s="17"/>
      <c r="G186" s="16"/>
      <c r="H186" s="16"/>
      <c r="I186" s="16"/>
      <c r="J186" s="16"/>
      <c r="K186" s="16"/>
      <c r="L186" s="16"/>
      <c r="M186" s="18" t="str">
        <f aca="false">IF(OR(C186="",D186=""),"",IF(MOD(COUNTIFS($C$2:C186,C186,$D$2:D186,D186)*7,10)&lt;3,"teste","treino"))</f>
        <v/>
      </c>
      <c r="N186" s="16"/>
      <c r="O186" s="16"/>
      <c r="P186" s="16"/>
      <c r="Q186" s="17"/>
    </row>
    <row r="187" customFormat="false" ht="15" hidden="false" customHeight="false" outlineLevel="0" collapsed="false">
      <c r="A187" s="15" t="str">
        <f aca="false">IF(B187="","",ROW()-1)</f>
        <v/>
      </c>
      <c r="B187" s="16"/>
      <c r="C187" s="16"/>
      <c r="D187" s="16"/>
      <c r="E187" s="16"/>
      <c r="F187" s="17"/>
      <c r="G187" s="16"/>
      <c r="H187" s="16"/>
      <c r="I187" s="16"/>
      <c r="J187" s="16"/>
      <c r="K187" s="16"/>
      <c r="L187" s="16"/>
      <c r="M187" s="18" t="str">
        <f aca="false">IF(OR(C187="",D187=""),"",IF(MOD(COUNTIFS($C$2:C187,C187,$D$2:D187,D187)*7,10)&lt;3,"teste","treino"))</f>
        <v/>
      </c>
      <c r="N187" s="16"/>
      <c r="O187" s="16"/>
      <c r="P187" s="16"/>
      <c r="Q187" s="17"/>
    </row>
    <row r="188" customFormat="false" ht="15" hidden="false" customHeight="false" outlineLevel="0" collapsed="false">
      <c r="A188" s="15" t="str">
        <f aca="false">IF(B188="","",ROW()-1)</f>
        <v/>
      </c>
      <c r="B188" s="16"/>
      <c r="C188" s="16"/>
      <c r="D188" s="16"/>
      <c r="E188" s="16"/>
      <c r="F188" s="17"/>
      <c r="G188" s="16"/>
      <c r="H188" s="16"/>
      <c r="I188" s="16"/>
      <c r="J188" s="16"/>
      <c r="K188" s="16"/>
      <c r="L188" s="16"/>
      <c r="M188" s="18" t="str">
        <f aca="false">IF(OR(C188="",D188=""),"",IF(MOD(COUNTIFS($C$2:C188,C188,$D$2:D188,D188)*7,10)&lt;3,"teste","treino"))</f>
        <v/>
      </c>
      <c r="N188" s="16"/>
      <c r="O188" s="16"/>
      <c r="P188" s="16"/>
      <c r="Q188" s="17"/>
    </row>
    <row r="189" customFormat="false" ht="15" hidden="false" customHeight="false" outlineLevel="0" collapsed="false">
      <c r="A189" s="15" t="str">
        <f aca="false">IF(B189="","",ROW()-1)</f>
        <v/>
      </c>
      <c r="B189" s="16"/>
      <c r="C189" s="16"/>
      <c r="D189" s="16"/>
      <c r="E189" s="16"/>
      <c r="F189" s="17"/>
      <c r="G189" s="16"/>
      <c r="H189" s="16"/>
      <c r="I189" s="16"/>
      <c r="J189" s="16"/>
      <c r="K189" s="16"/>
      <c r="L189" s="16"/>
      <c r="M189" s="18" t="str">
        <f aca="false">IF(OR(C189="",D189=""),"",IF(MOD(COUNTIFS($C$2:C189,C189,$D$2:D189,D189)*7,10)&lt;3,"teste","treino"))</f>
        <v/>
      </c>
      <c r="N189" s="16"/>
      <c r="O189" s="16"/>
      <c r="P189" s="16"/>
      <c r="Q189" s="17"/>
    </row>
    <row r="190" customFormat="false" ht="15" hidden="false" customHeight="false" outlineLevel="0" collapsed="false">
      <c r="A190" s="15" t="str">
        <f aca="false">IF(B190="","",ROW()-1)</f>
        <v/>
      </c>
      <c r="B190" s="16"/>
      <c r="C190" s="16"/>
      <c r="D190" s="16"/>
      <c r="E190" s="16"/>
      <c r="F190" s="17"/>
      <c r="G190" s="16"/>
      <c r="H190" s="16"/>
      <c r="I190" s="16"/>
      <c r="J190" s="16"/>
      <c r="K190" s="16"/>
      <c r="L190" s="16"/>
      <c r="M190" s="18" t="str">
        <f aca="false">IF(OR(C190="",D190=""),"",IF(MOD(COUNTIFS($C$2:C190,C190,$D$2:D190,D190)*7,10)&lt;3,"teste","treino"))</f>
        <v/>
      </c>
      <c r="N190" s="16"/>
      <c r="O190" s="16"/>
      <c r="P190" s="16"/>
      <c r="Q190" s="17"/>
    </row>
    <row r="191" customFormat="false" ht="15" hidden="false" customHeight="false" outlineLevel="0" collapsed="false">
      <c r="A191" s="15" t="str">
        <f aca="false">IF(B191="","",ROW()-1)</f>
        <v/>
      </c>
      <c r="B191" s="16"/>
      <c r="C191" s="16"/>
      <c r="D191" s="16"/>
      <c r="E191" s="16"/>
      <c r="F191" s="17"/>
      <c r="G191" s="16"/>
      <c r="H191" s="16"/>
      <c r="I191" s="16"/>
      <c r="J191" s="16"/>
      <c r="K191" s="16"/>
      <c r="L191" s="16"/>
      <c r="M191" s="18" t="str">
        <f aca="false">IF(OR(C191="",D191=""),"",IF(MOD(COUNTIFS($C$2:C191,C191,$D$2:D191,D191)*7,10)&lt;3,"teste","treino"))</f>
        <v/>
      </c>
      <c r="N191" s="16"/>
      <c r="O191" s="16"/>
      <c r="P191" s="16"/>
      <c r="Q191" s="17"/>
    </row>
    <row r="192" customFormat="false" ht="15" hidden="false" customHeight="false" outlineLevel="0" collapsed="false">
      <c r="A192" s="15" t="str">
        <f aca="false">IF(B192="","",ROW()-1)</f>
        <v/>
      </c>
      <c r="B192" s="16"/>
      <c r="C192" s="16"/>
      <c r="D192" s="16"/>
      <c r="E192" s="16"/>
      <c r="F192" s="17"/>
      <c r="G192" s="16"/>
      <c r="H192" s="16"/>
      <c r="I192" s="16"/>
      <c r="J192" s="16"/>
      <c r="K192" s="16"/>
      <c r="L192" s="16"/>
      <c r="M192" s="18" t="str">
        <f aca="false">IF(OR(C192="",D192=""),"",IF(MOD(COUNTIFS($C$2:C192,C192,$D$2:D192,D192)*7,10)&lt;3,"teste","treino"))</f>
        <v/>
      </c>
      <c r="N192" s="16"/>
      <c r="O192" s="16"/>
      <c r="P192" s="16"/>
      <c r="Q192" s="17"/>
    </row>
    <row r="193" customFormat="false" ht="15" hidden="false" customHeight="false" outlineLevel="0" collapsed="false">
      <c r="A193" s="15" t="str">
        <f aca="false">IF(B193="","",ROW()-1)</f>
        <v/>
      </c>
      <c r="B193" s="16"/>
      <c r="C193" s="16"/>
      <c r="D193" s="16"/>
      <c r="E193" s="16"/>
      <c r="F193" s="17"/>
      <c r="G193" s="16"/>
      <c r="H193" s="16"/>
      <c r="I193" s="16"/>
      <c r="J193" s="16"/>
      <c r="K193" s="16"/>
      <c r="L193" s="16"/>
      <c r="M193" s="18" t="str">
        <f aca="false">IF(OR(C193="",D193=""),"",IF(MOD(COUNTIFS($C$2:C193,C193,$D$2:D193,D193)*7,10)&lt;3,"teste","treino"))</f>
        <v/>
      </c>
      <c r="N193" s="16"/>
      <c r="O193" s="16"/>
      <c r="P193" s="16"/>
      <c r="Q193" s="17"/>
    </row>
    <row r="194" customFormat="false" ht="15" hidden="false" customHeight="false" outlineLevel="0" collapsed="false">
      <c r="A194" s="15" t="str">
        <f aca="false">IF(B194="","",ROW()-1)</f>
        <v/>
      </c>
      <c r="B194" s="16"/>
      <c r="C194" s="16"/>
      <c r="D194" s="16"/>
      <c r="E194" s="16"/>
      <c r="F194" s="17"/>
      <c r="G194" s="16"/>
      <c r="H194" s="16"/>
      <c r="I194" s="16"/>
      <c r="J194" s="16"/>
      <c r="K194" s="16"/>
      <c r="L194" s="16"/>
      <c r="M194" s="18" t="str">
        <f aca="false">IF(OR(C194="",D194=""),"",IF(MOD(COUNTIFS($C$2:C194,C194,$D$2:D194,D194)*7,10)&lt;3,"teste","treino"))</f>
        <v/>
      </c>
      <c r="N194" s="16"/>
      <c r="O194" s="16"/>
      <c r="P194" s="16"/>
      <c r="Q194" s="17"/>
    </row>
    <row r="195" customFormat="false" ht="15" hidden="false" customHeight="false" outlineLevel="0" collapsed="false">
      <c r="A195" s="15" t="str">
        <f aca="false">IF(B195="","",ROW()-1)</f>
        <v/>
      </c>
      <c r="B195" s="16"/>
      <c r="C195" s="16"/>
      <c r="D195" s="16"/>
      <c r="E195" s="16"/>
      <c r="F195" s="17"/>
      <c r="G195" s="16"/>
      <c r="H195" s="16"/>
      <c r="I195" s="16"/>
      <c r="J195" s="16"/>
      <c r="K195" s="16"/>
      <c r="L195" s="16"/>
      <c r="M195" s="18" t="str">
        <f aca="false">IF(OR(C195="",D195=""),"",IF(MOD(COUNTIFS($C$2:C195,C195,$D$2:D195,D195)*7,10)&lt;3,"teste","treino"))</f>
        <v/>
      </c>
      <c r="N195" s="16"/>
      <c r="O195" s="16"/>
      <c r="P195" s="16"/>
      <c r="Q195" s="17"/>
    </row>
    <row r="196" customFormat="false" ht="15" hidden="false" customHeight="false" outlineLevel="0" collapsed="false">
      <c r="A196" s="15" t="str">
        <f aca="false">IF(B196="","",ROW()-1)</f>
        <v/>
      </c>
      <c r="B196" s="16"/>
      <c r="C196" s="16"/>
      <c r="D196" s="16"/>
      <c r="E196" s="16"/>
      <c r="F196" s="17"/>
      <c r="G196" s="16"/>
      <c r="H196" s="16"/>
      <c r="I196" s="16"/>
      <c r="J196" s="16"/>
      <c r="K196" s="16"/>
      <c r="L196" s="16"/>
      <c r="M196" s="18" t="str">
        <f aca="false">IF(OR(C196="",D196=""),"",IF(MOD(COUNTIFS($C$2:C196,C196,$D$2:D196,D196)*7,10)&lt;3,"teste","treino"))</f>
        <v/>
      </c>
      <c r="N196" s="16"/>
      <c r="O196" s="16"/>
      <c r="P196" s="16"/>
      <c r="Q196" s="17"/>
    </row>
    <row r="197" customFormat="false" ht="15" hidden="false" customHeight="false" outlineLevel="0" collapsed="false">
      <c r="A197" s="15" t="str">
        <f aca="false">IF(B197="","",ROW()-1)</f>
        <v/>
      </c>
      <c r="B197" s="16"/>
      <c r="C197" s="16"/>
      <c r="D197" s="16"/>
      <c r="E197" s="16"/>
      <c r="F197" s="17"/>
      <c r="G197" s="16"/>
      <c r="H197" s="16"/>
      <c r="I197" s="16"/>
      <c r="J197" s="16"/>
      <c r="K197" s="16"/>
      <c r="L197" s="16"/>
      <c r="M197" s="18" t="str">
        <f aca="false">IF(OR(C197="",D197=""),"",IF(MOD(COUNTIFS($C$2:C197,C197,$D$2:D197,D197)*7,10)&lt;3,"teste","treino"))</f>
        <v/>
      </c>
      <c r="N197" s="16"/>
      <c r="O197" s="16"/>
      <c r="P197" s="16"/>
      <c r="Q197" s="17"/>
    </row>
    <row r="198" customFormat="false" ht="15" hidden="false" customHeight="false" outlineLevel="0" collapsed="false">
      <c r="A198" s="15" t="str">
        <f aca="false">IF(B198="","",ROW()-1)</f>
        <v/>
      </c>
      <c r="B198" s="16"/>
      <c r="C198" s="16"/>
      <c r="D198" s="16"/>
      <c r="E198" s="16"/>
      <c r="F198" s="17"/>
      <c r="G198" s="16"/>
      <c r="H198" s="16"/>
      <c r="I198" s="16"/>
      <c r="J198" s="16"/>
      <c r="K198" s="16"/>
      <c r="L198" s="16"/>
      <c r="M198" s="18" t="str">
        <f aca="false">IF(OR(C198="",D198=""),"",IF(MOD(COUNTIFS($C$2:C198,C198,$D$2:D198,D198)*7,10)&lt;3,"teste","treino"))</f>
        <v/>
      </c>
      <c r="N198" s="16"/>
      <c r="O198" s="16"/>
      <c r="P198" s="16"/>
      <c r="Q198" s="17"/>
    </row>
    <row r="199" customFormat="false" ht="15" hidden="false" customHeight="false" outlineLevel="0" collapsed="false">
      <c r="A199" s="15" t="str">
        <f aca="false">IF(B199="","",ROW()-1)</f>
        <v/>
      </c>
      <c r="B199" s="16"/>
      <c r="C199" s="16"/>
      <c r="D199" s="16"/>
      <c r="E199" s="16"/>
      <c r="F199" s="17"/>
      <c r="G199" s="16"/>
      <c r="H199" s="16"/>
      <c r="I199" s="16"/>
      <c r="J199" s="16"/>
      <c r="K199" s="16"/>
      <c r="L199" s="16"/>
      <c r="M199" s="18" t="str">
        <f aca="false">IF(OR(C199="",D199=""),"",IF(MOD(COUNTIFS($C$2:C199,C199,$D$2:D199,D199)*7,10)&lt;3,"teste","treino"))</f>
        <v/>
      </c>
      <c r="N199" s="16"/>
      <c r="O199" s="16"/>
      <c r="P199" s="16"/>
      <c r="Q199" s="17"/>
    </row>
    <row r="200" customFormat="false" ht="15" hidden="false" customHeight="false" outlineLevel="0" collapsed="false">
      <c r="A200" s="15" t="str">
        <f aca="false">IF(B200="","",ROW()-1)</f>
        <v/>
      </c>
      <c r="B200" s="16"/>
      <c r="C200" s="16"/>
      <c r="D200" s="16"/>
      <c r="E200" s="16"/>
      <c r="F200" s="17"/>
      <c r="G200" s="16"/>
      <c r="H200" s="16"/>
      <c r="I200" s="16"/>
      <c r="J200" s="16"/>
      <c r="K200" s="16"/>
      <c r="L200" s="16"/>
      <c r="M200" s="18" t="str">
        <f aca="false">IF(OR(C200="",D200=""),"",IF(MOD(COUNTIFS($C$2:C200,C200,$D$2:D200,D200)*7,10)&lt;3,"teste","treino"))</f>
        <v/>
      </c>
      <c r="N200" s="16"/>
      <c r="O200" s="16"/>
      <c r="P200" s="16"/>
      <c r="Q200" s="17"/>
    </row>
    <row r="201" customFormat="false" ht="15" hidden="false" customHeight="false" outlineLevel="0" collapsed="false">
      <c r="A201" s="15" t="str">
        <f aca="false">IF(B201="","",ROW()-1)</f>
        <v/>
      </c>
      <c r="B201" s="16"/>
      <c r="C201" s="16"/>
      <c r="D201" s="16"/>
      <c r="E201" s="16"/>
      <c r="F201" s="17"/>
      <c r="G201" s="16"/>
      <c r="H201" s="16"/>
      <c r="I201" s="16"/>
      <c r="J201" s="16"/>
      <c r="K201" s="16"/>
      <c r="L201" s="16"/>
      <c r="M201" s="18" t="str">
        <f aca="false">IF(OR(C201="",D201=""),"",IF(MOD(COUNTIFS($C$2:C201,C201,$D$2:D201,D201)*7,10)&lt;3,"teste","treino"))</f>
        <v/>
      </c>
      <c r="N201" s="16"/>
      <c r="O201" s="16"/>
      <c r="P201" s="16"/>
      <c r="Q201" s="17"/>
    </row>
    <row r="202" customFormat="false" ht="15" hidden="false" customHeight="false" outlineLevel="0" collapsed="false">
      <c r="A202" s="15" t="str">
        <f aca="false">IF(B202="","",ROW()-1)</f>
        <v/>
      </c>
      <c r="B202" s="16"/>
      <c r="C202" s="16"/>
      <c r="D202" s="16"/>
      <c r="E202" s="16"/>
      <c r="F202" s="17"/>
      <c r="G202" s="16"/>
      <c r="H202" s="16"/>
      <c r="I202" s="16"/>
      <c r="J202" s="16"/>
      <c r="K202" s="16"/>
      <c r="L202" s="16"/>
      <c r="M202" s="18" t="str">
        <f aca="false">IF(OR(C202="",D202=""),"",IF(MOD(COUNTIFS($C$2:C202,C202,$D$2:D202,D202)*7,10)&lt;3,"teste","treino"))</f>
        <v/>
      </c>
      <c r="N202" s="16"/>
      <c r="O202" s="16"/>
      <c r="P202" s="16"/>
      <c r="Q202" s="17"/>
    </row>
    <row r="203" customFormat="false" ht="15" hidden="false" customHeight="false" outlineLevel="0" collapsed="false">
      <c r="A203" s="15" t="str">
        <f aca="false">IF(B203="","",ROW()-1)</f>
        <v/>
      </c>
      <c r="B203" s="16"/>
      <c r="C203" s="16"/>
      <c r="D203" s="16"/>
      <c r="E203" s="16"/>
      <c r="F203" s="17"/>
      <c r="G203" s="16"/>
      <c r="H203" s="16"/>
      <c r="I203" s="16"/>
      <c r="J203" s="16"/>
      <c r="K203" s="16"/>
      <c r="L203" s="16"/>
      <c r="M203" s="18" t="str">
        <f aca="false">IF(OR(C203="",D203=""),"",IF(MOD(COUNTIFS($C$2:C203,C203,$D$2:D203,D203)*7,10)&lt;3,"teste","treino"))</f>
        <v/>
      </c>
      <c r="N203" s="16"/>
      <c r="O203" s="16"/>
      <c r="P203" s="16"/>
      <c r="Q203" s="17"/>
    </row>
    <row r="204" customFormat="false" ht="15" hidden="false" customHeight="false" outlineLevel="0" collapsed="false">
      <c r="A204" s="15" t="str">
        <f aca="false">IF(B204="","",ROW()-1)</f>
        <v/>
      </c>
      <c r="B204" s="16"/>
      <c r="C204" s="16"/>
      <c r="D204" s="16"/>
      <c r="E204" s="16"/>
      <c r="F204" s="17"/>
      <c r="G204" s="16"/>
      <c r="H204" s="16"/>
      <c r="I204" s="16"/>
      <c r="J204" s="16"/>
      <c r="K204" s="16"/>
      <c r="L204" s="16"/>
      <c r="M204" s="18" t="str">
        <f aca="false">IF(OR(C204="",D204=""),"",IF(MOD(COUNTIFS($C$2:C204,C204,$D$2:D204,D204)*7,10)&lt;3,"teste","treino"))</f>
        <v/>
      </c>
      <c r="N204" s="16"/>
      <c r="O204" s="16"/>
      <c r="P204" s="16"/>
      <c r="Q204" s="17"/>
    </row>
    <row r="205" customFormat="false" ht="15" hidden="false" customHeight="false" outlineLevel="0" collapsed="false">
      <c r="A205" s="15" t="str">
        <f aca="false">IF(B205="","",ROW()-1)</f>
        <v/>
      </c>
      <c r="B205" s="16"/>
      <c r="C205" s="16"/>
      <c r="D205" s="16"/>
      <c r="E205" s="16"/>
      <c r="F205" s="17"/>
      <c r="G205" s="16"/>
      <c r="H205" s="16"/>
      <c r="I205" s="16"/>
      <c r="J205" s="16"/>
      <c r="K205" s="16"/>
      <c r="L205" s="16"/>
      <c r="M205" s="18" t="str">
        <f aca="false">IF(OR(C205="",D205=""),"",IF(MOD(COUNTIFS($C$2:C205,C205,$D$2:D205,D205)*7,10)&lt;3,"teste","treino"))</f>
        <v/>
      </c>
      <c r="N205" s="16"/>
      <c r="O205" s="16"/>
      <c r="P205" s="16"/>
      <c r="Q205" s="17"/>
    </row>
    <row r="206" customFormat="false" ht="15" hidden="false" customHeight="false" outlineLevel="0" collapsed="false">
      <c r="A206" s="15" t="str">
        <f aca="false">IF(B206="","",ROW()-1)</f>
        <v/>
      </c>
      <c r="B206" s="16"/>
      <c r="C206" s="16"/>
      <c r="D206" s="16"/>
      <c r="E206" s="16"/>
      <c r="F206" s="17"/>
      <c r="G206" s="16"/>
      <c r="H206" s="16"/>
      <c r="I206" s="16"/>
      <c r="J206" s="16"/>
      <c r="K206" s="16"/>
      <c r="L206" s="16"/>
      <c r="M206" s="18" t="str">
        <f aca="false">IF(OR(C206="",D206=""),"",IF(MOD(COUNTIFS($C$2:C206,C206,$D$2:D206,D206)*7,10)&lt;3,"teste","treino"))</f>
        <v/>
      </c>
      <c r="N206" s="16"/>
      <c r="O206" s="16"/>
      <c r="P206" s="16"/>
      <c r="Q206" s="17"/>
    </row>
    <row r="207" customFormat="false" ht="15" hidden="false" customHeight="false" outlineLevel="0" collapsed="false">
      <c r="A207" s="15" t="str">
        <f aca="false">IF(B207="","",ROW()-1)</f>
        <v/>
      </c>
      <c r="B207" s="16"/>
      <c r="C207" s="16"/>
      <c r="D207" s="16"/>
      <c r="E207" s="16"/>
      <c r="F207" s="17"/>
      <c r="G207" s="16"/>
      <c r="H207" s="16"/>
      <c r="I207" s="16"/>
      <c r="J207" s="16"/>
      <c r="K207" s="16"/>
      <c r="L207" s="16"/>
      <c r="M207" s="18" t="str">
        <f aca="false">IF(OR(C207="",D207=""),"",IF(MOD(COUNTIFS($C$2:C207,C207,$D$2:D207,D207)*7,10)&lt;3,"teste","treino"))</f>
        <v/>
      </c>
      <c r="N207" s="16"/>
      <c r="O207" s="16"/>
      <c r="P207" s="16"/>
      <c r="Q207" s="17"/>
    </row>
    <row r="208" customFormat="false" ht="15" hidden="false" customHeight="false" outlineLevel="0" collapsed="false">
      <c r="A208" s="15" t="str">
        <f aca="false">IF(B208="","",ROW()-1)</f>
        <v/>
      </c>
      <c r="B208" s="16"/>
      <c r="C208" s="16"/>
      <c r="D208" s="16"/>
      <c r="E208" s="16"/>
      <c r="F208" s="17"/>
      <c r="G208" s="16"/>
      <c r="H208" s="16"/>
      <c r="I208" s="16"/>
      <c r="J208" s="16"/>
      <c r="K208" s="16"/>
      <c r="L208" s="16"/>
      <c r="M208" s="18" t="str">
        <f aca="false">IF(OR(C208="",D208=""),"",IF(MOD(COUNTIFS($C$2:C208,C208,$D$2:D208,D208)*7,10)&lt;3,"teste","treino"))</f>
        <v/>
      </c>
      <c r="N208" s="16"/>
      <c r="O208" s="16"/>
      <c r="P208" s="16"/>
      <c r="Q208" s="17"/>
    </row>
    <row r="209" customFormat="false" ht="15" hidden="false" customHeight="false" outlineLevel="0" collapsed="false">
      <c r="A209" s="15" t="str">
        <f aca="false">IF(B209="","",ROW()-1)</f>
        <v/>
      </c>
      <c r="B209" s="16"/>
      <c r="C209" s="16"/>
      <c r="D209" s="16"/>
      <c r="E209" s="16"/>
      <c r="F209" s="17"/>
      <c r="G209" s="16"/>
      <c r="H209" s="16"/>
      <c r="I209" s="16"/>
      <c r="J209" s="16"/>
      <c r="K209" s="16"/>
      <c r="L209" s="16"/>
      <c r="M209" s="18" t="str">
        <f aca="false">IF(OR(C209="",D209=""),"",IF(MOD(COUNTIFS($C$2:C209,C209,$D$2:D209,D209)*7,10)&lt;3,"teste","treino"))</f>
        <v/>
      </c>
      <c r="N209" s="16"/>
      <c r="O209" s="16"/>
      <c r="P209" s="16"/>
      <c r="Q209" s="17"/>
    </row>
    <row r="210" customFormat="false" ht="15" hidden="false" customHeight="false" outlineLevel="0" collapsed="false">
      <c r="A210" s="15" t="str">
        <f aca="false">IF(B210="","",ROW()-1)</f>
        <v/>
      </c>
      <c r="B210" s="16"/>
      <c r="C210" s="16"/>
      <c r="D210" s="16"/>
      <c r="E210" s="16"/>
      <c r="F210" s="17"/>
      <c r="G210" s="16"/>
      <c r="H210" s="16"/>
      <c r="I210" s="16"/>
      <c r="J210" s="16"/>
      <c r="K210" s="16"/>
      <c r="L210" s="16"/>
      <c r="M210" s="18" t="str">
        <f aca="false">IF(OR(C210="",D210=""),"",IF(MOD(COUNTIFS($C$2:C210,C210,$D$2:D210,D210)*7,10)&lt;3,"teste","treino"))</f>
        <v/>
      </c>
      <c r="N210" s="16"/>
      <c r="O210" s="16"/>
      <c r="P210" s="16"/>
      <c r="Q210" s="17"/>
    </row>
    <row r="211" customFormat="false" ht="15" hidden="false" customHeight="false" outlineLevel="0" collapsed="false">
      <c r="A211" s="15" t="str">
        <f aca="false">IF(B211="","",ROW()-1)</f>
        <v/>
      </c>
      <c r="B211" s="16"/>
      <c r="C211" s="16"/>
      <c r="D211" s="16"/>
      <c r="E211" s="16"/>
      <c r="F211" s="17"/>
      <c r="G211" s="16"/>
      <c r="H211" s="16"/>
      <c r="I211" s="16"/>
      <c r="J211" s="16"/>
      <c r="K211" s="16"/>
      <c r="L211" s="16"/>
      <c r="M211" s="18" t="str">
        <f aca="false">IF(OR(C211="",D211=""),"",IF(MOD(COUNTIFS($C$2:C211,C211,$D$2:D211,D211)*7,10)&lt;3,"teste","treino"))</f>
        <v/>
      </c>
      <c r="N211" s="16"/>
      <c r="O211" s="16"/>
      <c r="P211" s="16"/>
      <c r="Q211" s="17"/>
    </row>
    <row r="212" customFormat="false" ht="15" hidden="false" customHeight="false" outlineLevel="0" collapsed="false">
      <c r="A212" s="15" t="str">
        <f aca="false">IF(B212="","",ROW()-1)</f>
        <v/>
      </c>
      <c r="B212" s="16"/>
      <c r="C212" s="16"/>
      <c r="D212" s="16"/>
      <c r="E212" s="16"/>
      <c r="F212" s="17"/>
      <c r="G212" s="16"/>
      <c r="H212" s="16"/>
      <c r="I212" s="16"/>
      <c r="J212" s="16"/>
      <c r="K212" s="16"/>
      <c r="L212" s="16"/>
      <c r="M212" s="18" t="str">
        <f aca="false">IF(OR(C212="",D212=""),"",IF(MOD(COUNTIFS($C$2:C212,C212,$D$2:D212,D212)*7,10)&lt;3,"teste","treino"))</f>
        <v/>
      </c>
      <c r="N212" s="16"/>
      <c r="O212" s="16"/>
      <c r="P212" s="16"/>
      <c r="Q212" s="17"/>
    </row>
    <row r="213" customFormat="false" ht="15" hidden="false" customHeight="false" outlineLevel="0" collapsed="false">
      <c r="A213" s="15" t="str">
        <f aca="false">IF(B213="","",ROW()-1)</f>
        <v/>
      </c>
      <c r="B213" s="16"/>
      <c r="C213" s="16"/>
      <c r="D213" s="16"/>
      <c r="E213" s="16"/>
      <c r="F213" s="17"/>
      <c r="G213" s="16"/>
      <c r="H213" s="16"/>
      <c r="I213" s="16"/>
      <c r="J213" s="16"/>
      <c r="K213" s="16"/>
      <c r="L213" s="16"/>
      <c r="M213" s="18" t="str">
        <f aca="false">IF(OR(C213="",D213=""),"",IF(MOD(COUNTIFS($C$2:C213,C213,$D$2:D213,D213)*7,10)&lt;3,"teste","treino"))</f>
        <v/>
      </c>
      <c r="N213" s="16"/>
      <c r="O213" s="16"/>
      <c r="P213" s="16"/>
      <c r="Q213" s="17"/>
    </row>
    <row r="214" customFormat="false" ht="15" hidden="false" customHeight="false" outlineLevel="0" collapsed="false">
      <c r="A214" s="15" t="str">
        <f aca="false">IF(B214="","",ROW()-1)</f>
        <v/>
      </c>
      <c r="B214" s="16"/>
      <c r="C214" s="16"/>
      <c r="D214" s="16"/>
      <c r="E214" s="16"/>
      <c r="F214" s="17"/>
      <c r="G214" s="16"/>
      <c r="H214" s="16"/>
      <c r="I214" s="16"/>
      <c r="J214" s="16"/>
      <c r="K214" s="16"/>
      <c r="L214" s="16"/>
      <c r="M214" s="18" t="str">
        <f aca="false">IF(OR(C214="",D214=""),"",IF(MOD(COUNTIFS($C$2:C214,C214,$D$2:D214,D214)*7,10)&lt;3,"teste","treino"))</f>
        <v/>
      </c>
      <c r="N214" s="16"/>
      <c r="O214" s="16"/>
      <c r="P214" s="16"/>
      <c r="Q214" s="17"/>
    </row>
    <row r="215" customFormat="false" ht="15" hidden="false" customHeight="false" outlineLevel="0" collapsed="false">
      <c r="A215" s="15" t="str">
        <f aca="false">IF(B215="","",ROW()-1)</f>
        <v/>
      </c>
      <c r="B215" s="16"/>
      <c r="C215" s="16"/>
      <c r="D215" s="16"/>
      <c r="E215" s="16"/>
      <c r="F215" s="17"/>
      <c r="G215" s="16"/>
      <c r="H215" s="16"/>
      <c r="I215" s="16"/>
      <c r="J215" s="16"/>
      <c r="K215" s="16"/>
      <c r="L215" s="16"/>
      <c r="M215" s="18" t="str">
        <f aca="false">IF(OR(C215="",D215=""),"",IF(MOD(COUNTIFS($C$2:C215,C215,$D$2:D215,D215)*7,10)&lt;3,"teste","treino"))</f>
        <v/>
      </c>
      <c r="N215" s="16"/>
      <c r="O215" s="16"/>
      <c r="P215" s="16"/>
      <c r="Q215" s="17"/>
    </row>
    <row r="216" customFormat="false" ht="15" hidden="false" customHeight="false" outlineLevel="0" collapsed="false">
      <c r="A216" s="15" t="str">
        <f aca="false">IF(B216="","",ROW()-1)</f>
        <v/>
      </c>
      <c r="B216" s="16"/>
      <c r="C216" s="16"/>
      <c r="D216" s="16"/>
      <c r="E216" s="16"/>
      <c r="F216" s="17"/>
      <c r="G216" s="16"/>
      <c r="H216" s="16"/>
      <c r="I216" s="16"/>
      <c r="J216" s="16"/>
      <c r="K216" s="16"/>
      <c r="L216" s="16"/>
      <c r="M216" s="18" t="str">
        <f aca="false">IF(OR(C216="",D216=""),"",IF(MOD(COUNTIFS($C$2:C216,C216,$D$2:D216,D216)*7,10)&lt;3,"teste","treino"))</f>
        <v/>
      </c>
      <c r="N216" s="16"/>
      <c r="O216" s="16"/>
      <c r="P216" s="16"/>
      <c r="Q216" s="17"/>
    </row>
    <row r="217" customFormat="false" ht="15" hidden="false" customHeight="false" outlineLevel="0" collapsed="false">
      <c r="A217" s="15" t="str">
        <f aca="false">IF(B217="","",ROW()-1)</f>
        <v/>
      </c>
      <c r="B217" s="16"/>
      <c r="C217" s="16"/>
      <c r="D217" s="16"/>
      <c r="E217" s="16"/>
      <c r="F217" s="17"/>
      <c r="G217" s="16"/>
      <c r="H217" s="16"/>
      <c r="I217" s="16"/>
      <c r="J217" s="16"/>
      <c r="K217" s="16"/>
      <c r="L217" s="16"/>
      <c r="M217" s="18" t="str">
        <f aca="false">IF(OR(C217="",D217=""),"",IF(MOD(COUNTIFS($C$2:C217,C217,$D$2:D217,D217)*7,10)&lt;3,"teste","treino"))</f>
        <v/>
      </c>
      <c r="N217" s="16"/>
      <c r="O217" s="16"/>
      <c r="P217" s="16"/>
      <c r="Q217" s="17"/>
    </row>
    <row r="218" customFormat="false" ht="15" hidden="false" customHeight="false" outlineLevel="0" collapsed="false">
      <c r="A218" s="15" t="str">
        <f aca="false">IF(B218="","",ROW()-1)</f>
        <v/>
      </c>
      <c r="B218" s="16"/>
      <c r="C218" s="16"/>
      <c r="D218" s="16"/>
      <c r="E218" s="16"/>
      <c r="F218" s="17"/>
      <c r="G218" s="16"/>
      <c r="H218" s="16"/>
      <c r="I218" s="16"/>
      <c r="J218" s="16"/>
      <c r="K218" s="16"/>
      <c r="L218" s="16"/>
      <c r="M218" s="18" t="str">
        <f aca="false">IF(OR(C218="",D218=""),"",IF(MOD(COUNTIFS($C$2:C218,C218,$D$2:D218,D218)*7,10)&lt;3,"teste","treino"))</f>
        <v/>
      </c>
      <c r="N218" s="16"/>
      <c r="O218" s="16"/>
      <c r="P218" s="16"/>
      <c r="Q218" s="17"/>
    </row>
    <row r="219" customFormat="false" ht="15" hidden="false" customHeight="false" outlineLevel="0" collapsed="false">
      <c r="A219" s="15" t="str">
        <f aca="false">IF(B219="","",ROW()-1)</f>
        <v/>
      </c>
      <c r="B219" s="16"/>
      <c r="C219" s="16"/>
      <c r="D219" s="16"/>
      <c r="E219" s="16"/>
      <c r="F219" s="17"/>
      <c r="G219" s="16"/>
      <c r="H219" s="16"/>
      <c r="I219" s="16"/>
      <c r="J219" s="16"/>
      <c r="K219" s="16"/>
      <c r="L219" s="16"/>
      <c r="M219" s="18" t="str">
        <f aca="false">IF(OR(C219="",D219=""),"",IF(MOD(COUNTIFS($C$2:C219,C219,$D$2:D219,D219)*7,10)&lt;3,"teste","treino"))</f>
        <v/>
      </c>
      <c r="N219" s="16"/>
      <c r="O219" s="16"/>
      <c r="P219" s="16"/>
      <c r="Q219" s="17"/>
    </row>
    <row r="220" customFormat="false" ht="15" hidden="false" customHeight="false" outlineLevel="0" collapsed="false">
      <c r="A220" s="15" t="str">
        <f aca="false">IF(B220="","",ROW()-1)</f>
        <v/>
      </c>
      <c r="B220" s="16"/>
      <c r="C220" s="16"/>
      <c r="D220" s="16"/>
      <c r="E220" s="16"/>
      <c r="F220" s="17"/>
      <c r="G220" s="16"/>
      <c r="H220" s="16"/>
      <c r="I220" s="16"/>
      <c r="J220" s="16"/>
      <c r="K220" s="16"/>
      <c r="L220" s="16"/>
      <c r="M220" s="18" t="str">
        <f aca="false">IF(OR(C220="",D220=""),"",IF(MOD(COUNTIFS($C$2:C220,C220,$D$2:D220,D220)*7,10)&lt;3,"teste","treino"))</f>
        <v/>
      </c>
      <c r="N220" s="16"/>
      <c r="O220" s="16"/>
      <c r="P220" s="16"/>
      <c r="Q220" s="17"/>
    </row>
    <row r="221" customFormat="false" ht="15" hidden="false" customHeight="false" outlineLevel="0" collapsed="false">
      <c r="A221" s="15" t="str">
        <f aca="false">IF(B221="","",ROW()-1)</f>
        <v/>
      </c>
      <c r="B221" s="16"/>
      <c r="C221" s="16"/>
      <c r="D221" s="16"/>
      <c r="E221" s="16"/>
      <c r="F221" s="17"/>
      <c r="G221" s="16"/>
      <c r="H221" s="16"/>
      <c r="I221" s="16"/>
      <c r="J221" s="16"/>
      <c r="K221" s="16"/>
      <c r="L221" s="16"/>
      <c r="M221" s="18" t="str">
        <f aca="false">IF(OR(C221="",D221=""),"",IF(MOD(COUNTIFS($C$2:C221,C221,$D$2:D221,D221)*7,10)&lt;3,"teste","treino"))</f>
        <v/>
      </c>
      <c r="N221" s="16"/>
      <c r="O221" s="16"/>
      <c r="P221" s="16"/>
      <c r="Q221" s="17"/>
    </row>
    <row r="222" customFormat="false" ht="15" hidden="false" customHeight="false" outlineLevel="0" collapsed="false">
      <c r="A222" s="15" t="str">
        <f aca="false">IF(B222="","",ROW()-1)</f>
        <v/>
      </c>
      <c r="B222" s="16"/>
      <c r="C222" s="16"/>
      <c r="D222" s="16"/>
      <c r="E222" s="16"/>
      <c r="F222" s="17"/>
      <c r="G222" s="16"/>
      <c r="H222" s="16"/>
      <c r="I222" s="16"/>
      <c r="J222" s="16"/>
      <c r="K222" s="16"/>
      <c r="L222" s="16"/>
      <c r="M222" s="18" t="str">
        <f aca="false">IF(OR(C222="",D222=""),"",IF(MOD(COUNTIFS($C$2:C222,C222,$D$2:D222,D222)*7,10)&lt;3,"teste","treino"))</f>
        <v/>
      </c>
      <c r="N222" s="16"/>
      <c r="O222" s="16"/>
      <c r="P222" s="16"/>
      <c r="Q222" s="17"/>
    </row>
    <row r="223" customFormat="false" ht="15" hidden="false" customHeight="false" outlineLevel="0" collapsed="false">
      <c r="A223" s="15" t="str">
        <f aca="false">IF(B223="","",ROW()-1)</f>
        <v/>
      </c>
      <c r="B223" s="16"/>
      <c r="C223" s="16"/>
      <c r="D223" s="16"/>
      <c r="E223" s="16"/>
      <c r="F223" s="17"/>
      <c r="G223" s="16"/>
      <c r="H223" s="16"/>
      <c r="I223" s="16"/>
      <c r="J223" s="16"/>
      <c r="K223" s="16"/>
      <c r="L223" s="16"/>
      <c r="M223" s="18" t="str">
        <f aca="false">IF(OR(C223="",D223=""),"",IF(MOD(COUNTIFS($C$2:C223,C223,$D$2:D223,D223)*7,10)&lt;3,"teste","treino"))</f>
        <v/>
      </c>
      <c r="N223" s="16"/>
      <c r="O223" s="16"/>
      <c r="P223" s="16"/>
      <c r="Q223" s="17"/>
    </row>
    <row r="224" customFormat="false" ht="15" hidden="false" customHeight="false" outlineLevel="0" collapsed="false">
      <c r="A224" s="15" t="str">
        <f aca="false">IF(B224="","",ROW()-1)</f>
        <v/>
      </c>
      <c r="B224" s="16"/>
      <c r="C224" s="16"/>
      <c r="D224" s="16"/>
      <c r="E224" s="16"/>
      <c r="F224" s="17"/>
      <c r="G224" s="16"/>
      <c r="H224" s="16"/>
      <c r="I224" s="16"/>
      <c r="J224" s="16"/>
      <c r="K224" s="16"/>
      <c r="L224" s="16"/>
      <c r="M224" s="18" t="str">
        <f aca="false">IF(OR(C224="",D224=""),"",IF(MOD(COUNTIFS($C$2:C224,C224,$D$2:D224,D224)*7,10)&lt;3,"teste","treino"))</f>
        <v/>
      </c>
      <c r="N224" s="16"/>
      <c r="O224" s="16"/>
      <c r="P224" s="16"/>
      <c r="Q224" s="17"/>
    </row>
    <row r="225" customFormat="false" ht="15" hidden="false" customHeight="false" outlineLevel="0" collapsed="false">
      <c r="A225" s="15" t="str">
        <f aca="false">IF(B225="","",ROW()-1)</f>
        <v/>
      </c>
      <c r="B225" s="16"/>
      <c r="C225" s="16"/>
      <c r="D225" s="16"/>
      <c r="E225" s="16"/>
      <c r="F225" s="17"/>
      <c r="G225" s="16"/>
      <c r="H225" s="16"/>
      <c r="I225" s="16"/>
      <c r="J225" s="16"/>
      <c r="K225" s="16"/>
      <c r="L225" s="16"/>
      <c r="M225" s="18" t="str">
        <f aca="false">IF(OR(C225="",D225=""),"",IF(MOD(COUNTIFS($C$2:C225,C225,$D$2:D225,D225)*7,10)&lt;3,"teste","treino"))</f>
        <v/>
      </c>
      <c r="N225" s="16"/>
      <c r="O225" s="16"/>
      <c r="P225" s="16"/>
      <c r="Q225" s="17"/>
    </row>
    <row r="226" customFormat="false" ht="15" hidden="false" customHeight="false" outlineLevel="0" collapsed="false">
      <c r="A226" s="15" t="str">
        <f aca="false">IF(B226="","",ROW()-1)</f>
        <v/>
      </c>
      <c r="B226" s="16"/>
      <c r="C226" s="16"/>
      <c r="D226" s="16"/>
      <c r="E226" s="16"/>
      <c r="F226" s="17"/>
      <c r="G226" s="16"/>
      <c r="H226" s="16"/>
      <c r="I226" s="16"/>
      <c r="J226" s="16"/>
      <c r="K226" s="16"/>
      <c r="L226" s="16"/>
      <c r="M226" s="18" t="str">
        <f aca="false">IF(OR(C226="",D226=""),"",IF(MOD(COUNTIFS($C$2:C226,C226,$D$2:D226,D226)*7,10)&lt;3,"teste","treino"))</f>
        <v/>
      </c>
      <c r="N226" s="16"/>
      <c r="O226" s="16"/>
      <c r="P226" s="16"/>
      <c r="Q226" s="17"/>
    </row>
    <row r="227" customFormat="false" ht="15" hidden="false" customHeight="false" outlineLevel="0" collapsed="false">
      <c r="A227" s="15" t="str">
        <f aca="false">IF(B227="","",ROW()-1)</f>
        <v/>
      </c>
      <c r="B227" s="16"/>
      <c r="C227" s="16"/>
      <c r="D227" s="16"/>
      <c r="E227" s="16"/>
      <c r="F227" s="17"/>
      <c r="G227" s="16"/>
      <c r="H227" s="16"/>
      <c r="I227" s="16"/>
      <c r="J227" s="16"/>
      <c r="K227" s="16"/>
      <c r="L227" s="16"/>
      <c r="M227" s="18" t="str">
        <f aca="false">IF(OR(C227="",D227=""),"",IF(MOD(COUNTIFS($C$2:C227,C227,$D$2:D227,D227)*7,10)&lt;3,"teste","treino"))</f>
        <v/>
      </c>
      <c r="N227" s="16"/>
      <c r="O227" s="16"/>
      <c r="P227" s="16"/>
      <c r="Q227" s="17"/>
    </row>
    <row r="228" customFormat="false" ht="15" hidden="false" customHeight="false" outlineLevel="0" collapsed="false">
      <c r="A228" s="15" t="str">
        <f aca="false">IF(B228="","",ROW()-1)</f>
        <v/>
      </c>
      <c r="B228" s="16"/>
      <c r="C228" s="16"/>
      <c r="D228" s="16"/>
      <c r="E228" s="16"/>
      <c r="F228" s="17"/>
      <c r="G228" s="16"/>
      <c r="H228" s="16"/>
      <c r="I228" s="16"/>
      <c r="J228" s="16"/>
      <c r="K228" s="16"/>
      <c r="L228" s="16"/>
      <c r="M228" s="18" t="str">
        <f aca="false">IF(OR(C228="",D228=""),"",IF(MOD(COUNTIFS($C$2:C228,C228,$D$2:D228,D228)*7,10)&lt;3,"teste","treino"))</f>
        <v/>
      </c>
      <c r="N228" s="16"/>
      <c r="O228" s="16"/>
      <c r="P228" s="16"/>
      <c r="Q228" s="17"/>
    </row>
    <row r="229" customFormat="false" ht="15" hidden="false" customHeight="false" outlineLevel="0" collapsed="false">
      <c r="A229" s="15" t="str">
        <f aca="false">IF(B229="","",ROW()-1)</f>
        <v/>
      </c>
      <c r="B229" s="16"/>
      <c r="C229" s="16"/>
      <c r="D229" s="16"/>
      <c r="E229" s="16"/>
      <c r="F229" s="17"/>
      <c r="G229" s="16"/>
      <c r="H229" s="16"/>
      <c r="I229" s="16"/>
      <c r="J229" s="16"/>
      <c r="K229" s="16"/>
      <c r="L229" s="16"/>
      <c r="M229" s="18" t="str">
        <f aca="false">IF(OR(C229="",D229=""),"",IF(MOD(COUNTIFS($C$2:C229,C229,$D$2:D229,D229)*7,10)&lt;3,"teste","treino"))</f>
        <v/>
      </c>
      <c r="N229" s="16"/>
      <c r="O229" s="16"/>
      <c r="P229" s="16"/>
      <c r="Q229" s="17"/>
    </row>
    <row r="230" customFormat="false" ht="15" hidden="false" customHeight="false" outlineLevel="0" collapsed="false">
      <c r="A230" s="15" t="str">
        <f aca="false">IF(B230="","",ROW()-1)</f>
        <v/>
      </c>
      <c r="B230" s="16"/>
      <c r="C230" s="16"/>
      <c r="D230" s="16"/>
      <c r="E230" s="16"/>
      <c r="F230" s="17"/>
      <c r="G230" s="16"/>
      <c r="H230" s="16"/>
      <c r="I230" s="16"/>
      <c r="J230" s="16"/>
      <c r="K230" s="16"/>
      <c r="L230" s="16"/>
      <c r="M230" s="18" t="str">
        <f aca="false">IF(OR(C230="",D230=""),"",IF(MOD(COUNTIFS($C$2:C230,C230,$D$2:D230,D230)*7,10)&lt;3,"teste","treino"))</f>
        <v/>
      </c>
      <c r="N230" s="16"/>
      <c r="O230" s="16"/>
      <c r="P230" s="16"/>
      <c r="Q230" s="17"/>
    </row>
    <row r="231" customFormat="false" ht="15" hidden="false" customHeight="false" outlineLevel="0" collapsed="false">
      <c r="A231" s="15" t="str">
        <f aca="false">IF(B231="","",ROW()-1)</f>
        <v/>
      </c>
      <c r="B231" s="16"/>
      <c r="C231" s="16"/>
      <c r="D231" s="16"/>
      <c r="E231" s="16"/>
      <c r="F231" s="17"/>
      <c r="G231" s="16"/>
      <c r="H231" s="16"/>
      <c r="I231" s="16"/>
      <c r="J231" s="16"/>
      <c r="K231" s="16"/>
      <c r="L231" s="16"/>
      <c r="M231" s="18" t="str">
        <f aca="false">IF(OR(C231="",D231=""),"",IF(MOD(COUNTIFS($C$2:C231,C231,$D$2:D231,D231)*7,10)&lt;3,"teste","treino"))</f>
        <v/>
      </c>
      <c r="N231" s="16"/>
      <c r="O231" s="16"/>
      <c r="P231" s="16"/>
      <c r="Q231" s="17"/>
    </row>
    <row r="232" customFormat="false" ht="15" hidden="false" customHeight="false" outlineLevel="0" collapsed="false">
      <c r="A232" s="15" t="str">
        <f aca="false">IF(B232="","",ROW()-1)</f>
        <v/>
      </c>
      <c r="B232" s="16"/>
      <c r="C232" s="16"/>
      <c r="D232" s="16"/>
      <c r="E232" s="16"/>
      <c r="F232" s="17"/>
      <c r="G232" s="16"/>
      <c r="H232" s="16"/>
      <c r="I232" s="16"/>
      <c r="J232" s="16"/>
      <c r="K232" s="16"/>
      <c r="L232" s="16"/>
      <c r="M232" s="18" t="str">
        <f aca="false">IF(OR(C232="",D232=""),"",IF(MOD(COUNTIFS($C$2:C232,C232,$D$2:D232,D232)*7,10)&lt;3,"teste","treino"))</f>
        <v/>
      </c>
      <c r="N232" s="16"/>
      <c r="O232" s="16"/>
      <c r="P232" s="16"/>
      <c r="Q232" s="17"/>
    </row>
    <row r="233" customFormat="false" ht="15" hidden="false" customHeight="false" outlineLevel="0" collapsed="false">
      <c r="A233" s="15" t="str">
        <f aca="false">IF(B233="","",ROW()-1)</f>
        <v/>
      </c>
      <c r="B233" s="16"/>
      <c r="C233" s="16"/>
      <c r="D233" s="16"/>
      <c r="E233" s="16"/>
      <c r="F233" s="17"/>
      <c r="G233" s="16"/>
      <c r="H233" s="16"/>
      <c r="I233" s="16"/>
      <c r="J233" s="16"/>
      <c r="K233" s="16"/>
      <c r="L233" s="16"/>
      <c r="M233" s="18" t="str">
        <f aca="false">IF(OR(C233="",D233=""),"",IF(MOD(COUNTIFS($C$2:C233,C233,$D$2:D233,D233)*7,10)&lt;3,"teste","treino"))</f>
        <v/>
      </c>
      <c r="N233" s="16"/>
      <c r="O233" s="16"/>
      <c r="P233" s="16"/>
      <c r="Q233" s="17"/>
    </row>
    <row r="234" customFormat="false" ht="15" hidden="false" customHeight="false" outlineLevel="0" collapsed="false">
      <c r="A234" s="15" t="str">
        <f aca="false">IF(B234="","",ROW()-1)</f>
        <v/>
      </c>
      <c r="B234" s="16"/>
      <c r="C234" s="16"/>
      <c r="D234" s="16"/>
      <c r="E234" s="16"/>
      <c r="F234" s="17"/>
      <c r="G234" s="16"/>
      <c r="H234" s="16"/>
      <c r="I234" s="16"/>
      <c r="J234" s="16"/>
      <c r="K234" s="16"/>
      <c r="L234" s="16"/>
      <c r="M234" s="18" t="str">
        <f aca="false">IF(OR(C234="",D234=""),"",IF(MOD(COUNTIFS($C$2:C234,C234,$D$2:D234,D234)*7,10)&lt;3,"teste","treino"))</f>
        <v/>
      </c>
      <c r="N234" s="16"/>
      <c r="O234" s="16"/>
      <c r="P234" s="16"/>
      <c r="Q234" s="17"/>
    </row>
    <row r="235" customFormat="false" ht="15" hidden="false" customHeight="false" outlineLevel="0" collapsed="false">
      <c r="A235" s="15" t="str">
        <f aca="false">IF(B235="","",ROW()-1)</f>
        <v/>
      </c>
      <c r="B235" s="16"/>
      <c r="C235" s="16"/>
      <c r="D235" s="16"/>
      <c r="E235" s="16"/>
      <c r="F235" s="17"/>
      <c r="G235" s="16"/>
      <c r="H235" s="16"/>
      <c r="I235" s="16"/>
      <c r="J235" s="16"/>
      <c r="K235" s="16"/>
      <c r="L235" s="16"/>
      <c r="M235" s="18" t="str">
        <f aca="false">IF(OR(C235="",D235=""),"",IF(MOD(COUNTIFS($C$2:C235,C235,$D$2:D235,D235)*7,10)&lt;3,"teste","treino"))</f>
        <v/>
      </c>
      <c r="N235" s="16"/>
      <c r="O235" s="16"/>
      <c r="P235" s="16"/>
      <c r="Q235" s="17"/>
    </row>
    <row r="236" customFormat="false" ht="15" hidden="false" customHeight="false" outlineLevel="0" collapsed="false">
      <c r="A236" s="15" t="str">
        <f aca="false">IF(B236="","",ROW()-1)</f>
        <v/>
      </c>
      <c r="B236" s="16"/>
      <c r="C236" s="16"/>
      <c r="D236" s="16"/>
      <c r="E236" s="16"/>
      <c r="F236" s="17"/>
      <c r="G236" s="16"/>
      <c r="H236" s="16"/>
      <c r="I236" s="16"/>
      <c r="J236" s="16"/>
      <c r="K236" s="16"/>
      <c r="L236" s="16"/>
      <c r="M236" s="18" t="str">
        <f aca="false">IF(OR(C236="",D236=""),"",IF(MOD(COUNTIFS($C$2:C236,C236,$D$2:D236,D236)*7,10)&lt;3,"teste","treino"))</f>
        <v/>
      </c>
      <c r="N236" s="16"/>
      <c r="O236" s="16"/>
      <c r="P236" s="16"/>
      <c r="Q236" s="17"/>
    </row>
    <row r="237" customFormat="false" ht="15" hidden="false" customHeight="false" outlineLevel="0" collapsed="false">
      <c r="A237" s="15" t="str">
        <f aca="false">IF(B237="","",ROW()-1)</f>
        <v/>
      </c>
      <c r="B237" s="16"/>
      <c r="C237" s="16"/>
      <c r="D237" s="16"/>
      <c r="E237" s="16"/>
      <c r="F237" s="17"/>
      <c r="G237" s="16"/>
      <c r="H237" s="16"/>
      <c r="I237" s="16"/>
      <c r="J237" s="16"/>
      <c r="K237" s="16"/>
      <c r="L237" s="16"/>
      <c r="M237" s="18" t="str">
        <f aca="false">IF(OR(C237="",D237=""),"",IF(MOD(COUNTIFS($C$2:C237,C237,$D$2:D237,D237)*7,10)&lt;3,"teste","treino"))</f>
        <v/>
      </c>
      <c r="N237" s="16"/>
      <c r="O237" s="16"/>
      <c r="P237" s="16"/>
      <c r="Q237" s="17"/>
    </row>
    <row r="238" customFormat="false" ht="15" hidden="false" customHeight="false" outlineLevel="0" collapsed="false">
      <c r="A238" s="15" t="str">
        <f aca="false">IF(B238="","",ROW()-1)</f>
        <v/>
      </c>
      <c r="B238" s="16"/>
      <c r="C238" s="16"/>
      <c r="D238" s="16"/>
      <c r="E238" s="16"/>
      <c r="F238" s="17"/>
      <c r="G238" s="16"/>
      <c r="H238" s="16"/>
      <c r="I238" s="16"/>
      <c r="J238" s="16"/>
      <c r="K238" s="16"/>
      <c r="L238" s="16"/>
      <c r="M238" s="18" t="str">
        <f aca="false">IF(OR(C238="",D238=""),"",IF(MOD(COUNTIFS($C$2:C238,C238,$D$2:D238,D238)*7,10)&lt;3,"teste","treino"))</f>
        <v/>
      </c>
      <c r="N238" s="16"/>
      <c r="O238" s="16"/>
      <c r="P238" s="16"/>
      <c r="Q238" s="17"/>
    </row>
    <row r="239" customFormat="false" ht="15" hidden="false" customHeight="false" outlineLevel="0" collapsed="false">
      <c r="A239" s="15" t="str">
        <f aca="false">IF(B239="","",ROW()-1)</f>
        <v/>
      </c>
      <c r="B239" s="16"/>
      <c r="C239" s="16"/>
      <c r="D239" s="16"/>
      <c r="E239" s="16"/>
      <c r="F239" s="17"/>
      <c r="G239" s="16"/>
      <c r="H239" s="16"/>
      <c r="I239" s="16"/>
      <c r="J239" s="16"/>
      <c r="K239" s="16"/>
      <c r="L239" s="16"/>
      <c r="M239" s="18" t="str">
        <f aca="false">IF(OR(C239="",D239=""),"",IF(MOD(COUNTIFS($C$2:C239,C239,$D$2:D239,D239)*7,10)&lt;3,"teste","treino"))</f>
        <v/>
      </c>
      <c r="N239" s="16"/>
      <c r="O239" s="16"/>
      <c r="P239" s="16"/>
      <c r="Q239" s="17"/>
    </row>
    <row r="240" customFormat="false" ht="15" hidden="false" customHeight="false" outlineLevel="0" collapsed="false">
      <c r="A240" s="15" t="str">
        <f aca="false">IF(B240="","",ROW()-1)</f>
        <v/>
      </c>
      <c r="B240" s="16"/>
      <c r="C240" s="16"/>
      <c r="D240" s="16"/>
      <c r="E240" s="16"/>
      <c r="F240" s="17"/>
      <c r="G240" s="16"/>
      <c r="H240" s="16"/>
      <c r="I240" s="16"/>
      <c r="J240" s="16"/>
      <c r="K240" s="16"/>
      <c r="L240" s="16"/>
      <c r="M240" s="18" t="str">
        <f aca="false">IF(OR(C240="",D240=""),"",IF(MOD(COUNTIFS($C$2:C240,C240,$D$2:D240,D240)*7,10)&lt;3,"teste","treino"))</f>
        <v/>
      </c>
      <c r="N240" s="16"/>
      <c r="O240" s="16"/>
      <c r="P240" s="16"/>
      <c r="Q240" s="17"/>
    </row>
    <row r="241" customFormat="false" ht="15" hidden="false" customHeight="false" outlineLevel="0" collapsed="false">
      <c r="A241" s="15" t="str">
        <f aca="false">IF(B241="","",ROW()-1)</f>
        <v/>
      </c>
      <c r="B241" s="16"/>
      <c r="C241" s="16"/>
      <c r="D241" s="16"/>
      <c r="E241" s="16"/>
      <c r="F241" s="17"/>
      <c r="G241" s="16"/>
      <c r="H241" s="16"/>
      <c r="I241" s="16"/>
      <c r="J241" s="16"/>
      <c r="K241" s="16"/>
      <c r="L241" s="16"/>
      <c r="M241" s="18" t="str">
        <f aca="false">IF(OR(C241="",D241=""),"",IF(MOD(COUNTIFS($C$2:C241,C241,$D$2:D241,D241)*7,10)&lt;3,"teste","treino"))</f>
        <v/>
      </c>
      <c r="N241" s="16"/>
      <c r="O241" s="16"/>
      <c r="P241" s="16"/>
      <c r="Q241" s="17"/>
    </row>
    <row r="242" customFormat="false" ht="15" hidden="false" customHeight="false" outlineLevel="0" collapsed="false">
      <c r="A242" s="15" t="str">
        <f aca="false">IF(B242="","",ROW()-1)</f>
        <v/>
      </c>
      <c r="B242" s="16"/>
      <c r="C242" s="16"/>
      <c r="D242" s="16"/>
      <c r="E242" s="16"/>
      <c r="F242" s="17"/>
      <c r="G242" s="16"/>
      <c r="H242" s="16"/>
      <c r="I242" s="16"/>
      <c r="J242" s="16"/>
      <c r="K242" s="16"/>
      <c r="L242" s="16"/>
      <c r="M242" s="18" t="str">
        <f aca="false">IF(OR(C242="",D242=""),"",IF(MOD(COUNTIFS($C$2:C242,C242,$D$2:D242,D242)*7,10)&lt;3,"teste","treino"))</f>
        <v/>
      </c>
      <c r="N242" s="16"/>
      <c r="O242" s="16"/>
      <c r="P242" s="16"/>
      <c r="Q242" s="17"/>
    </row>
    <row r="243" customFormat="false" ht="15" hidden="false" customHeight="false" outlineLevel="0" collapsed="false">
      <c r="A243" s="15" t="str">
        <f aca="false">IF(B243="","",ROW()-1)</f>
        <v/>
      </c>
      <c r="B243" s="16"/>
      <c r="C243" s="16"/>
      <c r="D243" s="16"/>
      <c r="E243" s="16"/>
      <c r="F243" s="17"/>
      <c r="G243" s="16"/>
      <c r="H243" s="16"/>
      <c r="I243" s="16"/>
      <c r="J243" s="16"/>
      <c r="K243" s="16"/>
      <c r="L243" s="16"/>
      <c r="M243" s="18" t="str">
        <f aca="false">IF(OR(C243="",D243=""),"",IF(MOD(COUNTIFS($C$2:C243,C243,$D$2:D243,D243)*7,10)&lt;3,"teste","treino"))</f>
        <v/>
      </c>
      <c r="N243" s="16"/>
      <c r="O243" s="16"/>
      <c r="P243" s="16"/>
      <c r="Q243" s="17"/>
    </row>
    <row r="244" customFormat="false" ht="15" hidden="false" customHeight="false" outlineLevel="0" collapsed="false">
      <c r="A244" s="15" t="str">
        <f aca="false">IF(B244="","",ROW()-1)</f>
        <v/>
      </c>
      <c r="B244" s="16"/>
      <c r="C244" s="16"/>
      <c r="D244" s="16"/>
      <c r="E244" s="16"/>
      <c r="F244" s="17"/>
      <c r="G244" s="16"/>
      <c r="H244" s="16"/>
      <c r="I244" s="16"/>
      <c r="J244" s="16"/>
      <c r="K244" s="16"/>
      <c r="L244" s="16"/>
      <c r="M244" s="18" t="str">
        <f aca="false">IF(OR(C244="",D244=""),"",IF(MOD(COUNTIFS($C$2:C244,C244,$D$2:D244,D244)*7,10)&lt;3,"teste","treino"))</f>
        <v/>
      </c>
      <c r="N244" s="16"/>
      <c r="O244" s="16"/>
      <c r="P244" s="16"/>
      <c r="Q244" s="17"/>
    </row>
    <row r="245" customFormat="false" ht="15" hidden="false" customHeight="false" outlineLevel="0" collapsed="false">
      <c r="A245" s="15" t="str">
        <f aca="false">IF(B245="","",ROW()-1)</f>
        <v/>
      </c>
      <c r="B245" s="16"/>
      <c r="C245" s="16"/>
      <c r="D245" s="16"/>
      <c r="E245" s="16"/>
      <c r="F245" s="17"/>
      <c r="G245" s="16"/>
      <c r="H245" s="16"/>
      <c r="I245" s="16"/>
      <c r="J245" s="16"/>
      <c r="K245" s="16"/>
      <c r="L245" s="16"/>
      <c r="M245" s="18" t="str">
        <f aca="false">IF(OR(C245="",D245=""),"",IF(MOD(COUNTIFS($C$2:C245,C245,$D$2:D245,D245)*7,10)&lt;3,"teste","treino"))</f>
        <v/>
      </c>
      <c r="N245" s="16"/>
      <c r="O245" s="16"/>
      <c r="P245" s="16"/>
      <c r="Q245" s="17"/>
    </row>
    <row r="246" customFormat="false" ht="15" hidden="false" customHeight="false" outlineLevel="0" collapsed="false">
      <c r="A246" s="15" t="str">
        <f aca="false">IF(B246="","",ROW()-1)</f>
        <v/>
      </c>
      <c r="B246" s="16"/>
      <c r="C246" s="16"/>
      <c r="D246" s="16"/>
      <c r="E246" s="16"/>
      <c r="F246" s="17"/>
      <c r="G246" s="16"/>
      <c r="H246" s="16"/>
      <c r="I246" s="16"/>
      <c r="J246" s="16"/>
      <c r="K246" s="16"/>
      <c r="L246" s="16"/>
      <c r="M246" s="18" t="str">
        <f aca="false">IF(OR(C246="",D246=""),"",IF(MOD(COUNTIFS($C$2:C246,C246,$D$2:D246,D246)*7,10)&lt;3,"teste","treino"))</f>
        <v/>
      </c>
      <c r="N246" s="16"/>
      <c r="O246" s="16"/>
      <c r="P246" s="16"/>
      <c r="Q246" s="17"/>
    </row>
    <row r="247" customFormat="false" ht="15" hidden="false" customHeight="false" outlineLevel="0" collapsed="false">
      <c r="A247" s="15" t="str">
        <f aca="false">IF(B247="","",ROW()-1)</f>
        <v/>
      </c>
      <c r="B247" s="16"/>
      <c r="C247" s="16"/>
      <c r="D247" s="16"/>
      <c r="E247" s="16"/>
      <c r="F247" s="17"/>
      <c r="G247" s="16"/>
      <c r="H247" s="16"/>
      <c r="I247" s="16"/>
      <c r="J247" s="16"/>
      <c r="K247" s="16"/>
      <c r="L247" s="16"/>
      <c r="M247" s="18" t="str">
        <f aca="false">IF(OR(C247="",D247=""),"",IF(MOD(COUNTIFS($C$2:C247,C247,$D$2:D247,D247)*7,10)&lt;3,"teste","treino"))</f>
        <v/>
      </c>
      <c r="N247" s="16"/>
      <c r="O247" s="16"/>
      <c r="P247" s="16"/>
      <c r="Q247" s="17"/>
    </row>
    <row r="248" customFormat="false" ht="15" hidden="false" customHeight="false" outlineLevel="0" collapsed="false">
      <c r="A248" s="15" t="str">
        <f aca="false">IF(B248="","",ROW()-1)</f>
        <v/>
      </c>
      <c r="B248" s="16"/>
      <c r="C248" s="16"/>
      <c r="D248" s="16"/>
      <c r="E248" s="16"/>
      <c r="F248" s="17"/>
      <c r="G248" s="16"/>
      <c r="H248" s="16"/>
      <c r="I248" s="16"/>
      <c r="J248" s="16"/>
      <c r="K248" s="16"/>
      <c r="L248" s="16"/>
      <c r="M248" s="18" t="str">
        <f aca="false">IF(OR(C248="",D248=""),"",IF(MOD(COUNTIFS($C$2:C248,C248,$D$2:D248,D248)*7,10)&lt;3,"teste","treino"))</f>
        <v/>
      </c>
      <c r="N248" s="16"/>
      <c r="O248" s="16"/>
      <c r="P248" s="16"/>
      <c r="Q248" s="17"/>
    </row>
    <row r="249" customFormat="false" ht="15" hidden="false" customHeight="false" outlineLevel="0" collapsed="false">
      <c r="A249" s="15" t="str">
        <f aca="false">IF(B249="","",ROW()-1)</f>
        <v/>
      </c>
      <c r="B249" s="16"/>
      <c r="C249" s="16"/>
      <c r="D249" s="16"/>
      <c r="E249" s="16"/>
      <c r="F249" s="17"/>
      <c r="G249" s="16"/>
      <c r="H249" s="16"/>
      <c r="I249" s="16"/>
      <c r="J249" s="16"/>
      <c r="K249" s="16"/>
      <c r="L249" s="16"/>
      <c r="M249" s="18" t="str">
        <f aca="false">IF(OR(C249="",D249=""),"",IF(MOD(COUNTIFS($C$2:C249,C249,$D$2:D249,D249)*7,10)&lt;3,"teste","treino"))</f>
        <v/>
      </c>
      <c r="N249" s="16"/>
      <c r="O249" s="16"/>
      <c r="P249" s="16"/>
      <c r="Q249" s="17"/>
    </row>
    <row r="250" customFormat="false" ht="15" hidden="false" customHeight="false" outlineLevel="0" collapsed="false">
      <c r="A250" s="15" t="str">
        <f aca="false">IF(B250="","",ROW()-1)</f>
        <v/>
      </c>
      <c r="B250" s="16"/>
      <c r="C250" s="16"/>
      <c r="D250" s="16"/>
      <c r="E250" s="16"/>
      <c r="F250" s="17"/>
      <c r="G250" s="16"/>
      <c r="H250" s="16"/>
      <c r="I250" s="16"/>
      <c r="J250" s="16"/>
      <c r="K250" s="16"/>
      <c r="L250" s="16"/>
      <c r="M250" s="18" t="str">
        <f aca="false">IF(OR(C250="",D250=""),"",IF(MOD(COUNTIFS($C$2:C250,C250,$D$2:D250,D250)*7,10)&lt;3,"teste","treino"))</f>
        <v/>
      </c>
      <c r="N250" s="16"/>
      <c r="O250" s="16"/>
      <c r="P250" s="16"/>
      <c r="Q250" s="17"/>
    </row>
    <row r="251" customFormat="false" ht="15" hidden="false" customHeight="false" outlineLevel="0" collapsed="false">
      <c r="A251" s="15" t="str">
        <f aca="false">IF(B251="","",ROW()-1)</f>
        <v/>
      </c>
      <c r="B251" s="16"/>
      <c r="C251" s="16"/>
      <c r="D251" s="16"/>
      <c r="E251" s="16"/>
      <c r="F251" s="17"/>
      <c r="G251" s="16"/>
      <c r="H251" s="16"/>
      <c r="I251" s="16"/>
      <c r="J251" s="16"/>
      <c r="K251" s="16"/>
      <c r="L251" s="16"/>
      <c r="M251" s="18" t="str">
        <f aca="false">IF(OR(C251="",D251=""),"",IF(MOD(COUNTIFS($C$2:C251,C251,$D$2:D251,D251)*7,10)&lt;3,"teste","treino"))</f>
        <v/>
      </c>
      <c r="N251" s="16"/>
      <c r="O251" s="16"/>
      <c r="P251" s="16"/>
      <c r="Q251" s="17"/>
    </row>
    <row r="252" customFormat="false" ht="15" hidden="false" customHeight="false" outlineLevel="0" collapsed="false">
      <c r="A252" s="15" t="str">
        <f aca="false">IF(B252="","",ROW()-1)</f>
        <v/>
      </c>
      <c r="B252" s="16"/>
      <c r="C252" s="16"/>
      <c r="D252" s="16"/>
      <c r="E252" s="16"/>
      <c r="F252" s="17"/>
      <c r="G252" s="16"/>
      <c r="H252" s="16"/>
      <c r="I252" s="16"/>
      <c r="J252" s="16"/>
      <c r="K252" s="16"/>
      <c r="L252" s="16"/>
      <c r="M252" s="18" t="str">
        <f aca="false">IF(OR(C252="",D252=""),"",IF(MOD(COUNTIFS($C$2:C252,C252,$D$2:D252,D252)*7,10)&lt;3,"teste","treino"))</f>
        <v/>
      </c>
      <c r="N252" s="16"/>
      <c r="O252" s="16"/>
      <c r="P252" s="16"/>
      <c r="Q252" s="17"/>
    </row>
    <row r="253" customFormat="false" ht="15" hidden="false" customHeight="false" outlineLevel="0" collapsed="false">
      <c r="A253" s="15" t="str">
        <f aca="false">IF(B253="","",ROW()-1)</f>
        <v/>
      </c>
      <c r="B253" s="16"/>
      <c r="C253" s="16"/>
      <c r="D253" s="16"/>
      <c r="E253" s="16"/>
      <c r="F253" s="17"/>
      <c r="G253" s="16"/>
      <c r="H253" s="16"/>
      <c r="I253" s="16"/>
      <c r="J253" s="16"/>
      <c r="K253" s="16"/>
      <c r="L253" s="16"/>
      <c r="M253" s="18" t="str">
        <f aca="false">IF(OR(C253="",D253=""),"",IF(MOD(COUNTIFS($C$2:C253,C253,$D$2:D253,D253)*7,10)&lt;3,"teste","treino"))</f>
        <v/>
      </c>
      <c r="N253" s="16"/>
      <c r="O253" s="16"/>
      <c r="P253" s="16"/>
      <c r="Q253" s="17"/>
    </row>
    <row r="254" customFormat="false" ht="15" hidden="false" customHeight="false" outlineLevel="0" collapsed="false">
      <c r="A254" s="15" t="str">
        <f aca="false">IF(B254="","",ROW()-1)</f>
        <v/>
      </c>
      <c r="B254" s="16"/>
      <c r="C254" s="16"/>
      <c r="D254" s="16"/>
      <c r="E254" s="16"/>
      <c r="F254" s="17"/>
      <c r="G254" s="16"/>
      <c r="H254" s="16"/>
      <c r="I254" s="16"/>
      <c r="J254" s="16"/>
      <c r="K254" s="16"/>
      <c r="L254" s="16"/>
      <c r="M254" s="18" t="str">
        <f aca="false">IF(OR(C254="",D254=""),"",IF(MOD(COUNTIFS($C$2:C254,C254,$D$2:D254,D254)*7,10)&lt;3,"teste","treino"))</f>
        <v/>
      </c>
      <c r="N254" s="16"/>
      <c r="O254" s="16"/>
      <c r="P254" s="16"/>
      <c r="Q254" s="17"/>
    </row>
    <row r="255" customFormat="false" ht="15" hidden="false" customHeight="false" outlineLevel="0" collapsed="false">
      <c r="A255" s="15" t="str">
        <f aca="false">IF(B255="","",ROW()-1)</f>
        <v/>
      </c>
      <c r="B255" s="16"/>
      <c r="C255" s="16"/>
      <c r="D255" s="16"/>
      <c r="E255" s="16"/>
      <c r="F255" s="17"/>
      <c r="G255" s="16"/>
      <c r="H255" s="16"/>
      <c r="I255" s="16"/>
      <c r="J255" s="16"/>
      <c r="K255" s="16"/>
      <c r="L255" s="16"/>
      <c r="M255" s="18" t="str">
        <f aca="false">IF(OR(C255="",D255=""),"",IF(MOD(COUNTIFS($C$2:C255,C255,$D$2:D255,D255)*7,10)&lt;3,"teste","treino"))</f>
        <v/>
      </c>
      <c r="N255" s="16"/>
      <c r="O255" s="16"/>
      <c r="P255" s="16"/>
      <c r="Q255" s="17"/>
    </row>
    <row r="256" customFormat="false" ht="15" hidden="false" customHeight="false" outlineLevel="0" collapsed="false">
      <c r="A256" s="15" t="str">
        <f aca="false">IF(B256="","",ROW()-1)</f>
        <v/>
      </c>
      <c r="B256" s="16"/>
      <c r="C256" s="16"/>
      <c r="D256" s="16"/>
      <c r="E256" s="16"/>
      <c r="F256" s="17"/>
      <c r="G256" s="16"/>
      <c r="H256" s="16"/>
      <c r="I256" s="16"/>
      <c r="J256" s="16"/>
      <c r="K256" s="16"/>
      <c r="L256" s="16"/>
      <c r="M256" s="18" t="str">
        <f aca="false">IF(OR(C256="",D256=""),"",IF(MOD(COUNTIFS($C$2:C256,C256,$D$2:D256,D256)*7,10)&lt;3,"teste","treino"))</f>
        <v/>
      </c>
      <c r="N256" s="16"/>
      <c r="O256" s="16"/>
      <c r="P256" s="16"/>
      <c r="Q256" s="17"/>
    </row>
    <row r="257" customFormat="false" ht="15" hidden="false" customHeight="false" outlineLevel="0" collapsed="false">
      <c r="A257" s="15" t="str">
        <f aca="false">IF(B257="","",ROW()-1)</f>
        <v/>
      </c>
      <c r="B257" s="16"/>
      <c r="C257" s="16"/>
      <c r="D257" s="16"/>
      <c r="E257" s="16"/>
      <c r="F257" s="17"/>
      <c r="G257" s="16"/>
      <c r="H257" s="16"/>
      <c r="I257" s="16"/>
      <c r="J257" s="16"/>
      <c r="K257" s="16"/>
      <c r="L257" s="16"/>
      <c r="M257" s="18" t="str">
        <f aca="false">IF(OR(C257="",D257=""),"",IF(MOD(COUNTIFS($C$2:C257,C257,$D$2:D257,D257)*7,10)&lt;3,"teste","treino"))</f>
        <v/>
      </c>
      <c r="N257" s="16"/>
      <c r="O257" s="16"/>
      <c r="P257" s="16"/>
      <c r="Q257" s="17"/>
    </row>
    <row r="258" customFormat="false" ht="15" hidden="false" customHeight="false" outlineLevel="0" collapsed="false">
      <c r="A258" s="15" t="str">
        <f aca="false">IF(B258="","",ROW()-1)</f>
        <v/>
      </c>
      <c r="B258" s="16"/>
      <c r="C258" s="16"/>
      <c r="D258" s="16"/>
      <c r="E258" s="16"/>
      <c r="F258" s="17"/>
      <c r="G258" s="16"/>
      <c r="H258" s="16"/>
      <c r="I258" s="16"/>
      <c r="J258" s="16"/>
      <c r="K258" s="16"/>
      <c r="L258" s="16"/>
      <c r="M258" s="18" t="str">
        <f aca="false">IF(OR(C258="",D258=""),"",IF(MOD(COUNTIFS($C$2:C258,C258,$D$2:D258,D258)*7,10)&lt;3,"teste","treino"))</f>
        <v/>
      </c>
      <c r="N258" s="16"/>
      <c r="O258" s="16"/>
      <c r="P258" s="16"/>
      <c r="Q258" s="17"/>
    </row>
    <row r="259" customFormat="false" ht="15" hidden="false" customHeight="false" outlineLevel="0" collapsed="false">
      <c r="A259" s="15" t="str">
        <f aca="false">IF(B259="","",ROW()-1)</f>
        <v/>
      </c>
      <c r="B259" s="16"/>
      <c r="C259" s="16"/>
      <c r="D259" s="16"/>
      <c r="E259" s="16"/>
      <c r="F259" s="17"/>
      <c r="G259" s="16"/>
      <c r="H259" s="16"/>
      <c r="I259" s="16"/>
      <c r="J259" s="16"/>
      <c r="K259" s="16"/>
      <c r="L259" s="16"/>
      <c r="M259" s="18" t="str">
        <f aca="false">IF(OR(C259="",D259=""),"",IF(MOD(COUNTIFS($C$2:C259,C259,$D$2:D259,D259)*7,10)&lt;3,"teste","treino"))</f>
        <v/>
      </c>
      <c r="N259" s="16"/>
      <c r="O259" s="16"/>
      <c r="P259" s="16"/>
      <c r="Q259" s="17"/>
    </row>
    <row r="260" customFormat="false" ht="15" hidden="false" customHeight="false" outlineLevel="0" collapsed="false">
      <c r="A260" s="15" t="str">
        <f aca="false">IF(B260="","",ROW()-1)</f>
        <v/>
      </c>
      <c r="B260" s="16"/>
      <c r="C260" s="16"/>
      <c r="D260" s="16"/>
      <c r="E260" s="16"/>
      <c r="F260" s="17"/>
      <c r="G260" s="16"/>
      <c r="H260" s="16"/>
      <c r="I260" s="16"/>
      <c r="J260" s="16"/>
      <c r="K260" s="16"/>
      <c r="L260" s="16"/>
      <c r="M260" s="18" t="str">
        <f aca="false">IF(OR(C260="",D260=""),"",IF(MOD(COUNTIFS($C$2:C260,C260,$D$2:D260,D260)*7,10)&lt;3,"teste","treino"))</f>
        <v/>
      </c>
      <c r="N260" s="16"/>
      <c r="O260" s="16"/>
      <c r="P260" s="16"/>
      <c r="Q260" s="17"/>
    </row>
    <row r="261" customFormat="false" ht="15" hidden="false" customHeight="false" outlineLevel="0" collapsed="false">
      <c r="A261" s="15" t="str">
        <f aca="false">IF(B261="","",ROW()-1)</f>
        <v/>
      </c>
      <c r="B261" s="16"/>
      <c r="C261" s="16"/>
      <c r="D261" s="16"/>
      <c r="E261" s="16"/>
      <c r="F261" s="17"/>
      <c r="G261" s="16"/>
      <c r="H261" s="16"/>
      <c r="I261" s="16"/>
      <c r="J261" s="16"/>
      <c r="K261" s="16"/>
      <c r="L261" s="16"/>
      <c r="M261" s="18" t="str">
        <f aca="false">IF(OR(C261="",D261=""),"",IF(MOD(COUNTIFS($C$2:C261,C261,$D$2:D261,D261)*7,10)&lt;3,"teste","treino"))</f>
        <v/>
      </c>
      <c r="N261" s="16"/>
      <c r="O261" s="16"/>
      <c r="P261" s="16"/>
      <c r="Q261" s="17"/>
    </row>
    <row r="262" customFormat="false" ht="15" hidden="false" customHeight="false" outlineLevel="0" collapsed="false">
      <c r="A262" s="15" t="str">
        <f aca="false">IF(B262="","",ROW()-1)</f>
        <v/>
      </c>
      <c r="B262" s="16"/>
      <c r="C262" s="16"/>
      <c r="D262" s="16"/>
      <c r="E262" s="16"/>
      <c r="F262" s="17"/>
      <c r="G262" s="16"/>
      <c r="H262" s="16"/>
      <c r="I262" s="16"/>
      <c r="J262" s="16"/>
      <c r="K262" s="16"/>
      <c r="L262" s="16"/>
      <c r="M262" s="18" t="str">
        <f aca="false">IF(OR(C262="",D262=""),"",IF(MOD(COUNTIFS($C$2:C262,C262,$D$2:D262,D262)*7,10)&lt;3,"teste","treino"))</f>
        <v/>
      </c>
      <c r="N262" s="16"/>
      <c r="O262" s="16"/>
      <c r="P262" s="16"/>
      <c r="Q262" s="17"/>
    </row>
    <row r="263" customFormat="false" ht="15" hidden="false" customHeight="false" outlineLevel="0" collapsed="false">
      <c r="A263" s="15" t="str">
        <f aca="false">IF(B263="","",ROW()-1)</f>
        <v/>
      </c>
      <c r="B263" s="16"/>
      <c r="C263" s="16"/>
      <c r="D263" s="16"/>
      <c r="E263" s="16"/>
      <c r="F263" s="17"/>
      <c r="G263" s="16"/>
      <c r="H263" s="16"/>
      <c r="I263" s="16"/>
      <c r="J263" s="16"/>
      <c r="K263" s="16"/>
      <c r="L263" s="16"/>
      <c r="M263" s="18" t="str">
        <f aca="false">IF(OR(C263="",D263=""),"",IF(MOD(COUNTIFS($C$2:C263,C263,$D$2:D263,D263)*7,10)&lt;3,"teste","treino"))</f>
        <v/>
      </c>
      <c r="N263" s="16"/>
      <c r="O263" s="16"/>
      <c r="P263" s="16"/>
      <c r="Q263" s="17"/>
    </row>
    <row r="264" customFormat="false" ht="15" hidden="false" customHeight="false" outlineLevel="0" collapsed="false">
      <c r="A264" s="15" t="str">
        <f aca="false">IF(B264="","",ROW()-1)</f>
        <v/>
      </c>
      <c r="B264" s="16"/>
      <c r="C264" s="16"/>
      <c r="D264" s="16"/>
      <c r="E264" s="16"/>
      <c r="F264" s="17"/>
      <c r="G264" s="16"/>
      <c r="H264" s="16"/>
      <c r="I264" s="16"/>
      <c r="J264" s="16"/>
      <c r="K264" s="16"/>
      <c r="L264" s="16"/>
      <c r="M264" s="18" t="str">
        <f aca="false">IF(OR(C264="",D264=""),"",IF(MOD(COUNTIFS($C$2:C264,C264,$D$2:D264,D264)*7,10)&lt;3,"teste","treino"))</f>
        <v/>
      </c>
      <c r="N264" s="16"/>
      <c r="O264" s="16"/>
      <c r="P264" s="16"/>
      <c r="Q264" s="17"/>
    </row>
    <row r="265" customFormat="false" ht="15" hidden="false" customHeight="false" outlineLevel="0" collapsed="false">
      <c r="A265" s="15" t="str">
        <f aca="false">IF(B265="","",ROW()-1)</f>
        <v/>
      </c>
      <c r="B265" s="16"/>
      <c r="C265" s="16"/>
      <c r="D265" s="16"/>
      <c r="E265" s="16"/>
      <c r="F265" s="17"/>
      <c r="G265" s="16"/>
      <c r="H265" s="16"/>
      <c r="I265" s="16"/>
      <c r="J265" s="16"/>
      <c r="K265" s="16"/>
      <c r="L265" s="16"/>
      <c r="M265" s="18" t="str">
        <f aca="false">IF(OR(C265="",D265=""),"",IF(MOD(COUNTIFS($C$2:C265,C265,$D$2:D265,D265)*7,10)&lt;3,"teste","treino"))</f>
        <v/>
      </c>
      <c r="N265" s="16"/>
      <c r="O265" s="16"/>
      <c r="P265" s="16"/>
      <c r="Q265" s="17"/>
    </row>
    <row r="266" customFormat="false" ht="15" hidden="false" customHeight="false" outlineLevel="0" collapsed="false">
      <c r="A266" s="15" t="str">
        <f aca="false">IF(B266="","",ROW()-1)</f>
        <v/>
      </c>
      <c r="B266" s="16"/>
      <c r="C266" s="16"/>
      <c r="D266" s="16"/>
      <c r="E266" s="16"/>
      <c r="F266" s="17"/>
      <c r="G266" s="16"/>
      <c r="H266" s="16"/>
      <c r="I266" s="16"/>
      <c r="J266" s="16"/>
      <c r="K266" s="16"/>
      <c r="L266" s="16"/>
      <c r="M266" s="18" t="str">
        <f aca="false">IF(OR(C266="",D266=""),"",IF(MOD(COUNTIFS($C$2:C266,C266,$D$2:D266,D266)*7,10)&lt;3,"teste","treino"))</f>
        <v/>
      </c>
      <c r="N266" s="16"/>
      <c r="O266" s="16"/>
      <c r="P266" s="16"/>
      <c r="Q266" s="17"/>
    </row>
    <row r="267" customFormat="false" ht="15" hidden="false" customHeight="false" outlineLevel="0" collapsed="false">
      <c r="A267" s="15" t="str">
        <f aca="false">IF(B267="","",ROW()-1)</f>
        <v/>
      </c>
      <c r="B267" s="16"/>
      <c r="C267" s="16"/>
      <c r="D267" s="16"/>
      <c r="E267" s="16"/>
      <c r="F267" s="17"/>
      <c r="G267" s="16"/>
      <c r="H267" s="16"/>
      <c r="I267" s="16"/>
      <c r="J267" s="16"/>
      <c r="K267" s="16"/>
      <c r="L267" s="16"/>
      <c r="M267" s="18" t="str">
        <f aca="false">IF(OR(C267="",D267=""),"",IF(MOD(COUNTIFS($C$2:C267,C267,$D$2:D267,D267)*7,10)&lt;3,"teste","treino"))</f>
        <v/>
      </c>
      <c r="N267" s="16"/>
      <c r="O267" s="16"/>
      <c r="P267" s="16"/>
      <c r="Q267" s="17"/>
    </row>
    <row r="268" customFormat="false" ht="15" hidden="false" customHeight="false" outlineLevel="0" collapsed="false">
      <c r="A268" s="15" t="str">
        <f aca="false">IF(B268="","",ROW()-1)</f>
        <v/>
      </c>
      <c r="B268" s="16"/>
      <c r="C268" s="16"/>
      <c r="D268" s="16"/>
      <c r="E268" s="16"/>
      <c r="F268" s="17"/>
      <c r="G268" s="16"/>
      <c r="H268" s="16"/>
      <c r="I268" s="16"/>
      <c r="J268" s="16"/>
      <c r="K268" s="16"/>
      <c r="L268" s="16"/>
      <c r="M268" s="18" t="str">
        <f aca="false">IF(OR(C268="",D268=""),"",IF(MOD(COUNTIFS($C$2:C268,C268,$D$2:D268,D268)*7,10)&lt;3,"teste","treino"))</f>
        <v/>
      </c>
      <c r="N268" s="16"/>
      <c r="O268" s="16"/>
      <c r="P268" s="16"/>
      <c r="Q268" s="17"/>
    </row>
    <row r="269" customFormat="false" ht="15" hidden="false" customHeight="false" outlineLevel="0" collapsed="false">
      <c r="A269" s="15" t="str">
        <f aca="false">IF(B269="","",ROW()-1)</f>
        <v/>
      </c>
      <c r="B269" s="16"/>
      <c r="C269" s="16"/>
      <c r="D269" s="16"/>
      <c r="E269" s="16"/>
      <c r="F269" s="17"/>
      <c r="G269" s="16"/>
      <c r="H269" s="16"/>
      <c r="I269" s="16"/>
      <c r="J269" s="16"/>
      <c r="K269" s="16"/>
      <c r="L269" s="16"/>
      <c r="M269" s="18" t="str">
        <f aca="false">IF(OR(C269="",D269=""),"",IF(MOD(COUNTIFS($C$2:C269,C269,$D$2:D269,D269)*7,10)&lt;3,"teste","treino"))</f>
        <v/>
      </c>
      <c r="N269" s="16"/>
      <c r="O269" s="16"/>
      <c r="P269" s="16"/>
      <c r="Q269" s="17"/>
    </row>
    <row r="270" customFormat="false" ht="15" hidden="false" customHeight="false" outlineLevel="0" collapsed="false">
      <c r="A270" s="15" t="str">
        <f aca="false">IF(B270="","",ROW()-1)</f>
        <v/>
      </c>
      <c r="B270" s="16"/>
      <c r="C270" s="16"/>
      <c r="D270" s="16"/>
      <c r="E270" s="16"/>
      <c r="F270" s="17"/>
      <c r="G270" s="16"/>
      <c r="H270" s="16"/>
      <c r="I270" s="16"/>
      <c r="J270" s="16"/>
      <c r="K270" s="16"/>
      <c r="L270" s="16"/>
      <c r="M270" s="18" t="str">
        <f aca="false">IF(OR(C270="",D270=""),"",IF(MOD(COUNTIFS($C$2:C270,C270,$D$2:D270,D270)*7,10)&lt;3,"teste","treino"))</f>
        <v/>
      </c>
      <c r="N270" s="16"/>
      <c r="O270" s="16"/>
      <c r="P270" s="16"/>
      <c r="Q270" s="17"/>
    </row>
    <row r="271" customFormat="false" ht="15" hidden="false" customHeight="false" outlineLevel="0" collapsed="false">
      <c r="A271" s="15" t="str">
        <f aca="false">IF(B271="","",ROW()-1)</f>
        <v/>
      </c>
      <c r="B271" s="16"/>
      <c r="C271" s="16"/>
      <c r="D271" s="16"/>
      <c r="E271" s="16"/>
      <c r="F271" s="17"/>
      <c r="G271" s="16"/>
      <c r="H271" s="16"/>
      <c r="I271" s="16"/>
      <c r="J271" s="16"/>
      <c r="K271" s="16"/>
      <c r="L271" s="16"/>
      <c r="M271" s="18" t="str">
        <f aca="false">IF(OR(C271="",D271=""),"",IF(MOD(COUNTIFS($C$2:C271,C271,$D$2:D271,D271)*7,10)&lt;3,"teste","treino"))</f>
        <v/>
      </c>
      <c r="N271" s="16"/>
      <c r="O271" s="16"/>
      <c r="P271" s="16"/>
      <c r="Q271" s="17"/>
    </row>
    <row r="272" customFormat="false" ht="15" hidden="false" customHeight="false" outlineLevel="0" collapsed="false">
      <c r="A272" s="15" t="str">
        <f aca="false">IF(B272="","",ROW()-1)</f>
        <v/>
      </c>
      <c r="B272" s="16"/>
      <c r="C272" s="16"/>
      <c r="D272" s="16"/>
      <c r="E272" s="16"/>
      <c r="F272" s="17"/>
      <c r="G272" s="16"/>
      <c r="H272" s="16"/>
      <c r="I272" s="16"/>
      <c r="J272" s="16"/>
      <c r="K272" s="16"/>
      <c r="L272" s="16"/>
      <c r="M272" s="18" t="str">
        <f aca="false">IF(OR(C272="",D272=""),"",IF(MOD(COUNTIFS($C$2:C272,C272,$D$2:D272,D272)*7,10)&lt;3,"teste","treino"))</f>
        <v/>
      </c>
      <c r="N272" s="16"/>
      <c r="O272" s="16"/>
      <c r="P272" s="16"/>
      <c r="Q272" s="17"/>
    </row>
    <row r="273" customFormat="false" ht="15" hidden="false" customHeight="false" outlineLevel="0" collapsed="false">
      <c r="A273" s="15" t="str">
        <f aca="false">IF(B273="","",ROW()-1)</f>
        <v/>
      </c>
      <c r="B273" s="16"/>
      <c r="C273" s="16"/>
      <c r="D273" s="16"/>
      <c r="E273" s="16"/>
      <c r="F273" s="17"/>
      <c r="G273" s="16"/>
      <c r="H273" s="16"/>
      <c r="I273" s="16"/>
      <c r="J273" s="16"/>
      <c r="K273" s="16"/>
      <c r="L273" s="16"/>
      <c r="M273" s="18" t="str">
        <f aca="false">IF(OR(C273="",D273=""),"",IF(MOD(COUNTIFS($C$2:C273,C273,$D$2:D273,D273)*7,10)&lt;3,"teste","treino"))</f>
        <v/>
      </c>
      <c r="N273" s="16"/>
      <c r="O273" s="16"/>
      <c r="P273" s="16"/>
      <c r="Q273" s="17"/>
    </row>
    <row r="274" customFormat="false" ht="15" hidden="false" customHeight="false" outlineLevel="0" collapsed="false">
      <c r="A274" s="15" t="str">
        <f aca="false">IF(B274="","",ROW()-1)</f>
        <v/>
      </c>
      <c r="B274" s="16"/>
      <c r="C274" s="16"/>
      <c r="D274" s="16"/>
      <c r="E274" s="16"/>
      <c r="F274" s="17"/>
      <c r="G274" s="16"/>
      <c r="H274" s="16"/>
      <c r="I274" s="16"/>
      <c r="J274" s="16"/>
      <c r="K274" s="16"/>
      <c r="L274" s="16"/>
      <c r="M274" s="18" t="str">
        <f aca="false">IF(OR(C274="",D274=""),"",IF(MOD(COUNTIFS($C$2:C274,C274,$D$2:D274,D274)*7,10)&lt;3,"teste","treino"))</f>
        <v/>
      </c>
      <c r="N274" s="16"/>
      <c r="O274" s="16"/>
      <c r="P274" s="16"/>
      <c r="Q274" s="17"/>
    </row>
    <row r="275" customFormat="false" ht="15" hidden="false" customHeight="false" outlineLevel="0" collapsed="false">
      <c r="A275" s="15" t="str">
        <f aca="false">IF(B275="","",ROW()-1)</f>
        <v/>
      </c>
      <c r="B275" s="16"/>
      <c r="C275" s="16"/>
      <c r="D275" s="16"/>
      <c r="E275" s="16"/>
      <c r="F275" s="17"/>
      <c r="G275" s="16"/>
      <c r="H275" s="16"/>
      <c r="I275" s="16"/>
      <c r="J275" s="16"/>
      <c r="K275" s="16"/>
      <c r="L275" s="16"/>
      <c r="M275" s="18" t="str">
        <f aca="false">IF(OR(C275="",D275=""),"",IF(MOD(COUNTIFS($C$2:C275,C275,$D$2:D275,D275)*7,10)&lt;3,"teste","treino"))</f>
        <v/>
      </c>
      <c r="N275" s="16"/>
      <c r="O275" s="16"/>
      <c r="P275" s="16"/>
      <c r="Q275" s="17"/>
    </row>
    <row r="276" customFormat="false" ht="15" hidden="false" customHeight="false" outlineLevel="0" collapsed="false">
      <c r="A276" s="15" t="str">
        <f aca="false">IF(B276="","",ROW()-1)</f>
        <v/>
      </c>
      <c r="B276" s="16"/>
      <c r="C276" s="16"/>
      <c r="D276" s="16"/>
      <c r="E276" s="16"/>
      <c r="F276" s="17"/>
      <c r="G276" s="16"/>
      <c r="H276" s="16"/>
      <c r="I276" s="16"/>
      <c r="J276" s="16"/>
      <c r="K276" s="16"/>
      <c r="L276" s="16"/>
      <c r="M276" s="18" t="str">
        <f aca="false">IF(OR(C276="",D276=""),"",IF(MOD(COUNTIFS($C$2:C276,C276,$D$2:D276,D276)*7,10)&lt;3,"teste","treino"))</f>
        <v/>
      </c>
      <c r="N276" s="16"/>
      <c r="O276" s="16"/>
      <c r="P276" s="16"/>
      <c r="Q276" s="17"/>
    </row>
    <row r="277" customFormat="false" ht="15" hidden="false" customHeight="false" outlineLevel="0" collapsed="false">
      <c r="A277" s="15" t="str">
        <f aca="false">IF(B277="","",ROW()-1)</f>
        <v/>
      </c>
      <c r="B277" s="16"/>
      <c r="C277" s="16"/>
      <c r="D277" s="16"/>
      <c r="E277" s="16"/>
      <c r="F277" s="17"/>
      <c r="G277" s="16"/>
      <c r="H277" s="16"/>
      <c r="I277" s="16"/>
      <c r="J277" s="16"/>
      <c r="K277" s="16"/>
      <c r="L277" s="16"/>
      <c r="M277" s="18" t="str">
        <f aca="false">IF(OR(C277="",D277=""),"",IF(MOD(COUNTIFS($C$2:C277,C277,$D$2:D277,D277)*7,10)&lt;3,"teste","treino"))</f>
        <v/>
      </c>
      <c r="N277" s="16"/>
      <c r="O277" s="16"/>
      <c r="P277" s="16"/>
      <c r="Q277" s="17"/>
    </row>
    <row r="278" customFormat="false" ht="15" hidden="false" customHeight="false" outlineLevel="0" collapsed="false">
      <c r="A278" s="15" t="str">
        <f aca="false">IF(B278="","",ROW()-1)</f>
        <v/>
      </c>
      <c r="B278" s="16"/>
      <c r="C278" s="16"/>
      <c r="D278" s="16"/>
      <c r="E278" s="16"/>
      <c r="F278" s="17"/>
      <c r="G278" s="16"/>
      <c r="H278" s="16"/>
      <c r="I278" s="16"/>
      <c r="J278" s="16"/>
      <c r="K278" s="16"/>
      <c r="L278" s="16"/>
      <c r="M278" s="18" t="str">
        <f aca="false">IF(OR(C278="",D278=""),"",IF(MOD(COUNTIFS($C$2:C278,C278,$D$2:D278,D278)*7,10)&lt;3,"teste","treino"))</f>
        <v/>
      </c>
      <c r="N278" s="16"/>
      <c r="O278" s="16"/>
      <c r="P278" s="16"/>
      <c r="Q278" s="17"/>
    </row>
    <row r="279" customFormat="false" ht="15" hidden="false" customHeight="false" outlineLevel="0" collapsed="false">
      <c r="A279" s="15" t="str">
        <f aca="false">IF(B279="","",ROW()-1)</f>
        <v/>
      </c>
      <c r="B279" s="16"/>
      <c r="C279" s="16"/>
      <c r="D279" s="16"/>
      <c r="E279" s="16"/>
      <c r="F279" s="17"/>
      <c r="G279" s="16"/>
      <c r="H279" s="16"/>
      <c r="I279" s="16"/>
      <c r="J279" s="16"/>
      <c r="K279" s="16"/>
      <c r="L279" s="16"/>
      <c r="M279" s="18" t="str">
        <f aca="false">IF(OR(C279="",D279=""),"",IF(MOD(COUNTIFS($C$2:C279,C279,$D$2:D279,D279)*7,10)&lt;3,"teste","treino"))</f>
        <v/>
      </c>
      <c r="N279" s="16"/>
      <c r="O279" s="16"/>
      <c r="P279" s="16"/>
      <c r="Q279" s="17"/>
    </row>
    <row r="280" customFormat="false" ht="15" hidden="false" customHeight="false" outlineLevel="0" collapsed="false">
      <c r="A280" s="15" t="str">
        <f aca="false">IF(B280="","",ROW()-1)</f>
        <v/>
      </c>
      <c r="B280" s="16"/>
      <c r="C280" s="16"/>
      <c r="D280" s="16"/>
      <c r="E280" s="16"/>
      <c r="F280" s="17"/>
      <c r="G280" s="16"/>
      <c r="H280" s="16"/>
      <c r="I280" s="16"/>
      <c r="J280" s="16"/>
      <c r="K280" s="16"/>
      <c r="L280" s="16"/>
      <c r="M280" s="18" t="str">
        <f aca="false">IF(OR(C280="",D280=""),"",IF(MOD(COUNTIFS($C$2:C280,C280,$D$2:D280,D280)*7,10)&lt;3,"teste","treino"))</f>
        <v/>
      </c>
      <c r="N280" s="16"/>
      <c r="O280" s="16"/>
      <c r="P280" s="16"/>
      <c r="Q280" s="17"/>
    </row>
    <row r="281" customFormat="false" ht="15" hidden="false" customHeight="false" outlineLevel="0" collapsed="false">
      <c r="A281" s="15" t="str">
        <f aca="false">IF(B281="","",ROW()-1)</f>
        <v/>
      </c>
      <c r="B281" s="16"/>
      <c r="C281" s="16"/>
      <c r="D281" s="16"/>
      <c r="E281" s="16"/>
      <c r="F281" s="17"/>
      <c r="G281" s="16"/>
      <c r="H281" s="16"/>
      <c r="I281" s="16"/>
      <c r="J281" s="16"/>
      <c r="K281" s="16"/>
      <c r="L281" s="16"/>
      <c r="M281" s="18" t="str">
        <f aca="false">IF(OR(C281="",D281=""),"",IF(MOD(COUNTIFS($C$2:C281,C281,$D$2:D281,D281)*7,10)&lt;3,"teste","treino"))</f>
        <v/>
      </c>
      <c r="N281" s="16"/>
      <c r="O281" s="16"/>
      <c r="P281" s="16"/>
      <c r="Q281" s="17"/>
    </row>
    <row r="282" customFormat="false" ht="15" hidden="false" customHeight="false" outlineLevel="0" collapsed="false">
      <c r="A282" s="15" t="str">
        <f aca="false">IF(B282="","",ROW()-1)</f>
        <v/>
      </c>
      <c r="B282" s="16"/>
      <c r="C282" s="16"/>
      <c r="D282" s="16"/>
      <c r="E282" s="16"/>
      <c r="F282" s="17"/>
      <c r="G282" s="16"/>
      <c r="H282" s="16"/>
      <c r="I282" s="16"/>
      <c r="J282" s="16"/>
      <c r="K282" s="16"/>
      <c r="L282" s="16"/>
      <c r="M282" s="18" t="str">
        <f aca="false">IF(OR(C282="",D282=""),"",IF(MOD(COUNTIFS($C$2:C282,C282,$D$2:D282,D282)*7,10)&lt;3,"teste","treino"))</f>
        <v/>
      </c>
      <c r="N282" s="16"/>
      <c r="O282" s="16"/>
      <c r="P282" s="16"/>
      <c r="Q282" s="17"/>
    </row>
    <row r="283" customFormat="false" ht="15" hidden="false" customHeight="false" outlineLevel="0" collapsed="false">
      <c r="A283" s="15" t="str">
        <f aca="false">IF(B283="","",ROW()-1)</f>
        <v/>
      </c>
      <c r="B283" s="16"/>
      <c r="C283" s="16"/>
      <c r="D283" s="16"/>
      <c r="E283" s="16"/>
      <c r="F283" s="17"/>
      <c r="G283" s="16"/>
      <c r="H283" s="16"/>
      <c r="I283" s="16"/>
      <c r="J283" s="16"/>
      <c r="K283" s="16"/>
      <c r="L283" s="16"/>
      <c r="M283" s="18" t="str">
        <f aca="false">IF(OR(C283="",D283=""),"",IF(MOD(COUNTIFS($C$2:C283,C283,$D$2:D283,D283)*7,10)&lt;3,"teste","treino"))</f>
        <v/>
      </c>
      <c r="N283" s="16"/>
      <c r="O283" s="16"/>
      <c r="P283" s="16"/>
      <c r="Q283" s="17"/>
    </row>
    <row r="284" customFormat="false" ht="15" hidden="false" customHeight="false" outlineLevel="0" collapsed="false">
      <c r="A284" s="15" t="str">
        <f aca="false">IF(B284="","",ROW()-1)</f>
        <v/>
      </c>
      <c r="B284" s="16"/>
      <c r="C284" s="16"/>
      <c r="D284" s="16"/>
      <c r="E284" s="16"/>
      <c r="F284" s="17"/>
      <c r="G284" s="16"/>
      <c r="H284" s="16"/>
      <c r="I284" s="16"/>
      <c r="J284" s="16"/>
      <c r="K284" s="16"/>
      <c r="L284" s="16"/>
      <c r="M284" s="18" t="str">
        <f aca="false">IF(OR(C284="",D284=""),"",IF(MOD(COUNTIFS($C$2:C284,C284,$D$2:D284,D284)*7,10)&lt;3,"teste","treino"))</f>
        <v/>
      </c>
      <c r="N284" s="16"/>
      <c r="O284" s="16"/>
      <c r="P284" s="16"/>
      <c r="Q284" s="17"/>
    </row>
    <row r="285" customFormat="false" ht="15" hidden="false" customHeight="false" outlineLevel="0" collapsed="false">
      <c r="A285" s="15" t="str">
        <f aca="false">IF(B285="","",ROW()-1)</f>
        <v/>
      </c>
      <c r="B285" s="16"/>
      <c r="C285" s="16"/>
      <c r="D285" s="16"/>
      <c r="E285" s="16"/>
      <c r="F285" s="17"/>
      <c r="G285" s="16"/>
      <c r="H285" s="16"/>
      <c r="I285" s="16"/>
      <c r="J285" s="16"/>
      <c r="K285" s="16"/>
      <c r="L285" s="16"/>
      <c r="M285" s="18" t="str">
        <f aca="false">IF(OR(C285="",D285=""),"",IF(MOD(COUNTIFS($C$2:C285,C285,$D$2:D285,D285)*7,10)&lt;3,"teste","treino"))</f>
        <v/>
      </c>
      <c r="N285" s="16"/>
      <c r="O285" s="16"/>
      <c r="P285" s="16"/>
      <c r="Q285" s="17"/>
    </row>
    <row r="286" customFormat="false" ht="15" hidden="false" customHeight="false" outlineLevel="0" collapsed="false">
      <c r="A286" s="15" t="str">
        <f aca="false">IF(B286="","",ROW()-1)</f>
        <v/>
      </c>
      <c r="B286" s="16"/>
      <c r="C286" s="16"/>
      <c r="D286" s="16"/>
      <c r="E286" s="16"/>
      <c r="F286" s="17"/>
      <c r="G286" s="16"/>
      <c r="H286" s="16"/>
      <c r="I286" s="16"/>
      <c r="J286" s="16"/>
      <c r="K286" s="16"/>
      <c r="L286" s="16"/>
      <c r="M286" s="18" t="str">
        <f aca="false">IF(OR(C286="",D286=""),"",IF(MOD(COUNTIFS($C$2:C286,C286,$D$2:D286,D286)*7,10)&lt;3,"teste","treino"))</f>
        <v/>
      </c>
      <c r="N286" s="16"/>
      <c r="O286" s="16"/>
      <c r="P286" s="16"/>
      <c r="Q286" s="17"/>
    </row>
    <row r="287" customFormat="false" ht="15" hidden="false" customHeight="false" outlineLevel="0" collapsed="false">
      <c r="A287" s="15" t="str">
        <f aca="false">IF(B287="","",ROW()-1)</f>
        <v/>
      </c>
      <c r="B287" s="16"/>
      <c r="C287" s="16"/>
      <c r="D287" s="16"/>
      <c r="E287" s="16"/>
      <c r="F287" s="17"/>
      <c r="G287" s="16"/>
      <c r="H287" s="16"/>
      <c r="I287" s="16"/>
      <c r="J287" s="16"/>
      <c r="K287" s="16"/>
      <c r="L287" s="16"/>
      <c r="M287" s="18" t="str">
        <f aca="false">IF(OR(C287="",D287=""),"",IF(MOD(COUNTIFS($C$2:C287,C287,$D$2:D287,D287)*7,10)&lt;3,"teste","treino"))</f>
        <v/>
      </c>
      <c r="N287" s="16"/>
      <c r="O287" s="16"/>
      <c r="P287" s="16"/>
      <c r="Q287" s="17"/>
    </row>
    <row r="288" customFormat="false" ht="15" hidden="false" customHeight="false" outlineLevel="0" collapsed="false">
      <c r="A288" s="15" t="str">
        <f aca="false">IF(B288="","",ROW()-1)</f>
        <v/>
      </c>
      <c r="B288" s="16"/>
      <c r="C288" s="16"/>
      <c r="D288" s="16"/>
      <c r="E288" s="16"/>
      <c r="F288" s="17"/>
      <c r="G288" s="16"/>
      <c r="H288" s="16"/>
      <c r="I288" s="16"/>
      <c r="J288" s="16"/>
      <c r="K288" s="16"/>
      <c r="L288" s="16"/>
      <c r="M288" s="18" t="str">
        <f aca="false">IF(OR(C288="",D288=""),"",IF(MOD(COUNTIFS($C$2:C288,C288,$D$2:D288,D288)*7,10)&lt;3,"teste","treino"))</f>
        <v/>
      </c>
      <c r="N288" s="16"/>
      <c r="O288" s="16"/>
      <c r="P288" s="16"/>
      <c r="Q288" s="17"/>
    </row>
    <row r="289" customFormat="false" ht="15" hidden="false" customHeight="false" outlineLevel="0" collapsed="false">
      <c r="A289" s="15" t="str">
        <f aca="false">IF(B289="","",ROW()-1)</f>
        <v/>
      </c>
      <c r="B289" s="16"/>
      <c r="C289" s="16"/>
      <c r="D289" s="16"/>
      <c r="E289" s="16"/>
      <c r="F289" s="17"/>
      <c r="G289" s="16"/>
      <c r="H289" s="16"/>
      <c r="I289" s="16"/>
      <c r="J289" s="16"/>
      <c r="K289" s="16"/>
      <c r="L289" s="16"/>
      <c r="M289" s="18" t="str">
        <f aca="false">IF(OR(C289="",D289=""),"",IF(MOD(COUNTIFS($C$2:C289,C289,$D$2:D289,D289)*7,10)&lt;3,"teste","treino"))</f>
        <v/>
      </c>
      <c r="N289" s="16"/>
      <c r="O289" s="16"/>
      <c r="P289" s="16"/>
      <c r="Q289" s="17"/>
    </row>
    <row r="290" customFormat="false" ht="15" hidden="false" customHeight="false" outlineLevel="0" collapsed="false">
      <c r="A290" s="15" t="str">
        <f aca="false">IF(B290="","",ROW()-1)</f>
        <v/>
      </c>
      <c r="B290" s="16"/>
      <c r="C290" s="16"/>
      <c r="D290" s="16"/>
      <c r="E290" s="16"/>
      <c r="F290" s="17"/>
      <c r="G290" s="16"/>
      <c r="H290" s="16"/>
      <c r="I290" s="16"/>
      <c r="J290" s="16"/>
      <c r="K290" s="16"/>
      <c r="L290" s="16"/>
      <c r="M290" s="18" t="str">
        <f aca="false">IF(OR(C290="",D290=""),"",IF(MOD(COUNTIFS($C$2:C290,C290,$D$2:D290,D290)*7,10)&lt;3,"teste","treino"))</f>
        <v/>
      </c>
      <c r="N290" s="16"/>
      <c r="O290" s="16"/>
      <c r="P290" s="16"/>
      <c r="Q290" s="17"/>
    </row>
    <row r="291" customFormat="false" ht="15" hidden="false" customHeight="false" outlineLevel="0" collapsed="false">
      <c r="A291" s="15" t="str">
        <f aca="false">IF(B291="","",ROW()-1)</f>
        <v/>
      </c>
      <c r="B291" s="16"/>
      <c r="C291" s="16"/>
      <c r="D291" s="16"/>
      <c r="E291" s="16"/>
      <c r="F291" s="17"/>
      <c r="G291" s="16"/>
      <c r="H291" s="16"/>
      <c r="I291" s="16"/>
      <c r="J291" s="16"/>
      <c r="K291" s="16"/>
      <c r="L291" s="16"/>
      <c r="M291" s="18" t="str">
        <f aca="false">IF(OR(C291="",D291=""),"",IF(MOD(COUNTIFS($C$2:C291,C291,$D$2:D291,D291)*7,10)&lt;3,"teste","treino"))</f>
        <v/>
      </c>
      <c r="N291" s="16"/>
      <c r="O291" s="16"/>
      <c r="P291" s="16"/>
      <c r="Q291" s="17"/>
    </row>
    <row r="292" customFormat="false" ht="15" hidden="false" customHeight="false" outlineLevel="0" collapsed="false">
      <c r="A292" s="15" t="str">
        <f aca="false">IF(B292="","",ROW()-1)</f>
        <v/>
      </c>
      <c r="B292" s="16"/>
      <c r="C292" s="16"/>
      <c r="D292" s="16"/>
      <c r="E292" s="16"/>
      <c r="F292" s="17"/>
      <c r="G292" s="16"/>
      <c r="H292" s="16"/>
      <c r="I292" s="16"/>
      <c r="J292" s="16"/>
      <c r="K292" s="16"/>
      <c r="L292" s="16"/>
      <c r="M292" s="18" t="str">
        <f aca="false">IF(OR(C292="",D292=""),"",IF(MOD(COUNTIFS($C$2:C292,C292,$D$2:D292,D292)*7,10)&lt;3,"teste","treino"))</f>
        <v/>
      </c>
      <c r="N292" s="16"/>
      <c r="O292" s="16"/>
      <c r="P292" s="16"/>
      <c r="Q292" s="17"/>
    </row>
    <row r="293" customFormat="false" ht="15" hidden="false" customHeight="false" outlineLevel="0" collapsed="false">
      <c r="A293" s="15" t="str">
        <f aca="false">IF(B293="","",ROW()-1)</f>
        <v/>
      </c>
      <c r="B293" s="16"/>
      <c r="C293" s="16"/>
      <c r="D293" s="16"/>
      <c r="E293" s="16"/>
      <c r="F293" s="17"/>
      <c r="G293" s="16"/>
      <c r="H293" s="16"/>
      <c r="I293" s="16"/>
      <c r="J293" s="16"/>
      <c r="K293" s="16"/>
      <c r="L293" s="16"/>
      <c r="M293" s="18" t="str">
        <f aca="false">IF(OR(C293="",D293=""),"",IF(MOD(COUNTIFS($C$2:C293,C293,$D$2:D293,D293)*7,10)&lt;3,"teste","treino"))</f>
        <v/>
      </c>
      <c r="N293" s="16"/>
      <c r="O293" s="16"/>
      <c r="P293" s="16"/>
      <c r="Q293" s="17"/>
    </row>
    <row r="294" customFormat="false" ht="15" hidden="false" customHeight="false" outlineLevel="0" collapsed="false">
      <c r="A294" s="15" t="str">
        <f aca="false">IF(B294="","",ROW()-1)</f>
        <v/>
      </c>
      <c r="B294" s="16"/>
      <c r="C294" s="16"/>
      <c r="D294" s="16"/>
      <c r="E294" s="16"/>
      <c r="F294" s="17"/>
      <c r="G294" s="16"/>
      <c r="H294" s="16"/>
      <c r="I294" s="16"/>
      <c r="J294" s="16"/>
      <c r="K294" s="16"/>
      <c r="L294" s="16"/>
      <c r="M294" s="18" t="str">
        <f aca="false">IF(OR(C294="",D294=""),"",IF(MOD(COUNTIFS($C$2:C294,C294,$D$2:D294,D294)*7,10)&lt;3,"teste","treino"))</f>
        <v/>
      </c>
      <c r="N294" s="16"/>
      <c r="O294" s="16"/>
      <c r="P294" s="16"/>
      <c r="Q294" s="17"/>
    </row>
    <row r="295" customFormat="false" ht="15" hidden="false" customHeight="false" outlineLevel="0" collapsed="false">
      <c r="A295" s="15" t="str">
        <f aca="false">IF(B295="","",ROW()-1)</f>
        <v/>
      </c>
      <c r="B295" s="16"/>
      <c r="C295" s="16"/>
      <c r="D295" s="16"/>
      <c r="E295" s="16"/>
      <c r="F295" s="17"/>
      <c r="G295" s="16"/>
      <c r="H295" s="16"/>
      <c r="I295" s="16"/>
      <c r="J295" s="16"/>
      <c r="K295" s="16"/>
      <c r="L295" s="16"/>
      <c r="M295" s="18" t="str">
        <f aca="false">IF(OR(C295="",D295=""),"",IF(MOD(COUNTIFS($C$2:C295,C295,$D$2:D295,D295)*7,10)&lt;3,"teste","treino"))</f>
        <v/>
      </c>
      <c r="N295" s="16"/>
      <c r="O295" s="16"/>
      <c r="P295" s="16"/>
      <c r="Q295" s="17"/>
    </row>
    <row r="296" customFormat="false" ht="15" hidden="false" customHeight="false" outlineLevel="0" collapsed="false">
      <c r="A296" s="15" t="str">
        <f aca="false">IF(B296="","",ROW()-1)</f>
        <v/>
      </c>
      <c r="B296" s="16"/>
      <c r="C296" s="16"/>
      <c r="D296" s="16"/>
      <c r="E296" s="16"/>
      <c r="F296" s="17"/>
      <c r="G296" s="16"/>
      <c r="H296" s="16"/>
      <c r="I296" s="16"/>
      <c r="J296" s="16"/>
      <c r="K296" s="16"/>
      <c r="L296" s="16"/>
      <c r="M296" s="18" t="str">
        <f aca="false">IF(OR(C296="",D296=""),"",IF(MOD(COUNTIFS($C$2:C296,C296,$D$2:D296,D296)*7,10)&lt;3,"teste","treino"))</f>
        <v/>
      </c>
      <c r="N296" s="16"/>
      <c r="O296" s="16"/>
      <c r="P296" s="16"/>
      <c r="Q296" s="17"/>
    </row>
    <row r="297" customFormat="false" ht="15" hidden="false" customHeight="false" outlineLevel="0" collapsed="false">
      <c r="A297" s="15" t="str">
        <f aca="false">IF(B297="","",ROW()-1)</f>
        <v/>
      </c>
      <c r="B297" s="16"/>
      <c r="C297" s="16"/>
      <c r="D297" s="16"/>
      <c r="E297" s="16"/>
      <c r="F297" s="17"/>
      <c r="G297" s="16"/>
      <c r="H297" s="16"/>
      <c r="I297" s="16"/>
      <c r="J297" s="16"/>
      <c r="K297" s="16"/>
      <c r="L297" s="16"/>
      <c r="M297" s="18" t="str">
        <f aca="false">IF(OR(C297="",D297=""),"",IF(MOD(COUNTIFS($C$2:C297,C297,$D$2:D297,D297)*7,10)&lt;3,"teste","treino"))</f>
        <v/>
      </c>
      <c r="N297" s="16"/>
      <c r="O297" s="16"/>
      <c r="P297" s="16"/>
      <c r="Q297" s="17"/>
    </row>
    <row r="298" customFormat="false" ht="15" hidden="false" customHeight="false" outlineLevel="0" collapsed="false">
      <c r="A298" s="15" t="str">
        <f aca="false">IF(B298="","",ROW()-1)</f>
        <v/>
      </c>
      <c r="B298" s="16"/>
      <c r="C298" s="16"/>
      <c r="D298" s="16"/>
      <c r="E298" s="16"/>
      <c r="F298" s="17"/>
      <c r="G298" s="16"/>
      <c r="H298" s="16"/>
      <c r="I298" s="16"/>
      <c r="J298" s="16"/>
      <c r="K298" s="16"/>
      <c r="L298" s="16"/>
      <c r="M298" s="18" t="str">
        <f aca="false">IF(OR(C298="",D298=""),"",IF(MOD(COUNTIFS($C$2:C298,C298,$D$2:D298,D298)*7,10)&lt;3,"teste","treino"))</f>
        <v/>
      </c>
      <c r="N298" s="16"/>
      <c r="O298" s="16"/>
      <c r="P298" s="16"/>
      <c r="Q298" s="17"/>
    </row>
    <row r="299" customFormat="false" ht="15" hidden="false" customHeight="false" outlineLevel="0" collapsed="false">
      <c r="A299" s="15" t="str">
        <f aca="false">IF(B299="","",ROW()-1)</f>
        <v/>
      </c>
      <c r="B299" s="16"/>
      <c r="C299" s="16"/>
      <c r="D299" s="16"/>
      <c r="E299" s="16"/>
      <c r="F299" s="17"/>
      <c r="G299" s="16"/>
      <c r="H299" s="16"/>
      <c r="I299" s="16"/>
      <c r="J299" s="16"/>
      <c r="K299" s="16"/>
      <c r="L299" s="16"/>
      <c r="M299" s="18" t="str">
        <f aca="false">IF(OR(C299="",D299=""),"",IF(MOD(COUNTIFS($C$2:C299,C299,$D$2:D299,D299)*7,10)&lt;3,"teste","treino"))</f>
        <v/>
      </c>
      <c r="N299" s="16"/>
      <c r="O299" s="16"/>
      <c r="P299" s="16"/>
      <c r="Q299" s="17"/>
    </row>
    <row r="300" customFormat="false" ht="15" hidden="false" customHeight="false" outlineLevel="0" collapsed="false">
      <c r="A300" s="15" t="str">
        <f aca="false">IF(B300="","",ROW()-1)</f>
        <v/>
      </c>
      <c r="B300" s="16"/>
      <c r="C300" s="16"/>
      <c r="D300" s="16"/>
      <c r="E300" s="16"/>
      <c r="F300" s="17"/>
      <c r="G300" s="16"/>
      <c r="H300" s="16"/>
      <c r="I300" s="16"/>
      <c r="J300" s="16"/>
      <c r="K300" s="16"/>
      <c r="L300" s="16"/>
      <c r="M300" s="18" t="str">
        <f aca="false">IF(OR(C300="",D300=""),"",IF(MOD(COUNTIFS($C$2:C300,C300,$D$2:D300,D300)*7,10)&lt;3,"teste","treino"))</f>
        <v/>
      </c>
      <c r="N300" s="16"/>
      <c r="O300" s="16"/>
      <c r="P300" s="16"/>
      <c r="Q300" s="17"/>
    </row>
    <row r="301" customFormat="false" ht="15" hidden="false" customHeight="false" outlineLevel="0" collapsed="false">
      <c r="A301" s="15" t="str">
        <f aca="false">IF(B301="","",ROW()-1)</f>
        <v/>
      </c>
      <c r="B301" s="16"/>
      <c r="C301" s="16"/>
      <c r="D301" s="16"/>
      <c r="E301" s="16"/>
      <c r="F301" s="17"/>
      <c r="G301" s="16"/>
      <c r="H301" s="16"/>
      <c r="I301" s="16"/>
      <c r="J301" s="16"/>
      <c r="K301" s="16"/>
      <c r="L301" s="16"/>
      <c r="M301" s="18" t="str">
        <f aca="false">IF(OR(C301="",D301=""),"",IF(MOD(COUNTIFS($C$2:C301,C301,$D$2:D301,D301)*7,10)&lt;3,"teste","treino"))</f>
        <v/>
      </c>
      <c r="N301" s="16"/>
      <c r="O301" s="16"/>
      <c r="P301" s="16"/>
      <c r="Q301" s="17"/>
    </row>
    <row r="302" customFormat="false" ht="15" hidden="false" customHeight="false" outlineLevel="0" collapsed="false">
      <c r="A302" s="15" t="str">
        <f aca="false">IF(B302="","",ROW()-1)</f>
        <v/>
      </c>
      <c r="B302" s="16"/>
      <c r="C302" s="16"/>
      <c r="D302" s="16"/>
      <c r="E302" s="16"/>
      <c r="F302" s="17"/>
      <c r="G302" s="16"/>
      <c r="H302" s="16"/>
      <c r="I302" s="16"/>
      <c r="J302" s="16"/>
      <c r="K302" s="16"/>
      <c r="L302" s="16"/>
      <c r="M302" s="18" t="str">
        <f aca="false">IF(OR(C302="",D302=""),"",IF(MOD(COUNTIFS($C$2:C302,C302,$D$2:D302,D302)*7,10)&lt;3,"teste","treino"))</f>
        <v/>
      </c>
      <c r="N302" s="16"/>
      <c r="O302" s="16"/>
      <c r="P302" s="16"/>
      <c r="Q302" s="17"/>
    </row>
    <row r="303" customFormat="false" ht="15" hidden="false" customHeight="false" outlineLevel="0" collapsed="false">
      <c r="A303" s="15" t="str">
        <f aca="false">IF(B303="","",ROW()-1)</f>
        <v/>
      </c>
      <c r="B303" s="16"/>
      <c r="C303" s="16"/>
      <c r="D303" s="16"/>
      <c r="E303" s="16"/>
      <c r="F303" s="17"/>
      <c r="G303" s="16"/>
      <c r="H303" s="16"/>
      <c r="I303" s="16"/>
      <c r="J303" s="16"/>
      <c r="K303" s="16"/>
      <c r="L303" s="16"/>
      <c r="M303" s="18" t="str">
        <f aca="false">IF(OR(C303="",D303=""),"",IF(MOD(COUNTIFS($C$2:C303,C303,$D$2:D303,D303)*7,10)&lt;3,"teste","treino"))</f>
        <v/>
      </c>
      <c r="N303" s="16"/>
      <c r="O303" s="16"/>
      <c r="P303" s="16"/>
      <c r="Q303" s="17"/>
    </row>
    <row r="304" customFormat="false" ht="15" hidden="false" customHeight="false" outlineLevel="0" collapsed="false">
      <c r="A304" s="15" t="str">
        <f aca="false">IF(B304="","",ROW()-1)</f>
        <v/>
      </c>
      <c r="B304" s="16"/>
      <c r="C304" s="16"/>
      <c r="D304" s="16"/>
      <c r="E304" s="16"/>
      <c r="F304" s="17"/>
      <c r="G304" s="16"/>
      <c r="H304" s="16"/>
      <c r="I304" s="16"/>
      <c r="J304" s="16"/>
      <c r="K304" s="16"/>
      <c r="L304" s="16"/>
      <c r="M304" s="18" t="str">
        <f aca="false">IF(OR(C304="",D304=""),"",IF(MOD(COUNTIFS($C$2:C304,C304,$D$2:D304,D304)*7,10)&lt;3,"teste","treino"))</f>
        <v/>
      </c>
      <c r="N304" s="16"/>
      <c r="O304" s="16"/>
      <c r="P304" s="16"/>
      <c r="Q304" s="17"/>
    </row>
    <row r="305" customFormat="false" ht="15" hidden="false" customHeight="false" outlineLevel="0" collapsed="false">
      <c r="A305" s="15" t="str">
        <f aca="false">IF(B305="","",ROW()-1)</f>
        <v/>
      </c>
      <c r="B305" s="16"/>
      <c r="C305" s="16"/>
      <c r="D305" s="16"/>
      <c r="E305" s="16"/>
      <c r="F305" s="17"/>
      <c r="G305" s="16"/>
      <c r="H305" s="16"/>
      <c r="I305" s="16"/>
      <c r="J305" s="16"/>
      <c r="K305" s="16"/>
      <c r="L305" s="16"/>
      <c r="M305" s="18" t="str">
        <f aca="false">IF(OR(C305="",D305=""),"",IF(MOD(COUNTIFS($C$2:C305,C305,$D$2:D305,D305)*7,10)&lt;3,"teste","treino"))</f>
        <v/>
      </c>
      <c r="N305" s="16"/>
      <c r="O305" s="16"/>
      <c r="P305" s="16"/>
      <c r="Q305" s="17"/>
    </row>
    <row r="306" customFormat="false" ht="15" hidden="false" customHeight="false" outlineLevel="0" collapsed="false">
      <c r="A306" s="15" t="str">
        <f aca="false">IF(B306="","",ROW()-1)</f>
        <v/>
      </c>
      <c r="B306" s="16"/>
      <c r="C306" s="16"/>
      <c r="D306" s="16"/>
      <c r="E306" s="16"/>
      <c r="F306" s="17"/>
      <c r="G306" s="16"/>
      <c r="H306" s="16"/>
      <c r="I306" s="16"/>
      <c r="J306" s="16"/>
      <c r="K306" s="16"/>
      <c r="L306" s="16"/>
      <c r="M306" s="18" t="str">
        <f aca="false">IF(OR(C306="",D306=""),"",IF(MOD(COUNTIFS($C$2:C306,C306,$D$2:D306,D306)*7,10)&lt;3,"teste","treino"))</f>
        <v/>
      </c>
      <c r="N306" s="16"/>
      <c r="O306" s="16"/>
      <c r="P306" s="16"/>
      <c r="Q306" s="17"/>
    </row>
    <row r="307" customFormat="false" ht="15" hidden="false" customHeight="false" outlineLevel="0" collapsed="false">
      <c r="A307" s="15" t="str">
        <f aca="false">IF(B307="","",ROW()-1)</f>
        <v/>
      </c>
      <c r="B307" s="16"/>
      <c r="C307" s="16"/>
      <c r="D307" s="16"/>
      <c r="E307" s="16"/>
      <c r="F307" s="17"/>
      <c r="G307" s="16"/>
      <c r="H307" s="16"/>
      <c r="I307" s="16"/>
      <c r="J307" s="16"/>
      <c r="K307" s="16"/>
      <c r="L307" s="16"/>
      <c r="M307" s="18" t="str">
        <f aca="false">IF(OR(C307="",D307=""),"",IF(MOD(COUNTIFS($C$2:C307,C307,$D$2:D307,D307)*7,10)&lt;3,"teste","treino"))</f>
        <v/>
      </c>
      <c r="N307" s="16"/>
      <c r="O307" s="16"/>
      <c r="P307" s="16"/>
      <c r="Q307" s="17"/>
    </row>
    <row r="308" customFormat="false" ht="15" hidden="false" customHeight="false" outlineLevel="0" collapsed="false">
      <c r="A308" s="15" t="str">
        <f aca="false">IF(B308="","",ROW()-1)</f>
        <v/>
      </c>
      <c r="B308" s="16"/>
      <c r="C308" s="16"/>
      <c r="D308" s="16"/>
      <c r="E308" s="16"/>
      <c r="F308" s="17"/>
      <c r="G308" s="16"/>
      <c r="H308" s="16"/>
      <c r="I308" s="16"/>
      <c r="J308" s="16"/>
      <c r="K308" s="16"/>
      <c r="L308" s="16"/>
      <c r="M308" s="18" t="str">
        <f aca="false">IF(OR(C308="",D308=""),"",IF(MOD(COUNTIFS($C$2:C308,C308,$D$2:D308,D308)*7,10)&lt;3,"teste","treino"))</f>
        <v/>
      </c>
      <c r="N308" s="16"/>
      <c r="O308" s="16"/>
      <c r="P308" s="16"/>
      <c r="Q308" s="17"/>
    </row>
    <row r="309" customFormat="false" ht="15" hidden="false" customHeight="false" outlineLevel="0" collapsed="false">
      <c r="A309" s="15" t="str">
        <f aca="false">IF(B309="","",ROW()-1)</f>
        <v/>
      </c>
      <c r="B309" s="16"/>
      <c r="C309" s="16"/>
      <c r="D309" s="16"/>
      <c r="E309" s="16"/>
      <c r="F309" s="17"/>
      <c r="G309" s="16"/>
      <c r="H309" s="16"/>
      <c r="I309" s="16"/>
      <c r="J309" s="16"/>
      <c r="K309" s="16"/>
      <c r="L309" s="16"/>
      <c r="M309" s="18" t="str">
        <f aca="false">IF(OR(C309="",D309=""),"",IF(MOD(COUNTIFS($C$2:C309,C309,$D$2:D309,D309)*7,10)&lt;3,"teste","treino"))</f>
        <v/>
      </c>
      <c r="N309" s="16"/>
      <c r="O309" s="16"/>
      <c r="P309" s="16"/>
      <c r="Q309" s="17"/>
    </row>
    <row r="310" customFormat="false" ht="15" hidden="false" customHeight="false" outlineLevel="0" collapsed="false">
      <c r="A310" s="15" t="str">
        <f aca="false">IF(B310="","",ROW()-1)</f>
        <v/>
      </c>
      <c r="B310" s="16"/>
      <c r="C310" s="16"/>
      <c r="D310" s="16"/>
      <c r="E310" s="16"/>
      <c r="F310" s="17"/>
      <c r="G310" s="16"/>
      <c r="H310" s="16"/>
      <c r="I310" s="16"/>
      <c r="J310" s="16"/>
      <c r="K310" s="16"/>
      <c r="L310" s="16"/>
      <c r="M310" s="18" t="str">
        <f aca="false">IF(OR(C310="",D310=""),"",IF(MOD(COUNTIFS($C$2:C310,C310,$D$2:D310,D310)*7,10)&lt;3,"teste","treino"))</f>
        <v/>
      </c>
      <c r="N310" s="16"/>
      <c r="O310" s="16"/>
      <c r="P310" s="16"/>
      <c r="Q310" s="17"/>
    </row>
    <row r="311" customFormat="false" ht="15" hidden="false" customHeight="false" outlineLevel="0" collapsed="false">
      <c r="A311" s="15" t="str">
        <f aca="false">IF(B311="","",ROW()-1)</f>
        <v/>
      </c>
      <c r="B311" s="16"/>
      <c r="C311" s="16"/>
      <c r="D311" s="16"/>
      <c r="E311" s="16"/>
      <c r="F311" s="17"/>
      <c r="G311" s="16"/>
      <c r="H311" s="16"/>
      <c r="I311" s="16"/>
      <c r="J311" s="16"/>
      <c r="K311" s="16"/>
      <c r="L311" s="16"/>
      <c r="M311" s="18" t="str">
        <f aca="false">IF(OR(C311="",D311=""),"",IF(MOD(COUNTIFS($C$2:C311,C311,$D$2:D311,D311)*7,10)&lt;3,"teste","treino"))</f>
        <v/>
      </c>
      <c r="N311" s="16"/>
      <c r="O311" s="16"/>
      <c r="P311" s="16"/>
      <c r="Q311" s="17"/>
    </row>
    <row r="312" customFormat="false" ht="15" hidden="false" customHeight="false" outlineLevel="0" collapsed="false">
      <c r="A312" s="15" t="str">
        <f aca="false">IF(B312="","",ROW()-1)</f>
        <v/>
      </c>
      <c r="B312" s="16"/>
      <c r="C312" s="16"/>
      <c r="D312" s="16"/>
      <c r="E312" s="16"/>
      <c r="F312" s="17"/>
      <c r="G312" s="16"/>
      <c r="H312" s="16"/>
      <c r="I312" s="16"/>
      <c r="J312" s="16"/>
      <c r="K312" s="16"/>
      <c r="L312" s="16"/>
      <c r="M312" s="18" t="str">
        <f aca="false">IF(OR(C312="",D312=""),"",IF(MOD(COUNTIFS($C$2:C312,C312,$D$2:D312,D312)*7,10)&lt;3,"teste","treino"))</f>
        <v/>
      </c>
      <c r="N312" s="16"/>
      <c r="O312" s="16"/>
      <c r="P312" s="16"/>
      <c r="Q312" s="17"/>
    </row>
    <row r="313" customFormat="false" ht="15" hidden="false" customHeight="false" outlineLevel="0" collapsed="false">
      <c r="A313" s="15" t="str">
        <f aca="false">IF(B313="","",ROW()-1)</f>
        <v/>
      </c>
      <c r="B313" s="16"/>
      <c r="C313" s="16"/>
      <c r="D313" s="16"/>
      <c r="E313" s="16"/>
      <c r="F313" s="17"/>
      <c r="G313" s="16"/>
      <c r="H313" s="16"/>
      <c r="I313" s="16"/>
      <c r="J313" s="16"/>
      <c r="K313" s="16"/>
      <c r="L313" s="16"/>
      <c r="M313" s="18" t="str">
        <f aca="false">IF(OR(C313="",D313=""),"",IF(MOD(COUNTIFS($C$2:C313,C313,$D$2:D313,D313)*7,10)&lt;3,"teste","treino"))</f>
        <v/>
      </c>
      <c r="N313" s="16"/>
      <c r="O313" s="16"/>
      <c r="P313" s="16"/>
      <c r="Q313" s="17"/>
    </row>
    <row r="314" customFormat="false" ht="15" hidden="false" customHeight="false" outlineLevel="0" collapsed="false">
      <c r="A314" s="15" t="str">
        <f aca="false">IF(B314="","",ROW()-1)</f>
        <v/>
      </c>
      <c r="B314" s="16"/>
      <c r="C314" s="16"/>
      <c r="D314" s="16"/>
      <c r="E314" s="16"/>
      <c r="F314" s="17"/>
      <c r="G314" s="16"/>
      <c r="H314" s="16"/>
      <c r="I314" s="16"/>
      <c r="J314" s="16"/>
      <c r="K314" s="16"/>
      <c r="L314" s="16"/>
      <c r="M314" s="18" t="str">
        <f aca="false">IF(OR(C314="",D314=""),"",IF(MOD(COUNTIFS($C$2:C314,C314,$D$2:D314,D314)*7,10)&lt;3,"teste","treino"))</f>
        <v/>
      </c>
      <c r="N314" s="16"/>
      <c r="O314" s="16"/>
      <c r="P314" s="16"/>
      <c r="Q314" s="17"/>
    </row>
    <row r="315" customFormat="false" ht="15" hidden="false" customHeight="false" outlineLevel="0" collapsed="false">
      <c r="A315" s="15" t="str">
        <f aca="false">IF(B315="","",ROW()-1)</f>
        <v/>
      </c>
      <c r="B315" s="16"/>
      <c r="C315" s="16"/>
      <c r="D315" s="16"/>
      <c r="E315" s="16"/>
      <c r="F315" s="17"/>
      <c r="G315" s="16"/>
      <c r="H315" s="16"/>
      <c r="I315" s="16"/>
      <c r="J315" s="16"/>
      <c r="K315" s="16"/>
      <c r="L315" s="16"/>
      <c r="M315" s="18" t="str">
        <f aca="false">IF(OR(C315="",D315=""),"",IF(MOD(COUNTIFS($C$2:C315,C315,$D$2:D315,D315)*7,10)&lt;3,"teste","treino"))</f>
        <v/>
      </c>
      <c r="N315" s="16"/>
      <c r="O315" s="16"/>
      <c r="P315" s="16"/>
      <c r="Q315" s="17"/>
    </row>
    <row r="316" customFormat="false" ht="15" hidden="false" customHeight="false" outlineLevel="0" collapsed="false">
      <c r="A316" s="15" t="str">
        <f aca="false">IF(B316="","",ROW()-1)</f>
        <v/>
      </c>
      <c r="B316" s="16"/>
      <c r="C316" s="16"/>
      <c r="D316" s="16"/>
      <c r="E316" s="16"/>
      <c r="F316" s="17"/>
      <c r="G316" s="16"/>
      <c r="H316" s="16"/>
      <c r="I316" s="16"/>
      <c r="J316" s="16"/>
      <c r="K316" s="16"/>
      <c r="L316" s="16"/>
      <c r="M316" s="18" t="str">
        <f aca="false">IF(OR(C316="",D316=""),"",IF(MOD(COUNTIFS($C$2:C316,C316,$D$2:D316,D316)*7,10)&lt;3,"teste","treino"))</f>
        <v/>
      </c>
      <c r="N316" s="16"/>
      <c r="O316" s="16"/>
      <c r="P316" s="16"/>
      <c r="Q316" s="17"/>
    </row>
    <row r="317" customFormat="false" ht="15" hidden="false" customHeight="false" outlineLevel="0" collapsed="false">
      <c r="A317" s="15" t="str">
        <f aca="false">IF(B317="","",ROW()-1)</f>
        <v/>
      </c>
      <c r="B317" s="16"/>
      <c r="C317" s="16"/>
      <c r="D317" s="16"/>
      <c r="E317" s="16"/>
      <c r="F317" s="17"/>
      <c r="G317" s="16"/>
      <c r="H317" s="16"/>
      <c r="I317" s="16"/>
      <c r="J317" s="16"/>
      <c r="K317" s="16"/>
      <c r="L317" s="16"/>
      <c r="M317" s="18" t="str">
        <f aca="false">IF(OR(C317="",D317=""),"",IF(MOD(COUNTIFS($C$2:C317,C317,$D$2:D317,D317)*7,10)&lt;3,"teste","treino"))</f>
        <v/>
      </c>
      <c r="N317" s="16"/>
      <c r="O317" s="16"/>
      <c r="P317" s="16"/>
      <c r="Q317" s="17"/>
    </row>
    <row r="318" customFormat="false" ht="15" hidden="false" customHeight="false" outlineLevel="0" collapsed="false">
      <c r="A318" s="15" t="str">
        <f aca="false">IF(B318="","",ROW()-1)</f>
        <v/>
      </c>
      <c r="B318" s="16"/>
      <c r="C318" s="16"/>
      <c r="D318" s="16"/>
      <c r="E318" s="16"/>
      <c r="F318" s="17"/>
      <c r="G318" s="16"/>
      <c r="H318" s="16"/>
      <c r="I318" s="16"/>
      <c r="J318" s="16"/>
      <c r="K318" s="16"/>
      <c r="L318" s="16"/>
      <c r="M318" s="18" t="str">
        <f aca="false">IF(OR(C318="",D318=""),"",IF(MOD(COUNTIFS($C$2:C318,C318,$D$2:D318,D318)*7,10)&lt;3,"teste","treino"))</f>
        <v/>
      </c>
      <c r="N318" s="16"/>
      <c r="O318" s="16"/>
      <c r="P318" s="16"/>
      <c r="Q318" s="17"/>
    </row>
    <row r="319" customFormat="false" ht="15" hidden="false" customHeight="false" outlineLevel="0" collapsed="false">
      <c r="A319" s="15" t="str">
        <f aca="false">IF(B319="","",ROW()-1)</f>
        <v/>
      </c>
      <c r="B319" s="16"/>
      <c r="C319" s="16"/>
      <c r="D319" s="16"/>
      <c r="E319" s="16"/>
      <c r="F319" s="17"/>
      <c r="G319" s="16"/>
      <c r="H319" s="16"/>
      <c r="I319" s="16"/>
      <c r="J319" s="16"/>
      <c r="K319" s="16"/>
      <c r="L319" s="16"/>
      <c r="M319" s="18" t="str">
        <f aca="false">IF(OR(C319="",D319=""),"",IF(MOD(COUNTIFS($C$2:C319,C319,$D$2:D319,D319)*7,10)&lt;3,"teste","treino"))</f>
        <v/>
      </c>
      <c r="N319" s="16"/>
      <c r="O319" s="16"/>
      <c r="P319" s="16"/>
      <c r="Q319" s="17"/>
    </row>
    <row r="320" customFormat="false" ht="15" hidden="false" customHeight="false" outlineLevel="0" collapsed="false">
      <c r="A320" s="15" t="str">
        <f aca="false">IF(B320="","",ROW()-1)</f>
        <v/>
      </c>
      <c r="B320" s="16"/>
      <c r="C320" s="16"/>
      <c r="D320" s="16"/>
      <c r="E320" s="16"/>
      <c r="F320" s="17"/>
      <c r="G320" s="16"/>
      <c r="H320" s="16"/>
      <c r="I320" s="16"/>
      <c r="J320" s="16"/>
      <c r="K320" s="16"/>
      <c r="L320" s="16"/>
      <c r="M320" s="18" t="str">
        <f aca="false">IF(OR(C320="",D320=""),"",IF(MOD(COUNTIFS($C$2:C320,C320,$D$2:D320,D320)*7,10)&lt;3,"teste","treino"))</f>
        <v/>
      </c>
      <c r="N320" s="16"/>
      <c r="O320" s="16"/>
      <c r="P320" s="16"/>
      <c r="Q320" s="17"/>
    </row>
    <row r="321" customFormat="false" ht="15" hidden="false" customHeight="false" outlineLevel="0" collapsed="false">
      <c r="A321" s="15" t="str">
        <f aca="false">IF(B321="","",ROW()-1)</f>
        <v/>
      </c>
      <c r="B321" s="16"/>
      <c r="C321" s="16"/>
      <c r="D321" s="16"/>
      <c r="E321" s="16"/>
      <c r="F321" s="17"/>
      <c r="G321" s="16"/>
      <c r="H321" s="16"/>
      <c r="I321" s="16"/>
      <c r="J321" s="16"/>
      <c r="K321" s="16"/>
      <c r="L321" s="16"/>
      <c r="M321" s="18" t="str">
        <f aca="false">IF(OR(C321="",D321=""),"",IF(MOD(COUNTIFS($C$2:C321,C321,$D$2:D321,D321)*7,10)&lt;3,"teste","treino"))</f>
        <v/>
      </c>
      <c r="N321" s="16"/>
      <c r="O321" s="16"/>
      <c r="P321" s="16"/>
      <c r="Q321" s="17"/>
    </row>
    <row r="322" customFormat="false" ht="15" hidden="false" customHeight="false" outlineLevel="0" collapsed="false">
      <c r="A322" s="15" t="str">
        <f aca="false">IF(B322="","",ROW()-1)</f>
        <v/>
      </c>
      <c r="B322" s="16"/>
      <c r="C322" s="16"/>
      <c r="D322" s="16"/>
      <c r="E322" s="16"/>
      <c r="F322" s="17"/>
      <c r="G322" s="16"/>
      <c r="H322" s="16"/>
      <c r="I322" s="16"/>
      <c r="J322" s="16"/>
      <c r="K322" s="16"/>
      <c r="L322" s="16"/>
      <c r="M322" s="18" t="str">
        <f aca="false">IF(OR(C322="",D322=""),"",IF(MOD(COUNTIFS($C$2:C322,C322,$D$2:D322,D322)*7,10)&lt;3,"teste","treino"))</f>
        <v/>
      </c>
      <c r="N322" s="16"/>
      <c r="O322" s="16"/>
      <c r="P322" s="16"/>
      <c r="Q322" s="17"/>
    </row>
    <row r="323" customFormat="false" ht="15" hidden="false" customHeight="false" outlineLevel="0" collapsed="false">
      <c r="A323" s="15" t="str">
        <f aca="false">IF(B323="","",ROW()-1)</f>
        <v/>
      </c>
      <c r="B323" s="16"/>
      <c r="C323" s="16"/>
      <c r="D323" s="16"/>
      <c r="E323" s="16"/>
      <c r="F323" s="17"/>
      <c r="G323" s="16"/>
      <c r="H323" s="16"/>
      <c r="I323" s="16"/>
      <c r="J323" s="16"/>
      <c r="K323" s="16"/>
      <c r="L323" s="16"/>
      <c r="M323" s="18" t="str">
        <f aca="false">IF(OR(C323="",D323=""),"",IF(MOD(COUNTIFS($C$2:C323,C323,$D$2:D323,D323)*7,10)&lt;3,"teste","treino"))</f>
        <v/>
      </c>
      <c r="N323" s="16"/>
      <c r="O323" s="16"/>
      <c r="P323" s="16"/>
      <c r="Q323" s="17"/>
    </row>
    <row r="324" customFormat="false" ht="15" hidden="false" customHeight="false" outlineLevel="0" collapsed="false">
      <c r="A324" s="15" t="str">
        <f aca="false">IF(B324="","",ROW()-1)</f>
        <v/>
      </c>
      <c r="B324" s="16"/>
      <c r="C324" s="16"/>
      <c r="D324" s="16"/>
      <c r="E324" s="16"/>
      <c r="F324" s="17"/>
      <c r="G324" s="16"/>
      <c r="H324" s="16"/>
      <c r="I324" s="16"/>
      <c r="J324" s="16"/>
      <c r="K324" s="16"/>
      <c r="L324" s="16"/>
      <c r="M324" s="18" t="str">
        <f aca="false">IF(OR(C324="",D324=""),"",IF(MOD(COUNTIFS($C$2:C324,C324,$D$2:D324,D324)*7,10)&lt;3,"teste","treino"))</f>
        <v/>
      </c>
      <c r="N324" s="16"/>
      <c r="O324" s="16"/>
      <c r="P324" s="16"/>
      <c r="Q324" s="17"/>
    </row>
    <row r="325" customFormat="false" ht="15" hidden="false" customHeight="false" outlineLevel="0" collapsed="false">
      <c r="A325" s="15" t="str">
        <f aca="false">IF(B325="","",ROW()-1)</f>
        <v/>
      </c>
      <c r="B325" s="16"/>
      <c r="C325" s="16"/>
      <c r="D325" s="16"/>
      <c r="E325" s="16"/>
      <c r="F325" s="17"/>
      <c r="G325" s="16"/>
      <c r="H325" s="16"/>
      <c r="I325" s="16"/>
      <c r="J325" s="16"/>
      <c r="K325" s="16"/>
      <c r="L325" s="16"/>
      <c r="M325" s="18" t="str">
        <f aca="false">IF(OR(C325="",D325=""),"",IF(MOD(COUNTIFS($C$2:C325,C325,$D$2:D325,D325)*7,10)&lt;3,"teste","treino"))</f>
        <v/>
      </c>
      <c r="N325" s="16"/>
      <c r="O325" s="16"/>
      <c r="P325" s="16"/>
      <c r="Q325" s="17"/>
    </row>
    <row r="326" customFormat="false" ht="15" hidden="false" customHeight="false" outlineLevel="0" collapsed="false">
      <c r="A326" s="15" t="str">
        <f aca="false">IF(B326="","",ROW()-1)</f>
        <v/>
      </c>
      <c r="B326" s="16"/>
      <c r="C326" s="16"/>
      <c r="D326" s="16"/>
      <c r="E326" s="16"/>
      <c r="F326" s="17"/>
      <c r="G326" s="16"/>
      <c r="H326" s="16"/>
      <c r="I326" s="16"/>
      <c r="J326" s="16"/>
      <c r="K326" s="16"/>
      <c r="L326" s="16"/>
      <c r="M326" s="18" t="str">
        <f aca="false">IF(OR(C326="",D326=""),"",IF(MOD(COUNTIFS($C$2:C326,C326,$D$2:D326,D326)*7,10)&lt;3,"teste","treino"))</f>
        <v/>
      </c>
      <c r="N326" s="16"/>
      <c r="O326" s="16"/>
      <c r="P326" s="16"/>
      <c r="Q326" s="17"/>
    </row>
    <row r="327" customFormat="false" ht="15" hidden="false" customHeight="false" outlineLevel="0" collapsed="false">
      <c r="A327" s="15" t="str">
        <f aca="false">IF(B327="","",ROW()-1)</f>
        <v/>
      </c>
      <c r="B327" s="16"/>
      <c r="C327" s="16"/>
      <c r="D327" s="16"/>
      <c r="E327" s="16"/>
      <c r="F327" s="17"/>
      <c r="G327" s="16"/>
      <c r="H327" s="16"/>
      <c r="I327" s="16"/>
      <c r="J327" s="16"/>
      <c r="K327" s="16"/>
      <c r="L327" s="16"/>
      <c r="M327" s="18" t="str">
        <f aca="false">IF(OR(C327="",D327=""),"",IF(MOD(COUNTIFS($C$2:C327,C327,$D$2:D327,D327)*7,10)&lt;3,"teste","treino"))</f>
        <v/>
      </c>
      <c r="N327" s="16"/>
      <c r="O327" s="16"/>
      <c r="P327" s="16"/>
      <c r="Q327" s="17"/>
    </row>
    <row r="328" customFormat="false" ht="15" hidden="false" customHeight="false" outlineLevel="0" collapsed="false">
      <c r="A328" s="15" t="str">
        <f aca="false">IF(B328="","",ROW()-1)</f>
        <v/>
      </c>
      <c r="B328" s="16"/>
      <c r="C328" s="16"/>
      <c r="D328" s="16"/>
      <c r="E328" s="16"/>
      <c r="F328" s="17"/>
      <c r="G328" s="16"/>
      <c r="H328" s="16"/>
      <c r="I328" s="16"/>
      <c r="J328" s="16"/>
      <c r="K328" s="16"/>
      <c r="L328" s="16"/>
      <c r="M328" s="18" t="str">
        <f aca="false">IF(OR(C328="",D328=""),"",IF(MOD(COUNTIFS($C$2:C328,C328,$D$2:D328,D328)*7,10)&lt;3,"teste","treino"))</f>
        <v/>
      </c>
      <c r="N328" s="16"/>
      <c r="O328" s="16"/>
      <c r="P328" s="16"/>
      <c r="Q328" s="17"/>
    </row>
    <row r="329" customFormat="false" ht="15" hidden="false" customHeight="false" outlineLevel="0" collapsed="false">
      <c r="A329" s="15" t="str">
        <f aca="false">IF(B329="","",ROW()-1)</f>
        <v/>
      </c>
      <c r="B329" s="16"/>
      <c r="C329" s="16"/>
      <c r="D329" s="16"/>
      <c r="E329" s="16"/>
      <c r="F329" s="17"/>
      <c r="G329" s="16"/>
      <c r="H329" s="16"/>
      <c r="I329" s="16"/>
      <c r="J329" s="16"/>
      <c r="K329" s="16"/>
      <c r="L329" s="16"/>
      <c r="M329" s="18" t="str">
        <f aca="false">IF(OR(C329="",D329=""),"",IF(MOD(COUNTIFS($C$2:C329,C329,$D$2:D329,D329)*7,10)&lt;3,"teste","treino"))</f>
        <v/>
      </c>
      <c r="N329" s="16"/>
      <c r="O329" s="16"/>
      <c r="P329" s="16"/>
      <c r="Q329" s="17"/>
    </row>
    <row r="330" customFormat="false" ht="15" hidden="false" customHeight="false" outlineLevel="0" collapsed="false">
      <c r="A330" s="15" t="str">
        <f aca="false">IF(B330="","",ROW()-1)</f>
        <v/>
      </c>
      <c r="B330" s="16"/>
      <c r="C330" s="16"/>
      <c r="D330" s="16"/>
      <c r="E330" s="16"/>
      <c r="F330" s="17"/>
      <c r="G330" s="16"/>
      <c r="H330" s="16"/>
      <c r="I330" s="16"/>
      <c r="J330" s="16"/>
      <c r="K330" s="16"/>
      <c r="L330" s="16"/>
      <c r="M330" s="18" t="str">
        <f aca="false">IF(OR(C330="",D330=""),"",IF(MOD(COUNTIFS($C$2:C330,C330,$D$2:D330,D330)*7,10)&lt;3,"teste","treino"))</f>
        <v/>
      </c>
      <c r="N330" s="16"/>
      <c r="O330" s="16"/>
      <c r="P330" s="16"/>
      <c r="Q330" s="17"/>
    </row>
    <row r="331" customFormat="false" ht="15" hidden="false" customHeight="false" outlineLevel="0" collapsed="false">
      <c r="A331" s="15" t="str">
        <f aca="false">IF(B331="","",ROW()-1)</f>
        <v/>
      </c>
      <c r="B331" s="16"/>
      <c r="C331" s="16"/>
      <c r="D331" s="16"/>
      <c r="E331" s="16"/>
      <c r="F331" s="17"/>
      <c r="G331" s="16"/>
      <c r="H331" s="16"/>
      <c r="I331" s="16"/>
      <c r="J331" s="16"/>
      <c r="K331" s="16"/>
      <c r="L331" s="16"/>
      <c r="M331" s="18" t="str">
        <f aca="false">IF(OR(C331="",D331=""),"",IF(MOD(COUNTIFS($C$2:C331,C331,$D$2:D331,D331)*7,10)&lt;3,"teste","treino"))</f>
        <v/>
      </c>
      <c r="N331" s="16"/>
      <c r="O331" s="16"/>
      <c r="P331" s="16"/>
      <c r="Q331" s="17"/>
    </row>
    <row r="332" customFormat="false" ht="15" hidden="false" customHeight="false" outlineLevel="0" collapsed="false">
      <c r="A332" s="15" t="str">
        <f aca="false">IF(B332="","",ROW()-1)</f>
        <v/>
      </c>
      <c r="B332" s="16"/>
      <c r="C332" s="16"/>
      <c r="D332" s="16"/>
      <c r="E332" s="16"/>
      <c r="F332" s="17"/>
      <c r="G332" s="16"/>
      <c r="H332" s="16"/>
      <c r="I332" s="16"/>
      <c r="J332" s="16"/>
      <c r="K332" s="16"/>
      <c r="L332" s="16"/>
      <c r="M332" s="18" t="str">
        <f aca="false">IF(OR(C332="",D332=""),"",IF(MOD(COUNTIFS($C$2:C332,C332,$D$2:D332,D332)*7,10)&lt;3,"teste","treino"))</f>
        <v/>
      </c>
      <c r="N332" s="16"/>
      <c r="O332" s="16"/>
      <c r="P332" s="16"/>
      <c r="Q332" s="17"/>
    </row>
    <row r="333" customFormat="false" ht="15" hidden="false" customHeight="false" outlineLevel="0" collapsed="false">
      <c r="A333" s="15" t="str">
        <f aca="false">IF(B333="","",ROW()-1)</f>
        <v/>
      </c>
      <c r="B333" s="16"/>
      <c r="C333" s="16"/>
      <c r="D333" s="16"/>
      <c r="E333" s="16"/>
      <c r="F333" s="17"/>
      <c r="G333" s="16"/>
      <c r="H333" s="16"/>
      <c r="I333" s="16"/>
      <c r="J333" s="16"/>
      <c r="K333" s="16"/>
      <c r="L333" s="16"/>
      <c r="M333" s="18" t="str">
        <f aca="false">IF(OR(C333="",D333=""),"",IF(MOD(COUNTIFS($C$2:C333,C333,$D$2:D333,D333)*7,10)&lt;3,"teste","treino"))</f>
        <v/>
      </c>
      <c r="N333" s="16"/>
      <c r="O333" s="16"/>
      <c r="P333" s="16"/>
      <c r="Q333" s="17"/>
    </row>
    <row r="334" customFormat="false" ht="15" hidden="false" customHeight="false" outlineLevel="0" collapsed="false">
      <c r="A334" s="15" t="str">
        <f aca="false">IF(B334="","",ROW()-1)</f>
        <v/>
      </c>
      <c r="B334" s="16"/>
      <c r="C334" s="16"/>
      <c r="D334" s="16"/>
      <c r="E334" s="16"/>
      <c r="F334" s="17"/>
      <c r="G334" s="16"/>
      <c r="H334" s="16"/>
      <c r="I334" s="16"/>
      <c r="J334" s="16"/>
      <c r="K334" s="16"/>
      <c r="L334" s="16"/>
      <c r="M334" s="18" t="str">
        <f aca="false">IF(OR(C334="",D334=""),"",IF(MOD(COUNTIFS($C$2:C334,C334,$D$2:D334,D334)*7,10)&lt;3,"teste","treino"))</f>
        <v/>
      </c>
      <c r="N334" s="16"/>
      <c r="O334" s="16"/>
      <c r="P334" s="16"/>
      <c r="Q334" s="17"/>
    </row>
    <row r="335" customFormat="false" ht="15" hidden="false" customHeight="false" outlineLevel="0" collapsed="false">
      <c r="A335" s="15" t="str">
        <f aca="false">IF(B335="","",ROW()-1)</f>
        <v/>
      </c>
      <c r="B335" s="16"/>
      <c r="C335" s="16"/>
      <c r="D335" s="16"/>
      <c r="E335" s="16"/>
      <c r="F335" s="17"/>
      <c r="G335" s="16"/>
      <c r="H335" s="16"/>
      <c r="I335" s="16"/>
      <c r="J335" s="16"/>
      <c r="K335" s="16"/>
      <c r="L335" s="16"/>
      <c r="M335" s="18" t="str">
        <f aca="false">IF(OR(C335="",D335=""),"",IF(MOD(COUNTIFS($C$2:C335,C335,$D$2:D335,D335)*7,10)&lt;3,"teste","treino"))</f>
        <v/>
      </c>
      <c r="N335" s="16"/>
      <c r="O335" s="16"/>
      <c r="P335" s="16"/>
      <c r="Q335" s="17"/>
    </row>
    <row r="336" customFormat="false" ht="15" hidden="false" customHeight="false" outlineLevel="0" collapsed="false">
      <c r="A336" s="15" t="str">
        <f aca="false">IF(B336="","",ROW()-1)</f>
        <v/>
      </c>
      <c r="B336" s="16"/>
      <c r="C336" s="16"/>
      <c r="D336" s="16"/>
      <c r="E336" s="16"/>
      <c r="F336" s="17"/>
      <c r="G336" s="16"/>
      <c r="H336" s="16"/>
      <c r="I336" s="16"/>
      <c r="J336" s="16"/>
      <c r="K336" s="16"/>
      <c r="L336" s="16"/>
      <c r="M336" s="18" t="str">
        <f aca="false">IF(OR(C336="",D336=""),"",IF(MOD(COUNTIFS($C$2:C336,C336,$D$2:D336,D336)*7,10)&lt;3,"teste","treino"))</f>
        <v/>
      </c>
      <c r="N336" s="16"/>
      <c r="O336" s="16"/>
      <c r="P336" s="16"/>
      <c r="Q336" s="17"/>
    </row>
    <row r="337" customFormat="false" ht="15" hidden="false" customHeight="false" outlineLevel="0" collapsed="false">
      <c r="A337" s="15" t="str">
        <f aca="false">IF(B337="","",ROW()-1)</f>
        <v/>
      </c>
      <c r="B337" s="16"/>
      <c r="C337" s="16"/>
      <c r="D337" s="16"/>
      <c r="E337" s="16"/>
      <c r="F337" s="17"/>
      <c r="G337" s="16"/>
      <c r="H337" s="16"/>
      <c r="I337" s="16"/>
      <c r="J337" s="16"/>
      <c r="K337" s="16"/>
      <c r="L337" s="16"/>
      <c r="M337" s="18" t="str">
        <f aca="false">IF(OR(C337="",D337=""),"",IF(MOD(COUNTIFS($C$2:C337,C337,$D$2:D337,D337)*7,10)&lt;3,"teste","treino"))</f>
        <v/>
      </c>
      <c r="N337" s="16"/>
      <c r="O337" s="16"/>
      <c r="P337" s="16"/>
      <c r="Q337" s="17"/>
    </row>
    <row r="338" customFormat="false" ht="15" hidden="false" customHeight="false" outlineLevel="0" collapsed="false">
      <c r="A338" s="15" t="str">
        <f aca="false">IF(B338="","",ROW()-1)</f>
        <v/>
      </c>
      <c r="B338" s="16"/>
      <c r="C338" s="16"/>
      <c r="D338" s="16"/>
      <c r="E338" s="16"/>
      <c r="F338" s="17"/>
      <c r="G338" s="16"/>
      <c r="H338" s="16"/>
      <c r="I338" s="16"/>
      <c r="J338" s="16"/>
      <c r="K338" s="16"/>
      <c r="L338" s="16"/>
      <c r="M338" s="18" t="str">
        <f aca="false">IF(OR(C338="",D338=""),"",IF(MOD(COUNTIFS($C$2:C338,C338,$D$2:D338,D338)*7,10)&lt;3,"teste","treino"))</f>
        <v/>
      </c>
      <c r="N338" s="16"/>
      <c r="O338" s="16"/>
      <c r="P338" s="16"/>
      <c r="Q338" s="17"/>
    </row>
    <row r="339" customFormat="false" ht="15" hidden="false" customHeight="false" outlineLevel="0" collapsed="false">
      <c r="A339" s="15" t="str">
        <f aca="false">IF(B339="","",ROW()-1)</f>
        <v/>
      </c>
      <c r="B339" s="16"/>
      <c r="C339" s="16"/>
      <c r="D339" s="16"/>
      <c r="E339" s="16"/>
      <c r="F339" s="17"/>
      <c r="G339" s="16"/>
      <c r="H339" s="16"/>
      <c r="I339" s="16"/>
      <c r="J339" s="16"/>
      <c r="K339" s="16"/>
      <c r="L339" s="16"/>
      <c r="M339" s="18" t="str">
        <f aca="false">IF(OR(C339="",D339=""),"",IF(MOD(COUNTIFS($C$2:C339,C339,$D$2:D339,D339)*7,10)&lt;3,"teste","treino"))</f>
        <v/>
      </c>
      <c r="N339" s="16"/>
      <c r="O339" s="16"/>
      <c r="P339" s="16"/>
      <c r="Q339" s="17"/>
    </row>
    <row r="340" customFormat="false" ht="15" hidden="false" customHeight="false" outlineLevel="0" collapsed="false">
      <c r="A340" s="15" t="str">
        <f aca="false">IF(B340="","",ROW()-1)</f>
        <v/>
      </c>
      <c r="B340" s="16"/>
      <c r="C340" s="16"/>
      <c r="D340" s="16"/>
      <c r="E340" s="16"/>
      <c r="F340" s="17"/>
      <c r="G340" s="16"/>
      <c r="H340" s="16"/>
      <c r="I340" s="16"/>
      <c r="J340" s="16"/>
      <c r="K340" s="16"/>
      <c r="L340" s="16"/>
      <c r="M340" s="18" t="str">
        <f aca="false">IF(OR(C340="",D340=""),"",IF(MOD(COUNTIFS($C$2:C340,C340,$D$2:D340,D340)*7,10)&lt;3,"teste","treino"))</f>
        <v/>
      </c>
      <c r="N340" s="16"/>
      <c r="O340" s="16"/>
      <c r="P340" s="16"/>
      <c r="Q340" s="17"/>
    </row>
    <row r="341" customFormat="false" ht="15" hidden="false" customHeight="false" outlineLevel="0" collapsed="false">
      <c r="A341" s="15" t="str">
        <f aca="false">IF(B341="","",ROW()-1)</f>
        <v/>
      </c>
      <c r="B341" s="16"/>
      <c r="C341" s="16"/>
      <c r="D341" s="16"/>
      <c r="E341" s="16"/>
      <c r="F341" s="17"/>
      <c r="G341" s="16"/>
      <c r="H341" s="16"/>
      <c r="I341" s="16"/>
      <c r="J341" s="16"/>
      <c r="K341" s="16"/>
      <c r="L341" s="16"/>
      <c r="M341" s="18" t="str">
        <f aca="false">IF(OR(C341="",D341=""),"",IF(MOD(COUNTIFS($C$2:C341,C341,$D$2:D341,D341)*7,10)&lt;3,"teste","treino"))</f>
        <v/>
      </c>
      <c r="N341" s="16"/>
      <c r="O341" s="16"/>
      <c r="P341" s="16"/>
      <c r="Q341" s="17"/>
    </row>
    <row r="342" customFormat="false" ht="15" hidden="false" customHeight="false" outlineLevel="0" collapsed="false">
      <c r="A342" s="15" t="str">
        <f aca="false">IF(B342="","",ROW()-1)</f>
        <v/>
      </c>
      <c r="B342" s="16"/>
      <c r="C342" s="16"/>
      <c r="D342" s="16"/>
      <c r="E342" s="16"/>
      <c r="F342" s="17"/>
      <c r="G342" s="16"/>
      <c r="H342" s="16"/>
      <c r="I342" s="16"/>
      <c r="J342" s="16"/>
      <c r="K342" s="16"/>
      <c r="L342" s="16"/>
      <c r="M342" s="18" t="str">
        <f aca="false">IF(OR(C342="",D342=""),"",IF(MOD(COUNTIFS($C$2:C342,C342,$D$2:D342,D342)*7,10)&lt;3,"teste","treino"))</f>
        <v/>
      </c>
      <c r="N342" s="16"/>
      <c r="O342" s="16"/>
      <c r="P342" s="16"/>
      <c r="Q342" s="17"/>
    </row>
    <row r="343" customFormat="false" ht="15" hidden="false" customHeight="false" outlineLevel="0" collapsed="false">
      <c r="A343" s="15" t="str">
        <f aca="false">IF(B343="","",ROW()-1)</f>
        <v/>
      </c>
      <c r="B343" s="16"/>
      <c r="C343" s="16"/>
      <c r="D343" s="16"/>
      <c r="E343" s="16"/>
      <c r="F343" s="17"/>
      <c r="G343" s="16"/>
      <c r="H343" s="16"/>
      <c r="I343" s="16"/>
      <c r="J343" s="16"/>
      <c r="K343" s="16"/>
      <c r="L343" s="16"/>
      <c r="M343" s="18" t="str">
        <f aca="false">IF(OR(C343="",D343=""),"",IF(MOD(COUNTIFS($C$2:C343,C343,$D$2:D343,D343)*7,10)&lt;3,"teste","treino"))</f>
        <v/>
      </c>
      <c r="N343" s="16"/>
      <c r="O343" s="16"/>
      <c r="P343" s="16"/>
      <c r="Q343" s="17"/>
    </row>
    <row r="344" customFormat="false" ht="15" hidden="false" customHeight="false" outlineLevel="0" collapsed="false">
      <c r="A344" s="15" t="str">
        <f aca="false">IF(B344="","",ROW()-1)</f>
        <v/>
      </c>
      <c r="B344" s="16"/>
      <c r="C344" s="16"/>
      <c r="D344" s="16"/>
      <c r="E344" s="16"/>
      <c r="F344" s="17"/>
      <c r="G344" s="16"/>
      <c r="H344" s="16"/>
      <c r="I344" s="16"/>
      <c r="J344" s="16"/>
      <c r="K344" s="16"/>
      <c r="L344" s="16"/>
      <c r="M344" s="18" t="str">
        <f aca="false">IF(OR(C344="",D344=""),"",IF(MOD(COUNTIFS($C$2:C344,C344,$D$2:D344,D344)*7,10)&lt;3,"teste","treino"))</f>
        <v/>
      </c>
      <c r="N344" s="16"/>
      <c r="O344" s="16"/>
      <c r="P344" s="16"/>
      <c r="Q344" s="17"/>
    </row>
    <row r="345" customFormat="false" ht="15" hidden="false" customHeight="false" outlineLevel="0" collapsed="false">
      <c r="A345" s="15" t="str">
        <f aca="false">IF(B345="","",ROW()-1)</f>
        <v/>
      </c>
      <c r="B345" s="16"/>
      <c r="C345" s="16"/>
      <c r="D345" s="16"/>
      <c r="E345" s="16"/>
      <c r="F345" s="17"/>
      <c r="G345" s="16"/>
      <c r="H345" s="16"/>
      <c r="I345" s="16"/>
      <c r="J345" s="16"/>
      <c r="K345" s="16"/>
      <c r="L345" s="16"/>
      <c r="M345" s="18" t="str">
        <f aca="false">IF(OR(C345="",D345=""),"",IF(MOD(COUNTIFS($C$2:C345,C345,$D$2:D345,D345)*7,10)&lt;3,"teste","treino"))</f>
        <v/>
      </c>
      <c r="N345" s="16"/>
      <c r="O345" s="16"/>
      <c r="P345" s="16"/>
      <c r="Q345" s="17"/>
    </row>
    <row r="346" customFormat="false" ht="15" hidden="false" customHeight="false" outlineLevel="0" collapsed="false">
      <c r="A346" s="15" t="str">
        <f aca="false">IF(B346="","",ROW()-1)</f>
        <v/>
      </c>
      <c r="B346" s="16"/>
      <c r="C346" s="16"/>
      <c r="D346" s="16"/>
      <c r="E346" s="16"/>
      <c r="F346" s="17"/>
      <c r="G346" s="16"/>
      <c r="H346" s="16"/>
      <c r="I346" s="16"/>
      <c r="J346" s="16"/>
      <c r="K346" s="16"/>
      <c r="L346" s="16"/>
      <c r="M346" s="18" t="str">
        <f aca="false">IF(OR(C346="",D346=""),"",IF(MOD(COUNTIFS($C$2:C346,C346,$D$2:D346,D346)*7,10)&lt;3,"teste","treino"))</f>
        <v/>
      </c>
      <c r="N346" s="16"/>
      <c r="O346" s="16"/>
      <c r="P346" s="16"/>
      <c r="Q346" s="17"/>
    </row>
    <row r="347" customFormat="false" ht="15" hidden="false" customHeight="false" outlineLevel="0" collapsed="false">
      <c r="A347" s="15" t="str">
        <f aca="false">IF(B347="","",ROW()-1)</f>
        <v/>
      </c>
      <c r="B347" s="16"/>
      <c r="C347" s="16"/>
      <c r="D347" s="16"/>
      <c r="E347" s="16"/>
      <c r="F347" s="17"/>
      <c r="G347" s="16"/>
      <c r="H347" s="16"/>
      <c r="I347" s="16"/>
      <c r="J347" s="16"/>
      <c r="K347" s="16"/>
      <c r="L347" s="16"/>
      <c r="M347" s="18" t="str">
        <f aca="false">IF(OR(C347="",D347=""),"",IF(MOD(COUNTIFS($C$2:C347,C347,$D$2:D347,D347)*7,10)&lt;3,"teste","treino"))</f>
        <v/>
      </c>
      <c r="N347" s="16"/>
      <c r="O347" s="16"/>
      <c r="P347" s="16"/>
      <c r="Q347" s="17"/>
    </row>
    <row r="348" customFormat="false" ht="15" hidden="false" customHeight="false" outlineLevel="0" collapsed="false">
      <c r="A348" s="15" t="str">
        <f aca="false">IF(B348="","",ROW()-1)</f>
        <v/>
      </c>
      <c r="B348" s="16"/>
      <c r="C348" s="16"/>
      <c r="D348" s="16"/>
      <c r="E348" s="16"/>
      <c r="F348" s="17"/>
      <c r="G348" s="16"/>
      <c r="H348" s="16"/>
      <c r="I348" s="16"/>
      <c r="J348" s="16"/>
      <c r="K348" s="16"/>
      <c r="L348" s="16"/>
      <c r="M348" s="18" t="str">
        <f aca="false">IF(OR(C348="",D348=""),"",IF(MOD(COUNTIFS($C$2:C348,C348,$D$2:D348,D348)*7,10)&lt;3,"teste","treino"))</f>
        <v/>
      </c>
      <c r="N348" s="16"/>
      <c r="O348" s="16"/>
      <c r="P348" s="16"/>
      <c r="Q348" s="17"/>
    </row>
    <row r="349" customFormat="false" ht="15" hidden="false" customHeight="false" outlineLevel="0" collapsed="false">
      <c r="A349" s="15" t="str">
        <f aca="false">IF(B349="","",ROW()-1)</f>
        <v/>
      </c>
      <c r="B349" s="16"/>
      <c r="C349" s="16"/>
      <c r="D349" s="16"/>
      <c r="E349" s="16"/>
      <c r="F349" s="17"/>
      <c r="G349" s="16"/>
      <c r="H349" s="16"/>
      <c r="I349" s="16"/>
      <c r="J349" s="16"/>
      <c r="K349" s="16"/>
      <c r="L349" s="16"/>
      <c r="M349" s="18" t="str">
        <f aca="false">IF(OR(C349="",D349=""),"",IF(MOD(COUNTIFS($C$2:C349,C349,$D$2:D349,D349)*7,10)&lt;3,"teste","treino"))</f>
        <v/>
      </c>
      <c r="N349" s="16"/>
      <c r="O349" s="16"/>
      <c r="P349" s="16"/>
      <c r="Q349" s="17"/>
    </row>
    <row r="350" customFormat="false" ht="15" hidden="false" customHeight="false" outlineLevel="0" collapsed="false">
      <c r="A350" s="15" t="str">
        <f aca="false">IF(B350="","",ROW()-1)</f>
        <v/>
      </c>
      <c r="B350" s="16"/>
      <c r="C350" s="16"/>
      <c r="D350" s="16"/>
      <c r="E350" s="16"/>
      <c r="F350" s="17"/>
      <c r="G350" s="16"/>
      <c r="H350" s="16"/>
      <c r="I350" s="16"/>
      <c r="J350" s="16"/>
      <c r="K350" s="16"/>
      <c r="L350" s="16"/>
      <c r="M350" s="18" t="str">
        <f aca="false">IF(OR(C350="",D350=""),"",IF(MOD(COUNTIFS($C$2:C350,C350,$D$2:D350,D350)*7,10)&lt;3,"teste","treino"))</f>
        <v/>
      </c>
      <c r="N350" s="16"/>
      <c r="O350" s="16"/>
      <c r="P350" s="16"/>
      <c r="Q350" s="17"/>
    </row>
    <row r="351" customFormat="false" ht="15" hidden="false" customHeight="false" outlineLevel="0" collapsed="false">
      <c r="A351" s="15" t="str">
        <f aca="false">IF(B351="","",ROW()-1)</f>
        <v/>
      </c>
      <c r="B351" s="16"/>
      <c r="C351" s="16"/>
      <c r="D351" s="16"/>
      <c r="E351" s="16"/>
      <c r="F351" s="17"/>
      <c r="G351" s="16"/>
      <c r="H351" s="16"/>
      <c r="I351" s="16"/>
      <c r="J351" s="16"/>
      <c r="K351" s="16"/>
      <c r="L351" s="16"/>
      <c r="M351" s="18" t="str">
        <f aca="false">IF(OR(C351="",D351=""),"",IF(MOD(COUNTIFS($C$2:C351,C351,$D$2:D351,D351)*7,10)&lt;3,"teste","treino"))</f>
        <v/>
      </c>
      <c r="N351" s="16"/>
      <c r="O351" s="16"/>
      <c r="P351" s="16"/>
      <c r="Q351" s="17"/>
    </row>
    <row r="352" customFormat="false" ht="15" hidden="false" customHeight="false" outlineLevel="0" collapsed="false">
      <c r="A352" s="15" t="str">
        <f aca="false">IF(B352="","",ROW()-1)</f>
        <v/>
      </c>
      <c r="B352" s="16"/>
      <c r="C352" s="16"/>
      <c r="D352" s="16"/>
      <c r="E352" s="16"/>
      <c r="F352" s="17"/>
      <c r="G352" s="16"/>
      <c r="H352" s="16"/>
      <c r="I352" s="16"/>
      <c r="J352" s="16"/>
      <c r="K352" s="16"/>
      <c r="L352" s="16"/>
      <c r="M352" s="18" t="str">
        <f aca="false">IF(OR(C352="",D352=""),"",IF(MOD(COUNTIFS($C$2:C352,C352,$D$2:D352,D352)*7,10)&lt;3,"teste","treino"))</f>
        <v/>
      </c>
      <c r="N352" s="16"/>
      <c r="O352" s="16"/>
      <c r="P352" s="16"/>
      <c r="Q352" s="17"/>
    </row>
    <row r="353" customFormat="false" ht="15" hidden="false" customHeight="false" outlineLevel="0" collapsed="false">
      <c r="A353" s="15" t="str">
        <f aca="false">IF(B353="","",ROW()-1)</f>
        <v/>
      </c>
      <c r="B353" s="16"/>
      <c r="C353" s="16"/>
      <c r="D353" s="16"/>
      <c r="E353" s="16"/>
      <c r="F353" s="17"/>
      <c r="G353" s="16"/>
      <c r="H353" s="16"/>
      <c r="I353" s="16"/>
      <c r="J353" s="16"/>
      <c r="K353" s="16"/>
      <c r="L353" s="16"/>
      <c r="M353" s="18" t="str">
        <f aca="false">IF(OR(C353="",D353=""),"",IF(MOD(COUNTIFS($C$2:C353,C353,$D$2:D353,D353)*7,10)&lt;3,"teste","treino"))</f>
        <v/>
      </c>
      <c r="N353" s="16"/>
      <c r="O353" s="16"/>
      <c r="P353" s="16"/>
      <c r="Q353" s="17"/>
    </row>
    <row r="354" customFormat="false" ht="15" hidden="false" customHeight="false" outlineLevel="0" collapsed="false">
      <c r="A354" s="15" t="str">
        <f aca="false">IF(B354="","",ROW()-1)</f>
        <v/>
      </c>
      <c r="B354" s="16"/>
      <c r="C354" s="16"/>
      <c r="D354" s="16"/>
      <c r="E354" s="16"/>
      <c r="F354" s="17"/>
      <c r="G354" s="16"/>
      <c r="H354" s="16"/>
      <c r="I354" s="16"/>
      <c r="J354" s="16"/>
      <c r="K354" s="16"/>
      <c r="L354" s="16"/>
      <c r="M354" s="18" t="str">
        <f aca="false">IF(OR(C354="",D354=""),"",IF(MOD(COUNTIFS($C$2:C354,C354,$D$2:D354,D354)*7,10)&lt;3,"teste","treino"))</f>
        <v/>
      </c>
      <c r="N354" s="16"/>
      <c r="O354" s="16"/>
      <c r="P354" s="16"/>
      <c r="Q354" s="17"/>
    </row>
    <row r="355" customFormat="false" ht="15" hidden="false" customHeight="false" outlineLevel="0" collapsed="false">
      <c r="A355" s="15" t="str">
        <f aca="false">IF(B355="","",ROW()-1)</f>
        <v/>
      </c>
      <c r="B355" s="16"/>
      <c r="C355" s="16"/>
      <c r="D355" s="16"/>
      <c r="E355" s="16"/>
      <c r="F355" s="17"/>
      <c r="G355" s="16"/>
      <c r="H355" s="16"/>
      <c r="I355" s="16"/>
      <c r="J355" s="16"/>
      <c r="K355" s="16"/>
      <c r="L355" s="16"/>
      <c r="M355" s="18" t="str">
        <f aca="false">IF(OR(C355="",D355=""),"",IF(MOD(COUNTIFS($C$2:C355,C355,$D$2:D355,D355)*7,10)&lt;3,"teste","treino"))</f>
        <v/>
      </c>
      <c r="N355" s="16"/>
      <c r="O355" s="16"/>
      <c r="P355" s="16"/>
      <c r="Q355" s="17"/>
    </row>
    <row r="356" customFormat="false" ht="15" hidden="false" customHeight="false" outlineLevel="0" collapsed="false">
      <c r="A356" s="15" t="str">
        <f aca="false">IF(B356="","",ROW()-1)</f>
        <v/>
      </c>
      <c r="B356" s="16"/>
      <c r="C356" s="16"/>
      <c r="D356" s="16"/>
      <c r="E356" s="16"/>
      <c r="F356" s="17"/>
      <c r="G356" s="16"/>
      <c r="H356" s="16"/>
      <c r="I356" s="16"/>
      <c r="J356" s="16"/>
      <c r="K356" s="16"/>
      <c r="L356" s="16"/>
      <c r="M356" s="18" t="str">
        <f aca="false">IF(OR(C356="",D356=""),"",IF(MOD(COUNTIFS($C$2:C356,C356,$D$2:D356,D356)*7,10)&lt;3,"teste","treino"))</f>
        <v/>
      </c>
      <c r="N356" s="16"/>
      <c r="O356" s="16"/>
      <c r="P356" s="16"/>
      <c r="Q356" s="17"/>
    </row>
    <row r="357" customFormat="false" ht="15" hidden="false" customHeight="false" outlineLevel="0" collapsed="false">
      <c r="A357" s="15" t="str">
        <f aca="false">IF(B357="","",ROW()-1)</f>
        <v/>
      </c>
      <c r="B357" s="16"/>
      <c r="C357" s="16"/>
      <c r="D357" s="16"/>
      <c r="E357" s="16"/>
      <c r="F357" s="17"/>
      <c r="G357" s="16"/>
      <c r="H357" s="16"/>
      <c r="I357" s="16"/>
      <c r="J357" s="16"/>
      <c r="K357" s="16"/>
      <c r="L357" s="16"/>
      <c r="M357" s="18" t="str">
        <f aca="false">IF(OR(C357="",D357=""),"",IF(MOD(COUNTIFS($C$2:C357,C357,$D$2:D357,D357)*7,10)&lt;3,"teste","treino"))</f>
        <v/>
      </c>
      <c r="N357" s="16"/>
      <c r="O357" s="16"/>
      <c r="P357" s="16"/>
      <c r="Q357" s="17"/>
    </row>
    <row r="358" customFormat="false" ht="15" hidden="false" customHeight="false" outlineLevel="0" collapsed="false">
      <c r="A358" s="15" t="str">
        <f aca="false">IF(B358="","",ROW()-1)</f>
        <v/>
      </c>
      <c r="B358" s="16"/>
      <c r="C358" s="16"/>
      <c r="D358" s="16"/>
      <c r="E358" s="16"/>
      <c r="F358" s="17"/>
      <c r="G358" s="16"/>
      <c r="H358" s="16"/>
      <c r="I358" s="16"/>
      <c r="J358" s="16"/>
      <c r="K358" s="16"/>
      <c r="L358" s="16"/>
      <c r="M358" s="18" t="str">
        <f aca="false">IF(OR(C358="",D358=""),"",IF(MOD(COUNTIFS($C$2:C358,C358,$D$2:D358,D358)*7,10)&lt;3,"teste","treino"))</f>
        <v/>
      </c>
      <c r="N358" s="16"/>
      <c r="O358" s="16"/>
      <c r="P358" s="16"/>
      <c r="Q358" s="17"/>
    </row>
    <row r="359" customFormat="false" ht="15" hidden="false" customHeight="false" outlineLevel="0" collapsed="false">
      <c r="A359" s="15" t="str">
        <f aca="false">IF(B359="","",ROW()-1)</f>
        <v/>
      </c>
      <c r="B359" s="16"/>
      <c r="C359" s="16"/>
      <c r="D359" s="16"/>
      <c r="E359" s="16"/>
      <c r="F359" s="17"/>
      <c r="G359" s="16"/>
      <c r="H359" s="16"/>
      <c r="I359" s="16"/>
      <c r="J359" s="16"/>
      <c r="K359" s="16"/>
      <c r="L359" s="16"/>
      <c r="M359" s="18" t="str">
        <f aca="false">IF(OR(C359="",D359=""),"",IF(MOD(COUNTIFS($C$2:C359,C359,$D$2:D359,D359)*7,10)&lt;3,"teste","treino"))</f>
        <v/>
      </c>
      <c r="N359" s="16"/>
      <c r="O359" s="16"/>
      <c r="P359" s="16"/>
      <c r="Q359" s="17"/>
    </row>
    <row r="360" customFormat="false" ht="15" hidden="false" customHeight="false" outlineLevel="0" collapsed="false">
      <c r="A360" s="15" t="str">
        <f aca="false">IF(B360="","",ROW()-1)</f>
        <v/>
      </c>
      <c r="B360" s="16"/>
      <c r="C360" s="16"/>
      <c r="D360" s="16"/>
      <c r="E360" s="16"/>
      <c r="F360" s="17"/>
      <c r="G360" s="16"/>
      <c r="H360" s="16"/>
      <c r="I360" s="16"/>
      <c r="J360" s="16"/>
      <c r="K360" s="16"/>
      <c r="L360" s="16"/>
      <c r="M360" s="18" t="str">
        <f aca="false">IF(OR(C360="",D360=""),"",IF(MOD(COUNTIFS($C$2:C360,C360,$D$2:D360,D360)*7,10)&lt;3,"teste","treino"))</f>
        <v/>
      </c>
      <c r="N360" s="16"/>
      <c r="O360" s="16"/>
      <c r="P360" s="16"/>
      <c r="Q360" s="17"/>
    </row>
    <row r="361" customFormat="false" ht="15" hidden="false" customHeight="false" outlineLevel="0" collapsed="false">
      <c r="A361" s="15" t="str">
        <f aca="false">IF(B361="","",ROW()-1)</f>
        <v/>
      </c>
      <c r="B361" s="16"/>
      <c r="C361" s="16"/>
      <c r="D361" s="16"/>
      <c r="E361" s="16"/>
      <c r="F361" s="17"/>
      <c r="G361" s="16"/>
      <c r="H361" s="16"/>
      <c r="I361" s="16"/>
      <c r="J361" s="16"/>
      <c r="K361" s="16"/>
      <c r="L361" s="16"/>
      <c r="M361" s="18" t="str">
        <f aca="false">IF(OR(C361="",D361=""),"",IF(MOD(COUNTIFS($C$2:C361,C361,$D$2:D361,D361)*7,10)&lt;3,"teste","treino"))</f>
        <v/>
      </c>
      <c r="N361" s="16"/>
      <c r="O361" s="16"/>
      <c r="P361" s="16"/>
      <c r="Q361" s="17"/>
    </row>
    <row r="362" customFormat="false" ht="15" hidden="false" customHeight="false" outlineLevel="0" collapsed="false">
      <c r="A362" s="15" t="str">
        <f aca="false">IF(B362="","",ROW()-1)</f>
        <v/>
      </c>
      <c r="B362" s="16"/>
      <c r="C362" s="16"/>
      <c r="D362" s="16"/>
      <c r="E362" s="16"/>
      <c r="F362" s="17"/>
      <c r="G362" s="16"/>
      <c r="H362" s="16"/>
      <c r="I362" s="16"/>
      <c r="J362" s="16"/>
      <c r="K362" s="16"/>
      <c r="L362" s="16"/>
      <c r="M362" s="18" t="str">
        <f aca="false">IF(OR(C362="",D362=""),"",IF(MOD(COUNTIFS($C$2:C362,C362,$D$2:D362,D362)*7,10)&lt;3,"teste","treino"))</f>
        <v/>
      </c>
      <c r="N362" s="16"/>
      <c r="O362" s="16"/>
      <c r="P362" s="16"/>
      <c r="Q362" s="17"/>
    </row>
    <row r="363" customFormat="false" ht="15" hidden="false" customHeight="false" outlineLevel="0" collapsed="false">
      <c r="A363" s="15" t="str">
        <f aca="false">IF(B363="","",ROW()-1)</f>
        <v/>
      </c>
      <c r="B363" s="16"/>
      <c r="C363" s="16"/>
      <c r="D363" s="16"/>
      <c r="E363" s="16"/>
      <c r="F363" s="17"/>
      <c r="G363" s="16"/>
      <c r="H363" s="16"/>
      <c r="I363" s="16"/>
      <c r="J363" s="16"/>
      <c r="K363" s="16"/>
      <c r="L363" s="16"/>
      <c r="M363" s="18" t="str">
        <f aca="false">IF(OR(C363="",D363=""),"",IF(MOD(COUNTIFS($C$2:C363,C363,$D$2:D363,D363)*7,10)&lt;3,"teste","treino"))</f>
        <v/>
      </c>
      <c r="N363" s="16"/>
      <c r="O363" s="16"/>
      <c r="P363" s="16"/>
      <c r="Q363" s="17"/>
    </row>
    <row r="364" customFormat="false" ht="15" hidden="false" customHeight="false" outlineLevel="0" collapsed="false">
      <c r="A364" s="15" t="str">
        <f aca="false">IF(B364="","",ROW()-1)</f>
        <v/>
      </c>
      <c r="B364" s="16"/>
      <c r="C364" s="16"/>
      <c r="D364" s="16"/>
      <c r="E364" s="16"/>
      <c r="F364" s="17"/>
      <c r="G364" s="16"/>
      <c r="H364" s="16"/>
      <c r="I364" s="16"/>
      <c r="J364" s="16"/>
      <c r="K364" s="16"/>
      <c r="L364" s="16"/>
      <c r="M364" s="18" t="str">
        <f aca="false">IF(OR(C364="",D364=""),"",IF(MOD(COUNTIFS($C$2:C364,C364,$D$2:D364,D364)*7,10)&lt;3,"teste","treino"))</f>
        <v/>
      </c>
      <c r="N364" s="16"/>
      <c r="O364" s="16"/>
      <c r="P364" s="16"/>
      <c r="Q364" s="17"/>
    </row>
    <row r="365" customFormat="false" ht="15" hidden="false" customHeight="false" outlineLevel="0" collapsed="false">
      <c r="A365" s="15" t="str">
        <f aca="false">IF(B365="","",ROW()-1)</f>
        <v/>
      </c>
      <c r="B365" s="16"/>
      <c r="C365" s="16"/>
      <c r="D365" s="16"/>
      <c r="E365" s="16"/>
      <c r="F365" s="17"/>
      <c r="G365" s="16"/>
      <c r="H365" s="16"/>
      <c r="I365" s="16"/>
      <c r="J365" s="16"/>
      <c r="K365" s="16"/>
      <c r="L365" s="16"/>
      <c r="M365" s="18" t="str">
        <f aca="false">IF(OR(C365="",D365=""),"",IF(MOD(COUNTIFS($C$2:C365,C365,$D$2:D365,D365)*7,10)&lt;3,"teste","treino"))</f>
        <v/>
      </c>
      <c r="N365" s="16"/>
      <c r="O365" s="16"/>
      <c r="P365" s="16"/>
      <c r="Q365" s="17"/>
    </row>
    <row r="366" customFormat="false" ht="15" hidden="false" customHeight="false" outlineLevel="0" collapsed="false">
      <c r="A366" s="15" t="str">
        <f aca="false">IF(B366="","",ROW()-1)</f>
        <v/>
      </c>
      <c r="B366" s="16"/>
      <c r="C366" s="16"/>
      <c r="D366" s="16"/>
      <c r="E366" s="16"/>
      <c r="F366" s="17"/>
      <c r="G366" s="16"/>
      <c r="H366" s="16"/>
      <c r="I366" s="16"/>
      <c r="J366" s="16"/>
      <c r="K366" s="16"/>
      <c r="L366" s="16"/>
      <c r="M366" s="18" t="str">
        <f aca="false">IF(OR(C366="",D366=""),"",IF(MOD(COUNTIFS($C$2:C366,C366,$D$2:D366,D366)*7,10)&lt;3,"teste","treino"))</f>
        <v/>
      </c>
      <c r="N366" s="16"/>
      <c r="O366" s="16"/>
      <c r="P366" s="16"/>
      <c r="Q366" s="17"/>
    </row>
    <row r="367" customFormat="false" ht="15" hidden="false" customHeight="false" outlineLevel="0" collapsed="false">
      <c r="A367" s="15" t="str">
        <f aca="false">IF(B367="","",ROW()-1)</f>
        <v/>
      </c>
      <c r="B367" s="16"/>
      <c r="C367" s="16"/>
      <c r="D367" s="16"/>
      <c r="E367" s="16"/>
      <c r="F367" s="17"/>
      <c r="G367" s="16"/>
      <c r="H367" s="16"/>
      <c r="I367" s="16"/>
      <c r="J367" s="16"/>
      <c r="K367" s="16"/>
      <c r="L367" s="16"/>
      <c r="M367" s="18" t="str">
        <f aca="false">IF(OR(C367="",D367=""),"",IF(MOD(COUNTIFS($C$2:C367,C367,$D$2:D367,D367)*7,10)&lt;3,"teste","treino"))</f>
        <v/>
      </c>
      <c r="N367" s="16"/>
      <c r="O367" s="16"/>
      <c r="P367" s="16"/>
      <c r="Q367" s="17"/>
    </row>
    <row r="368" customFormat="false" ht="15" hidden="false" customHeight="false" outlineLevel="0" collapsed="false">
      <c r="A368" s="15" t="str">
        <f aca="false">IF(B368="","",ROW()-1)</f>
        <v/>
      </c>
      <c r="B368" s="16"/>
      <c r="C368" s="16"/>
      <c r="D368" s="16"/>
      <c r="E368" s="16"/>
      <c r="F368" s="17"/>
      <c r="G368" s="16"/>
      <c r="H368" s="16"/>
      <c r="I368" s="16"/>
      <c r="J368" s="16"/>
      <c r="K368" s="16"/>
      <c r="L368" s="16"/>
      <c r="M368" s="18" t="str">
        <f aca="false">IF(OR(C368="",D368=""),"",IF(MOD(COUNTIFS($C$2:C368,C368,$D$2:D368,D368)*7,10)&lt;3,"teste","treino"))</f>
        <v/>
      </c>
      <c r="N368" s="16"/>
      <c r="O368" s="16"/>
      <c r="P368" s="16"/>
      <c r="Q368" s="17"/>
    </row>
    <row r="369" customFormat="false" ht="15" hidden="false" customHeight="false" outlineLevel="0" collapsed="false">
      <c r="A369" s="15" t="str">
        <f aca="false">IF(B369="","",ROW()-1)</f>
        <v/>
      </c>
      <c r="B369" s="16"/>
      <c r="C369" s="16"/>
      <c r="D369" s="16"/>
      <c r="E369" s="16"/>
      <c r="F369" s="17"/>
      <c r="G369" s="16"/>
      <c r="H369" s="16"/>
      <c r="I369" s="16"/>
      <c r="J369" s="16"/>
      <c r="K369" s="16"/>
      <c r="L369" s="16"/>
      <c r="M369" s="18" t="str">
        <f aca="false">IF(OR(C369="",D369=""),"",IF(MOD(COUNTIFS($C$2:C369,C369,$D$2:D369,D369)*7,10)&lt;3,"teste","treino"))</f>
        <v/>
      </c>
      <c r="N369" s="16"/>
      <c r="O369" s="16"/>
      <c r="P369" s="16"/>
      <c r="Q369" s="17"/>
    </row>
    <row r="370" customFormat="false" ht="15" hidden="false" customHeight="false" outlineLevel="0" collapsed="false">
      <c r="A370" s="15" t="str">
        <f aca="false">IF(B370="","",ROW()-1)</f>
        <v/>
      </c>
      <c r="B370" s="16"/>
      <c r="C370" s="16"/>
      <c r="D370" s="16"/>
      <c r="E370" s="16"/>
      <c r="F370" s="17"/>
      <c r="G370" s="16"/>
      <c r="H370" s="16"/>
      <c r="I370" s="16"/>
      <c r="J370" s="16"/>
      <c r="K370" s="16"/>
      <c r="L370" s="16"/>
      <c r="M370" s="18" t="str">
        <f aca="false">IF(OR(C370="",D370=""),"",IF(MOD(COUNTIFS($C$2:C370,C370,$D$2:D370,D370)*7,10)&lt;3,"teste","treino"))</f>
        <v/>
      </c>
      <c r="N370" s="16"/>
      <c r="O370" s="16"/>
      <c r="P370" s="16"/>
      <c r="Q370" s="17"/>
    </row>
    <row r="371" customFormat="false" ht="15" hidden="false" customHeight="false" outlineLevel="0" collapsed="false">
      <c r="A371" s="15" t="str">
        <f aca="false">IF(B371="","",ROW()-1)</f>
        <v/>
      </c>
      <c r="B371" s="16"/>
      <c r="C371" s="16"/>
      <c r="D371" s="16"/>
      <c r="E371" s="16"/>
      <c r="F371" s="17"/>
      <c r="G371" s="16"/>
      <c r="H371" s="16"/>
      <c r="I371" s="16"/>
      <c r="J371" s="16"/>
      <c r="K371" s="16"/>
      <c r="L371" s="16"/>
      <c r="M371" s="18" t="str">
        <f aca="false">IF(OR(C371="",D371=""),"",IF(MOD(COUNTIFS($C$2:C371,C371,$D$2:D371,D371)*7,10)&lt;3,"teste","treino"))</f>
        <v/>
      </c>
      <c r="N371" s="16"/>
      <c r="O371" s="16"/>
      <c r="P371" s="16"/>
      <c r="Q371" s="17"/>
    </row>
    <row r="372" customFormat="false" ht="15" hidden="false" customHeight="false" outlineLevel="0" collapsed="false">
      <c r="A372" s="15" t="str">
        <f aca="false">IF(B372="","",ROW()-1)</f>
        <v/>
      </c>
      <c r="B372" s="16"/>
      <c r="C372" s="16"/>
      <c r="D372" s="16"/>
      <c r="E372" s="16"/>
      <c r="F372" s="17"/>
      <c r="G372" s="16"/>
      <c r="H372" s="16"/>
      <c r="I372" s="16"/>
      <c r="J372" s="16"/>
      <c r="K372" s="16"/>
      <c r="L372" s="16"/>
      <c r="M372" s="18" t="str">
        <f aca="false">IF(OR(C372="",D372=""),"",IF(MOD(COUNTIFS($C$2:C372,C372,$D$2:D372,D372)*7,10)&lt;3,"teste","treino"))</f>
        <v/>
      </c>
      <c r="N372" s="16"/>
      <c r="O372" s="16"/>
      <c r="P372" s="16"/>
      <c r="Q372" s="17"/>
    </row>
    <row r="373" customFormat="false" ht="15" hidden="false" customHeight="false" outlineLevel="0" collapsed="false">
      <c r="A373" s="15" t="str">
        <f aca="false">IF(B373="","",ROW()-1)</f>
        <v/>
      </c>
      <c r="B373" s="16"/>
      <c r="C373" s="16"/>
      <c r="D373" s="16"/>
      <c r="E373" s="16"/>
      <c r="F373" s="17"/>
      <c r="G373" s="16"/>
      <c r="H373" s="16"/>
      <c r="I373" s="16"/>
      <c r="J373" s="16"/>
      <c r="K373" s="16"/>
      <c r="L373" s="16"/>
      <c r="M373" s="18" t="str">
        <f aca="false">IF(OR(C373="",D373=""),"",IF(MOD(COUNTIFS($C$2:C373,C373,$D$2:D373,D373)*7,10)&lt;3,"teste","treino"))</f>
        <v/>
      </c>
      <c r="N373" s="16"/>
      <c r="O373" s="16"/>
      <c r="P373" s="16"/>
      <c r="Q373" s="17"/>
    </row>
    <row r="374" customFormat="false" ht="15" hidden="false" customHeight="false" outlineLevel="0" collapsed="false">
      <c r="A374" s="15" t="str">
        <f aca="false">IF(B374="","",ROW()-1)</f>
        <v/>
      </c>
      <c r="B374" s="16"/>
      <c r="C374" s="16"/>
      <c r="D374" s="16"/>
      <c r="E374" s="16"/>
      <c r="F374" s="17"/>
      <c r="G374" s="16"/>
      <c r="H374" s="16"/>
      <c r="I374" s="16"/>
      <c r="J374" s="16"/>
      <c r="K374" s="16"/>
      <c r="L374" s="16"/>
      <c r="M374" s="18" t="str">
        <f aca="false">IF(OR(C374="",D374=""),"",IF(MOD(COUNTIFS($C$2:C374,C374,$D$2:D374,D374)*7,10)&lt;3,"teste","treino"))</f>
        <v/>
      </c>
      <c r="N374" s="16"/>
      <c r="O374" s="16"/>
      <c r="P374" s="16"/>
      <c r="Q374" s="17"/>
    </row>
    <row r="375" customFormat="false" ht="15" hidden="false" customHeight="false" outlineLevel="0" collapsed="false">
      <c r="A375" s="15" t="str">
        <f aca="false">IF(B375="","",ROW()-1)</f>
        <v/>
      </c>
      <c r="B375" s="16"/>
      <c r="C375" s="16"/>
      <c r="D375" s="16"/>
      <c r="E375" s="16"/>
      <c r="F375" s="17"/>
      <c r="G375" s="16"/>
      <c r="H375" s="16"/>
      <c r="I375" s="16"/>
      <c r="J375" s="16"/>
      <c r="K375" s="16"/>
      <c r="L375" s="16"/>
      <c r="M375" s="18" t="str">
        <f aca="false">IF(OR(C375="",D375=""),"",IF(MOD(COUNTIFS($C$2:C375,C375,$D$2:D375,D375)*7,10)&lt;3,"teste","treino"))</f>
        <v/>
      </c>
      <c r="N375" s="16"/>
      <c r="O375" s="16"/>
      <c r="P375" s="16"/>
      <c r="Q375" s="17"/>
    </row>
    <row r="376" customFormat="false" ht="15" hidden="false" customHeight="false" outlineLevel="0" collapsed="false">
      <c r="A376" s="15" t="str">
        <f aca="false">IF(B376="","",ROW()-1)</f>
        <v/>
      </c>
      <c r="B376" s="16"/>
      <c r="C376" s="16"/>
      <c r="D376" s="16"/>
      <c r="E376" s="16"/>
      <c r="F376" s="17"/>
      <c r="G376" s="16"/>
      <c r="H376" s="16"/>
      <c r="I376" s="16"/>
      <c r="J376" s="16"/>
      <c r="K376" s="16"/>
      <c r="L376" s="16"/>
      <c r="M376" s="18" t="str">
        <f aca="false">IF(OR(C376="",D376=""),"",IF(MOD(COUNTIFS($C$2:C376,C376,$D$2:D376,D376)*7,10)&lt;3,"teste","treino"))</f>
        <v/>
      </c>
      <c r="N376" s="16"/>
      <c r="O376" s="16"/>
      <c r="P376" s="16"/>
      <c r="Q376" s="17"/>
    </row>
    <row r="377" customFormat="false" ht="15" hidden="false" customHeight="false" outlineLevel="0" collapsed="false">
      <c r="A377" s="15" t="str">
        <f aca="false">IF(B377="","",ROW()-1)</f>
        <v/>
      </c>
      <c r="B377" s="16"/>
      <c r="C377" s="16"/>
      <c r="D377" s="16"/>
      <c r="E377" s="16"/>
      <c r="F377" s="17"/>
      <c r="G377" s="16"/>
      <c r="H377" s="16"/>
      <c r="I377" s="16"/>
      <c r="J377" s="16"/>
      <c r="K377" s="16"/>
      <c r="L377" s="16"/>
      <c r="M377" s="18" t="str">
        <f aca="false">IF(OR(C377="",D377=""),"",IF(MOD(COUNTIFS($C$2:C377,C377,$D$2:D377,D377)*7,10)&lt;3,"teste","treino"))</f>
        <v/>
      </c>
      <c r="N377" s="16"/>
      <c r="O377" s="16"/>
      <c r="P377" s="16"/>
      <c r="Q377" s="17"/>
    </row>
    <row r="378" customFormat="false" ht="15" hidden="false" customHeight="false" outlineLevel="0" collapsed="false">
      <c r="A378" s="15" t="str">
        <f aca="false">IF(B378="","",ROW()-1)</f>
        <v/>
      </c>
      <c r="B378" s="16"/>
      <c r="C378" s="16"/>
      <c r="D378" s="16"/>
      <c r="E378" s="16"/>
      <c r="F378" s="17"/>
      <c r="G378" s="16"/>
      <c r="H378" s="16"/>
      <c r="I378" s="16"/>
      <c r="J378" s="16"/>
      <c r="K378" s="16"/>
      <c r="L378" s="16"/>
      <c r="M378" s="18" t="str">
        <f aca="false">IF(OR(C378="",D378=""),"",IF(MOD(COUNTIFS($C$2:C378,C378,$D$2:D378,D378)*7,10)&lt;3,"teste","treino"))</f>
        <v/>
      </c>
      <c r="N378" s="16"/>
      <c r="O378" s="16"/>
      <c r="P378" s="16"/>
      <c r="Q378" s="17"/>
    </row>
    <row r="379" customFormat="false" ht="15" hidden="false" customHeight="false" outlineLevel="0" collapsed="false">
      <c r="A379" s="15" t="str">
        <f aca="false">IF(B379="","",ROW()-1)</f>
        <v/>
      </c>
      <c r="B379" s="16"/>
      <c r="C379" s="16"/>
      <c r="D379" s="16"/>
      <c r="E379" s="16"/>
      <c r="F379" s="17"/>
      <c r="G379" s="16"/>
      <c r="H379" s="16"/>
      <c r="I379" s="16"/>
      <c r="J379" s="16"/>
      <c r="K379" s="16"/>
      <c r="L379" s="16"/>
      <c r="M379" s="18" t="str">
        <f aca="false">IF(OR(C379="",D379=""),"",IF(MOD(COUNTIFS($C$2:C379,C379,$D$2:D379,D379)*7,10)&lt;3,"teste","treino"))</f>
        <v/>
      </c>
      <c r="N379" s="16"/>
      <c r="O379" s="16"/>
      <c r="P379" s="16"/>
      <c r="Q379" s="17"/>
    </row>
    <row r="380" customFormat="false" ht="15" hidden="false" customHeight="false" outlineLevel="0" collapsed="false">
      <c r="A380" s="15" t="str">
        <f aca="false">IF(B380="","",ROW()-1)</f>
        <v/>
      </c>
      <c r="B380" s="16"/>
      <c r="C380" s="16"/>
      <c r="D380" s="16"/>
      <c r="E380" s="16"/>
      <c r="F380" s="17"/>
      <c r="G380" s="16"/>
      <c r="H380" s="16"/>
      <c r="I380" s="16"/>
      <c r="J380" s="16"/>
      <c r="K380" s="16"/>
      <c r="L380" s="16"/>
      <c r="M380" s="18" t="str">
        <f aca="false">IF(OR(C380="",D380=""),"",IF(MOD(COUNTIFS($C$2:C380,C380,$D$2:D380,D380)*7,10)&lt;3,"teste","treino"))</f>
        <v/>
      </c>
      <c r="N380" s="16"/>
      <c r="O380" s="16"/>
      <c r="P380" s="16"/>
      <c r="Q380" s="17"/>
    </row>
    <row r="381" customFormat="false" ht="15" hidden="false" customHeight="false" outlineLevel="0" collapsed="false">
      <c r="A381" s="15" t="str">
        <f aca="false">IF(B381="","",ROW()-1)</f>
        <v/>
      </c>
      <c r="B381" s="16"/>
      <c r="C381" s="16"/>
      <c r="D381" s="16"/>
      <c r="E381" s="16"/>
      <c r="F381" s="17"/>
      <c r="G381" s="16"/>
      <c r="H381" s="16"/>
      <c r="I381" s="16"/>
      <c r="J381" s="16"/>
      <c r="K381" s="16"/>
      <c r="L381" s="16"/>
      <c r="M381" s="18" t="str">
        <f aca="false">IF(OR(C381="",D381=""),"",IF(MOD(COUNTIFS($C$2:C381,C381,$D$2:D381,D381)*7,10)&lt;3,"teste","treino"))</f>
        <v/>
      </c>
      <c r="N381" s="16"/>
      <c r="O381" s="16"/>
      <c r="P381" s="16"/>
      <c r="Q381" s="17"/>
    </row>
    <row r="382" customFormat="false" ht="15" hidden="false" customHeight="false" outlineLevel="0" collapsed="false">
      <c r="A382" s="15" t="str">
        <f aca="false">IF(B382="","",ROW()-1)</f>
        <v/>
      </c>
      <c r="B382" s="16"/>
      <c r="C382" s="16"/>
      <c r="D382" s="16"/>
      <c r="E382" s="16"/>
      <c r="F382" s="17"/>
      <c r="G382" s="16"/>
      <c r="H382" s="16"/>
      <c r="I382" s="16"/>
      <c r="J382" s="16"/>
      <c r="K382" s="16"/>
      <c r="L382" s="16"/>
      <c r="M382" s="18" t="str">
        <f aca="false">IF(OR(C382="",D382=""),"",IF(MOD(COUNTIFS($C$2:C382,C382,$D$2:D382,D382)*7,10)&lt;3,"teste","treino"))</f>
        <v/>
      </c>
      <c r="N382" s="16"/>
      <c r="O382" s="16"/>
      <c r="P382" s="16"/>
      <c r="Q382" s="17"/>
    </row>
    <row r="383" customFormat="false" ht="15" hidden="false" customHeight="false" outlineLevel="0" collapsed="false">
      <c r="A383" s="15" t="str">
        <f aca="false">IF(B383="","",ROW()-1)</f>
        <v/>
      </c>
      <c r="B383" s="16"/>
      <c r="C383" s="16"/>
      <c r="D383" s="16"/>
      <c r="E383" s="16"/>
      <c r="F383" s="17"/>
      <c r="G383" s="16"/>
      <c r="H383" s="16"/>
      <c r="I383" s="16"/>
      <c r="J383" s="16"/>
      <c r="K383" s="16"/>
      <c r="L383" s="16"/>
      <c r="M383" s="18" t="str">
        <f aca="false">IF(OR(C383="",D383=""),"",IF(MOD(COUNTIFS($C$2:C383,C383,$D$2:D383,D383)*7,10)&lt;3,"teste","treino"))</f>
        <v/>
      </c>
      <c r="N383" s="16"/>
      <c r="O383" s="16"/>
      <c r="P383" s="16"/>
      <c r="Q383" s="17"/>
    </row>
    <row r="384" customFormat="false" ht="15" hidden="false" customHeight="false" outlineLevel="0" collapsed="false">
      <c r="A384" s="15" t="str">
        <f aca="false">IF(B384="","",ROW()-1)</f>
        <v/>
      </c>
      <c r="B384" s="16"/>
      <c r="C384" s="16"/>
      <c r="D384" s="16"/>
      <c r="E384" s="16"/>
      <c r="F384" s="17"/>
      <c r="G384" s="16"/>
      <c r="H384" s="16"/>
      <c r="I384" s="16"/>
      <c r="J384" s="16"/>
      <c r="K384" s="16"/>
      <c r="L384" s="16"/>
      <c r="M384" s="18" t="str">
        <f aca="false">IF(OR(C384="",D384=""),"",IF(MOD(COUNTIFS($C$2:C384,C384,$D$2:D384,D384)*7,10)&lt;3,"teste","treino"))</f>
        <v/>
      </c>
      <c r="N384" s="16"/>
      <c r="O384" s="16"/>
      <c r="P384" s="16"/>
      <c r="Q384" s="17"/>
    </row>
    <row r="385" customFormat="false" ht="15" hidden="false" customHeight="false" outlineLevel="0" collapsed="false">
      <c r="A385" s="15" t="str">
        <f aca="false">IF(B385="","",ROW()-1)</f>
        <v/>
      </c>
      <c r="B385" s="16"/>
      <c r="C385" s="16"/>
      <c r="D385" s="16"/>
      <c r="E385" s="16"/>
      <c r="F385" s="17"/>
      <c r="G385" s="16"/>
      <c r="H385" s="16"/>
      <c r="I385" s="16"/>
      <c r="J385" s="16"/>
      <c r="K385" s="16"/>
      <c r="L385" s="16"/>
      <c r="M385" s="18" t="str">
        <f aca="false">IF(OR(C385="",D385=""),"",IF(MOD(COUNTIFS($C$2:C385,C385,$D$2:D385,D385)*7,10)&lt;3,"teste","treino"))</f>
        <v/>
      </c>
      <c r="N385" s="16"/>
      <c r="O385" s="16"/>
      <c r="P385" s="16"/>
      <c r="Q385" s="17"/>
    </row>
    <row r="386" customFormat="false" ht="15" hidden="false" customHeight="false" outlineLevel="0" collapsed="false">
      <c r="A386" s="15" t="str">
        <f aca="false">IF(B386="","",ROW()-1)</f>
        <v/>
      </c>
      <c r="B386" s="16"/>
      <c r="C386" s="16"/>
      <c r="D386" s="16"/>
      <c r="E386" s="16"/>
      <c r="F386" s="17"/>
      <c r="G386" s="16"/>
      <c r="H386" s="16"/>
      <c r="I386" s="16"/>
      <c r="J386" s="16"/>
      <c r="K386" s="16"/>
      <c r="L386" s="16"/>
      <c r="M386" s="18" t="str">
        <f aca="false">IF(OR(C386="",D386=""),"",IF(MOD(COUNTIFS($C$2:C386,C386,$D$2:D386,D386)*7,10)&lt;3,"teste","treino"))</f>
        <v/>
      </c>
      <c r="N386" s="16"/>
      <c r="O386" s="16"/>
      <c r="P386" s="16"/>
      <c r="Q386" s="17"/>
    </row>
    <row r="387" customFormat="false" ht="15" hidden="false" customHeight="false" outlineLevel="0" collapsed="false">
      <c r="A387" s="15" t="str">
        <f aca="false">IF(B387="","",ROW()-1)</f>
        <v/>
      </c>
      <c r="B387" s="16"/>
      <c r="C387" s="16"/>
      <c r="D387" s="16"/>
      <c r="E387" s="16"/>
      <c r="F387" s="17"/>
      <c r="G387" s="16"/>
      <c r="H387" s="16"/>
      <c r="I387" s="16"/>
      <c r="J387" s="16"/>
      <c r="K387" s="16"/>
      <c r="L387" s="16"/>
      <c r="M387" s="18" t="str">
        <f aca="false">IF(OR(C387="",D387=""),"",IF(MOD(COUNTIFS($C$2:C387,C387,$D$2:D387,D387)*7,10)&lt;3,"teste","treino"))</f>
        <v/>
      </c>
      <c r="N387" s="16"/>
      <c r="O387" s="16"/>
      <c r="P387" s="16"/>
      <c r="Q387" s="17"/>
    </row>
    <row r="388" customFormat="false" ht="15" hidden="false" customHeight="false" outlineLevel="0" collapsed="false">
      <c r="A388" s="15" t="str">
        <f aca="false">IF(B388="","",ROW()-1)</f>
        <v/>
      </c>
      <c r="B388" s="16"/>
      <c r="C388" s="16"/>
      <c r="D388" s="16"/>
      <c r="E388" s="16"/>
      <c r="F388" s="17"/>
      <c r="G388" s="16"/>
      <c r="H388" s="16"/>
      <c r="I388" s="16"/>
      <c r="J388" s="16"/>
      <c r="K388" s="16"/>
      <c r="L388" s="16"/>
      <c r="M388" s="18" t="str">
        <f aca="false">IF(OR(C388="",D388=""),"",IF(MOD(COUNTIFS($C$2:C388,C388,$D$2:D388,D388)*7,10)&lt;3,"teste","treino"))</f>
        <v/>
      </c>
      <c r="N388" s="16"/>
      <c r="O388" s="16"/>
      <c r="P388" s="16"/>
      <c r="Q388" s="17"/>
    </row>
    <row r="389" customFormat="false" ht="15" hidden="false" customHeight="false" outlineLevel="0" collapsed="false">
      <c r="A389" s="15" t="str">
        <f aca="false">IF(B389="","",ROW()-1)</f>
        <v/>
      </c>
      <c r="B389" s="16"/>
      <c r="C389" s="16"/>
      <c r="D389" s="16"/>
      <c r="E389" s="16"/>
      <c r="F389" s="17"/>
      <c r="G389" s="16"/>
      <c r="H389" s="16"/>
      <c r="I389" s="16"/>
      <c r="J389" s="16"/>
      <c r="K389" s="16"/>
      <c r="L389" s="16"/>
      <c r="M389" s="18" t="str">
        <f aca="false">IF(OR(C389="",D389=""),"",IF(MOD(COUNTIFS($C$2:C389,C389,$D$2:D389,D389)*7,10)&lt;3,"teste","treino"))</f>
        <v/>
      </c>
      <c r="N389" s="16"/>
      <c r="O389" s="16"/>
      <c r="P389" s="16"/>
      <c r="Q389" s="17"/>
    </row>
    <row r="390" customFormat="false" ht="15" hidden="false" customHeight="false" outlineLevel="0" collapsed="false">
      <c r="A390" s="15" t="str">
        <f aca="false">IF(B390="","",ROW()-1)</f>
        <v/>
      </c>
      <c r="B390" s="16"/>
      <c r="C390" s="16"/>
      <c r="D390" s="16"/>
      <c r="E390" s="16"/>
      <c r="F390" s="17"/>
      <c r="G390" s="16"/>
      <c r="H390" s="16"/>
      <c r="I390" s="16"/>
      <c r="J390" s="16"/>
      <c r="K390" s="16"/>
      <c r="L390" s="16"/>
      <c r="M390" s="18" t="str">
        <f aca="false">IF(OR(C390="",D390=""),"",IF(MOD(COUNTIFS($C$2:C390,C390,$D$2:D390,D390)*7,10)&lt;3,"teste","treino"))</f>
        <v/>
      </c>
      <c r="N390" s="16"/>
      <c r="O390" s="16"/>
      <c r="P390" s="16"/>
      <c r="Q390" s="17"/>
    </row>
    <row r="391" customFormat="false" ht="15" hidden="false" customHeight="false" outlineLevel="0" collapsed="false">
      <c r="A391" s="15" t="str">
        <f aca="false">IF(B391="","",ROW()-1)</f>
        <v/>
      </c>
      <c r="B391" s="16"/>
      <c r="C391" s="16"/>
      <c r="D391" s="16"/>
      <c r="E391" s="16"/>
      <c r="F391" s="17"/>
      <c r="G391" s="16"/>
      <c r="H391" s="16"/>
      <c r="I391" s="16"/>
      <c r="J391" s="16"/>
      <c r="K391" s="16"/>
      <c r="L391" s="16"/>
      <c r="M391" s="18" t="str">
        <f aca="false">IF(OR(C391="",D391=""),"",IF(MOD(COUNTIFS($C$2:C391,C391,$D$2:D391,D391)*7,10)&lt;3,"teste","treino"))</f>
        <v/>
      </c>
      <c r="N391" s="16"/>
      <c r="O391" s="16"/>
      <c r="P391" s="16"/>
      <c r="Q391" s="17"/>
    </row>
    <row r="392" customFormat="false" ht="15" hidden="false" customHeight="false" outlineLevel="0" collapsed="false">
      <c r="A392" s="15" t="str">
        <f aca="false">IF(B392="","",ROW()-1)</f>
        <v/>
      </c>
      <c r="B392" s="16"/>
      <c r="C392" s="16"/>
      <c r="D392" s="16"/>
      <c r="E392" s="16"/>
      <c r="F392" s="17"/>
      <c r="G392" s="16"/>
      <c r="H392" s="16"/>
      <c r="I392" s="16"/>
      <c r="J392" s="16"/>
      <c r="K392" s="16"/>
      <c r="L392" s="16"/>
      <c r="M392" s="18" t="str">
        <f aca="false">IF(OR(C392="",D392=""),"",IF(MOD(COUNTIFS($C$2:C392,C392,$D$2:D392,D392)*7,10)&lt;3,"teste","treino"))</f>
        <v/>
      </c>
      <c r="N392" s="16"/>
      <c r="O392" s="16"/>
      <c r="P392" s="16"/>
      <c r="Q392" s="17"/>
    </row>
    <row r="393" customFormat="false" ht="15" hidden="false" customHeight="false" outlineLevel="0" collapsed="false">
      <c r="A393" s="15" t="str">
        <f aca="false">IF(B393="","",ROW()-1)</f>
        <v/>
      </c>
      <c r="B393" s="16"/>
      <c r="C393" s="16"/>
      <c r="D393" s="16"/>
      <c r="E393" s="16"/>
      <c r="F393" s="17"/>
      <c r="G393" s="16"/>
      <c r="H393" s="16"/>
      <c r="I393" s="16"/>
      <c r="J393" s="16"/>
      <c r="K393" s="16"/>
      <c r="L393" s="16"/>
      <c r="M393" s="18" t="str">
        <f aca="false">IF(OR(C393="",D393=""),"",IF(MOD(COUNTIFS($C$2:C393,C393,$D$2:D393,D393)*7,10)&lt;3,"teste","treino"))</f>
        <v/>
      </c>
      <c r="N393" s="16"/>
      <c r="O393" s="16"/>
      <c r="P393" s="16"/>
      <c r="Q393" s="17"/>
    </row>
    <row r="394" customFormat="false" ht="15" hidden="false" customHeight="false" outlineLevel="0" collapsed="false">
      <c r="A394" s="15" t="str">
        <f aca="false">IF(B394="","",ROW()-1)</f>
        <v/>
      </c>
      <c r="B394" s="16"/>
      <c r="C394" s="16"/>
      <c r="D394" s="16"/>
      <c r="E394" s="16"/>
      <c r="F394" s="17"/>
      <c r="G394" s="16"/>
      <c r="H394" s="16"/>
      <c r="I394" s="16"/>
      <c r="J394" s="16"/>
      <c r="K394" s="16"/>
      <c r="L394" s="16"/>
      <c r="M394" s="18" t="str">
        <f aca="false">IF(OR(C394="",D394=""),"",IF(MOD(COUNTIFS($C$2:C394,C394,$D$2:D394,D394)*7,10)&lt;3,"teste","treino"))</f>
        <v/>
      </c>
      <c r="N394" s="16"/>
      <c r="O394" s="16"/>
      <c r="P394" s="16"/>
      <c r="Q394" s="17"/>
    </row>
    <row r="395" customFormat="false" ht="15" hidden="false" customHeight="false" outlineLevel="0" collapsed="false">
      <c r="A395" s="15" t="str">
        <f aca="false">IF(B395="","",ROW()-1)</f>
        <v/>
      </c>
      <c r="B395" s="16"/>
      <c r="C395" s="16"/>
      <c r="D395" s="16"/>
      <c r="E395" s="16"/>
      <c r="F395" s="17"/>
      <c r="G395" s="16"/>
      <c r="H395" s="16"/>
      <c r="I395" s="16"/>
      <c r="J395" s="16"/>
      <c r="K395" s="16"/>
      <c r="L395" s="16"/>
      <c r="M395" s="18" t="str">
        <f aca="false">IF(OR(C395="",D395=""),"",IF(MOD(COUNTIFS($C$2:C395,C395,$D$2:D395,D395)*7,10)&lt;3,"teste","treino"))</f>
        <v/>
      </c>
      <c r="N395" s="16"/>
      <c r="O395" s="16"/>
      <c r="P395" s="16"/>
      <c r="Q395" s="17"/>
    </row>
    <row r="396" customFormat="false" ht="15" hidden="false" customHeight="false" outlineLevel="0" collapsed="false">
      <c r="A396" s="15" t="str">
        <f aca="false">IF(B396="","",ROW()-1)</f>
        <v/>
      </c>
      <c r="B396" s="16"/>
      <c r="C396" s="16"/>
      <c r="D396" s="16"/>
      <c r="E396" s="16"/>
      <c r="F396" s="17"/>
      <c r="G396" s="16"/>
      <c r="H396" s="16"/>
      <c r="I396" s="16"/>
      <c r="J396" s="16"/>
      <c r="K396" s="16"/>
      <c r="L396" s="16"/>
      <c r="M396" s="18" t="str">
        <f aca="false">IF(OR(C396="",D396=""),"",IF(MOD(COUNTIFS($C$2:C396,C396,$D$2:D396,D396)*7,10)&lt;3,"teste","treino"))</f>
        <v/>
      </c>
      <c r="N396" s="16"/>
      <c r="O396" s="16"/>
      <c r="P396" s="16"/>
      <c r="Q396" s="17"/>
    </row>
    <row r="397" customFormat="false" ht="15" hidden="false" customHeight="false" outlineLevel="0" collapsed="false">
      <c r="A397" s="15" t="str">
        <f aca="false">IF(B397="","",ROW()-1)</f>
        <v/>
      </c>
      <c r="B397" s="16"/>
      <c r="C397" s="16"/>
      <c r="D397" s="16"/>
      <c r="E397" s="16"/>
      <c r="F397" s="17"/>
      <c r="G397" s="16"/>
      <c r="H397" s="16"/>
      <c r="I397" s="16"/>
      <c r="J397" s="16"/>
      <c r="K397" s="16"/>
      <c r="L397" s="16"/>
      <c r="M397" s="18" t="str">
        <f aca="false">IF(OR(C397="",D397=""),"",IF(MOD(COUNTIFS($C$2:C397,C397,$D$2:D397,D397)*7,10)&lt;3,"teste","treino"))</f>
        <v/>
      </c>
      <c r="N397" s="16"/>
      <c r="O397" s="16"/>
      <c r="P397" s="16"/>
      <c r="Q397" s="17"/>
    </row>
    <row r="398" customFormat="false" ht="15" hidden="false" customHeight="false" outlineLevel="0" collapsed="false">
      <c r="A398" s="15" t="str">
        <f aca="false">IF(B398="","",ROW()-1)</f>
        <v/>
      </c>
      <c r="B398" s="16"/>
      <c r="C398" s="16"/>
      <c r="D398" s="16"/>
      <c r="E398" s="16"/>
      <c r="F398" s="17"/>
      <c r="G398" s="16"/>
      <c r="H398" s="16"/>
      <c r="I398" s="16"/>
      <c r="J398" s="16"/>
      <c r="K398" s="16"/>
      <c r="L398" s="16"/>
      <c r="M398" s="18" t="str">
        <f aca="false">IF(OR(C398="",D398=""),"",IF(MOD(COUNTIFS($C$2:C398,C398,$D$2:D398,D398)*7,10)&lt;3,"teste","treino"))</f>
        <v/>
      </c>
      <c r="N398" s="16"/>
      <c r="O398" s="16"/>
      <c r="P398" s="16"/>
      <c r="Q398" s="17"/>
    </row>
    <row r="399" customFormat="false" ht="15" hidden="false" customHeight="false" outlineLevel="0" collapsed="false">
      <c r="A399" s="15" t="str">
        <f aca="false">IF(B399="","",ROW()-1)</f>
        <v/>
      </c>
      <c r="B399" s="16"/>
      <c r="C399" s="16"/>
      <c r="D399" s="16"/>
      <c r="E399" s="16"/>
      <c r="F399" s="17"/>
      <c r="G399" s="16"/>
      <c r="H399" s="16"/>
      <c r="I399" s="16"/>
      <c r="J399" s="16"/>
      <c r="K399" s="16"/>
      <c r="L399" s="16"/>
      <c r="M399" s="18" t="str">
        <f aca="false">IF(OR(C399="",D399=""),"",IF(MOD(COUNTIFS($C$2:C399,C399,$D$2:D399,D399)*7,10)&lt;3,"teste","treino"))</f>
        <v/>
      </c>
      <c r="N399" s="16"/>
      <c r="O399" s="16"/>
      <c r="P399" s="16"/>
      <c r="Q399" s="17"/>
    </row>
    <row r="400" customFormat="false" ht="15" hidden="false" customHeight="false" outlineLevel="0" collapsed="false">
      <c r="A400" s="15" t="str">
        <f aca="false">IF(B400="","",ROW()-1)</f>
        <v/>
      </c>
      <c r="B400" s="16"/>
      <c r="C400" s="16"/>
      <c r="D400" s="16"/>
      <c r="E400" s="16"/>
      <c r="F400" s="17"/>
      <c r="G400" s="16"/>
      <c r="H400" s="16"/>
      <c r="I400" s="16"/>
      <c r="J400" s="16"/>
      <c r="K400" s="16"/>
      <c r="L400" s="16"/>
      <c r="M400" s="18" t="str">
        <f aca="false">IF(OR(C400="",D400=""),"",IF(MOD(COUNTIFS($C$2:C400,C400,$D$2:D400,D400)*7,10)&lt;3,"teste","treino"))</f>
        <v/>
      </c>
      <c r="N400" s="16"/>
      <c r="O400" s="16"/>
      <c r="P400" s="16"/>
      <c r="Q400" s="17"/>
    </row>
    <row r="401" customFormat="false" ht="15" hidden="false" customHeight="false" outlineLevel="0" collapsed="false">
      <c r="A401" s="15" t="str">
        <f aca="false">IF(B401="","",ROW()-1)</f>
        <v/>
      </c>
      <c r="B401" s="16"/>
      <c r="C401" s="16"/>
      <c r="D401" s="16"/>
      <c r="E401" s="16"/>
      <c r="F401" s="17"/>
      <c r="G401" s="16"/>
      <c r="H401" s="16"/>
      <c r="I401" s="16"/>
      <c r="J401" s="16"/>
      <c r="K401" s="16"/>
      <c r="L401" s="16"/>
      <c r="M401" s="18" t="str">
        <f aca="false">IF(OR(C401="",D401=""),"",IF(MOD(COUNTIFS($C$2:C401,C401,$D$2:D401,D401)*7,10)&lt;3,"teste","treino"))</f>
        <v/>
      </c>
      <c r="N401" s="16"/>
      <c r="O401" s="16"/>
      <c r="P401" s="16"/>
      <c r="Q401" s="17"/>
    </row>
    <row r="402" customFormat="false" ht="15" hidden="false" customHeight="false" outlineLevel="0" collapsed="false">
      <c r="A402" s="15" t="str">
        <f aca="false">IF(B402="","",ROW()-1)</f>
        <v/>
      </c>
      <c r="B402" s="16"/>
      <c r="C402" s="16"/>
      <c r="D402" s="16"/>
      <c r="E402" s="16"/>
      <c r="F402" s="17"/>
      <c r="G402" s="16"/>
      <c r="H402" s="16"/>
      <c r="I402" s="16"/>
      <c r="J402" s="16"/>
      <c r="K402" s="16"/>
      <c r="L402" s="16"/>
      <c r="M402" s="18" t="str">
        <f aca="false">IF(OR(C402="",D402=""),"",IF(MOD(COUNTIFS($C$2:C402,C402,$D$2:D402,D402)*7,10)&lt;3,"teste","treino"))</f>
        <v/>
      </c>
      <c r="N402" s="16"/>
      <c r="O402" s="16"/>
      <c r="P402" s="16"/>
      <c r="Q402" s="17"/>
    </row>
    <row r="403" customFormat="false" ht="15" hidden="false" customHeight="false" outlineLevel="0" collapsed="false">
      <c r="A403" s="15" t="str">
        <f aca="false">IF(B403="","",ROW()-1)</f>
        <v/>
      </c>
      <c r="B403" s="16"/>
      <c r="C403" s="16"/>
      <c r="D403" s="16"/>
      <c r="E403" s="16"/>
      <c r="F403" s="17"/>
      <c r="G403" s="16"/>
      <c r="H403" s="16"/>
      <c r="I403" s="16"/>
      <c r="J403" s="16"/>
      <c r="K403" s="16"/>
      <c r="L403" s="16"/>
      <c r="M403" s="18" t="str">
        <f aca="false">IF(OR(C403="",D403=""),"",IF(MOD(COUNTIFS($C$2:C403,C403,$D$2:D403,D403)*7,10)&lt;3,"teste","treino"))</f>
        <v/>
      </c>
      <c r="N403" s="16"/>
      <c r="O403" s="16"/>
      <c r="P403" s="16"/>
      <c r="Q403" s="17"/>
    </row>
    <row r="404" customFormat="false" ht="15" hidden="false" customHeight="false" outlineLevel="0" collapsed="false">
      <c r="A404" s="15" t="str">
        <f aca="false">IF(B404="","",ROW()-1)</f>
        <v/>
      </c>
      <c r="B404" s="16"/>
      <c r="C404" s="16"/>
      <c r="D404" s="16"/>
      <c r="E404" s="16"/>
      <c r="F404" s="17"/>
      <c r="G404" s="16"/>
      <c r="H404" s="16"/>
      <c r="I404" s="16"/>
      <c r="J404" s="16"/>
      <c r="K404" s="16"/>
      <c r="L404" s="16"/>
      <c r="M404" s="18" t="str">
        <f aca="false">IF(OR(C404="",D404=""),"",IF(MOD(COUNTIFS($C$2:C404,C404,$D$2:D404,D404)*7,10)&lt;3,"teste","treino"))</f>
        <v/>
      </c>
      <c r="N404" s="16"/>
      <c r="O404" s="16"/>
      <c r="P404" s="16"/>
      <c r="Q404" s="17"/>
    </row>
    <row r="405" customFormat="false" ht="15" hidden="false" customHeight="false" outlineLevel="0" collapsed="false">
      <c r="A405" s="15" t="str">
        <f aca="false">IF(B405="","",ROW()-1)</f>
        <v/>
      </c>
      <c r="B405" s="16"/>
      <c r="C405" s="16"/>
      <c r="D405" s="16"/>
      <c r="E405" s="16"/>
      <c r="F405" s="17"/>
      <c r="G405" s="16"/>
      <c r="H405" s="16"/>
      <c r="I405" s="16"/>
      <c r="J405" s="16"/>
      <c r="K405" s="16"/>
      <c r="L405" s="16"/>
      <c r="M405" s="18" t="str">
        <f aca="false">IF(OR(C405="",D405=""),"",IF(MOD(COUNTIFS($C$2:C405,C405,$D$2:D405,D405)*7,10)&lt;3,"teste","treino"))</f>
        <v/>
      </c>
      <c r="N405" s="16"/>
      <c r="O405" s="16"/>
      <c r="P405" s="16"/>
      <c r="Q405" s="17"/>
    </row>
    <row r="406" customFormat="false" ht="15" hidden="false" customHeight="false" outlineLevel="0" collapsed="false">
      <c r="A406" s="15" t="str">
        <f aca="false">IF(B406="","",ROW()-1)</f>
        <v/>
      </c>
      <c r="B406" s="16"/>
      <c r="C406" s="16"/>
      <c r="D406" s="16"/>
      <c r="E406" s="16"/>
      <c r="F406" s="17"/>
      <c r="G406" s="16"/>
      <c r="H406" s="16"/>
      <c r="I406" s="16"/>
      <c r="J406" s="16"/>
      <c r="K406" s="16"/>
      <c r="L406" s="16"/>
      <c r="M406" s="18" t="str">
        <f aca="false">IF(OR(C406="",D406=""),"",IF(MOD(COUNTIFS($C$2:C406,C406,$D$2:D406,D406)*7,10)&lt;3,"teste","treino"))</f>
        <v/>
      </c>
      <c r="N406" s="16"/>
      <c r="O406" s="16"/>
      <c r="P406" s="16"/>
      <c r="Q406" s="17"/>
    </row>
    <row r="407" customFormat="false" ht="15" hidden="false" customHeight="false" outlineLevel="0" collapsed="false">
      <c r="A407" s="15" t="str">
        <f aca="false">IF(B407="","",ROW()-1)</f>
        <v/>
      </c>
      <c r="B407" s="16"/>
      <c r="C407" s="16"/>
      <c r="D407" s="16"/>
      <c r="E407" s="16"/>
      <c r="F407" s="17"/>
      <c r="G407" s="16"/>
      <c r="H407" s="16"/>
      <c r="I407" s="16"/>
      <c r="J407" s="16"/>
      <c r="K407" s="16"/>
      <c r="L407" s="16"/>
      <c r="M407" s="18" t="str">
        <f aca="false">IF(OR(C407="",D407=""),"",IF(MOD(COUNTIFS($C$2:C407,C407,$D$2:D407,D407)*7,10)&lt;3,"teste","treino"))</f>
        <v/>
      </c>
      <c r="N407" s="16"/>
      <c r="O407" s="16"/>
      <c r="P407" s="16"/>
      <c r="Q407" s="17"/>
    </row>
    <row r="408" customFormat="false" ht="15" hidden="false" customHeight="false" outlineLevel="0" collapsed="false">
      <c r="A408" s="15" t="str">
        <f aca="false">IF(B408="","",ROW()-1)</f>
        <v/>
      </c>
      <c r="B408" s="16"/>
      <c r="C408" s="16"/>
      <c r="D408" s="16"/>
      <c r="E408" s="16"/>
      <c r="F408" s="17"/>
      <c r="G408" s="16"/>
      <c r="H408" s="16"/>
      <c r="I408" s="16"/>
      <c r="J408" s="16"/>
      <c r="K408" s="16"/>
      <c r="L408" s="16"/>
      <c r="M408" s="18" t="str">
        <f aca="false">IF(OR(C408="",D408=""),"",IF(MOD(COUNTIFS($C$2:C408,C408,$D$2:D408,D408)*7,10)&lt;3,"teste","treino"))</f>
        <v/>
      </c>
      <c r="N408" s="16"/>
      <c r="O408" s="16"/>
      <c r="P408" s="16"/>
      <c r="Q408" s="17"/>
    </row>
    <row r="409" customFormat="false" ht="15" hidden="false" customHeight="false" outlineLevel="0" collapsed="false">
      <c r="A409" s="15" t="str">
        <f aca="false">IF(B409="","",ROW()-1)</f>
        <v/>
      </c>
      <c r="B409" s="16"/>
      <c r="C409" s="16"/>
      <c r="D409" s="16"/>
      <c r="E409" s="16"/>
      <c r="F409" s="17"/>
      <c r="G409" s="16"/>
      <c r="H409" s="16"/>
      <c r="I409" s="16"/>
      <c r="J409" s="16"/>
      <c r="K409" s="16"/>
      <c r="L409" s="16"/>
      <c r="M409" s="18" t="str">
        <f aca="false">IF(OR(C409="",D409=""),"",IF(MOD(COUNTIFS($C$2:C409,C409,$D$2:D409,D409)*7,10)&lt;3,"teste","treino"))</f>
        <v/>
      </c>
      <c r="N409" s="16"/>
      <c r="O409" s="16"/>
      <c r="P409" s="16"/>
      <c r="Q409" s="17"/>
    </row>
    <row r="410" customFormat="false" ht="15" hidden="false" customHeight="false" outlineLevel="0" collapsed="false">
      <c r="A410" s="15" t="str">
        <f aca="false">IF(B410="","",ROW()-1)</f>
        <v/>
      </c>
      <c r="B410" s="16"/>
      <c r="C410" s="16"/>
      <c r="D410" s="16"/>
      <c r="E410" s="16"/>
      <c r="F410" s="17"/>
      <c r="G410" s="16"/>
      <c r="H410" s="16"/>
      <c r="I410" s="16"/>
      <c r="J410" s="16"/>
      <c r="K410" s="16"/>
      <c r="L410" s="16"/>
      <c r="M410" s="18" t="str">
        <f aca="false">IF(OR(C410="",D410=""),"",IF(MOD(COUNTIFS($C$2:C410,C410,$D$2:D410,D410)*7,10)&lt;3,"teste","treino"))</f>
        <v/>
      </c>
      <c r="N410" s="16"/>
      <c r="O410" s="16"/>
      <c r="P410" s="16"/>
      <c r="Q410" s="17"/>
    </row>
    <row r="411" customFormat="false" ht="15" hidden="false" customHeight="false" outlineLevel="0" collapsed="false">
      <c r="A411" s="15" t="str">
        <f aca="false">IF(B411="","",ROW()-1)</f>
        <v/>
      </c>
      <c r="B411" s="16"/>
      <c r="C411" s="16"/>
      <c r="D411" s="16"/>
      <c r="E411" s="16"/>
      <c r="F411" s="17"/>
      <c r="G411" s="16"/>
      <c r="H411" s="16"/>
      <c r="I411" s="16"/>
      <c r="J411" s="16"/>
      <c r="K411" s="16"/>
      <c r="L411" s="16"/>
      <c r="M411" s="18" t="str">
        <f aca="false">IF(OR(C411="",D411=""),"",IF(MOD(COUNTIFS($C$2:C411,C411,$D$2:D411,D411)*7,10)&lt;3,"teste","treino"))</f>
        <v/>
      </c>
      <c r="N411" s="16"/>
      <c r="O411" s="16"/>
      <c r="P411" s="16"/>
      <c r="Q411" s="17"/>
    </row>
    <row r="412" customFormat="false" ht="15" hidden="false" customHeight="false" outlineLevel="0" collapsed="false">
      <c r="A412" s="15" t="str">
        <f aca="false">IF(B412="","",ROW()-1)</f>
        <v/>
      </c>
      <c r="B412" s="16"/>
      <c r="C412" s="16"/>
      <c r="D412" s="16"/>
      <c r="E412" s="16"/>
      <c r="F412" s="17"/>
      <c r="G412" s="16"/>
      <c r="H412" s="16"/>
      <c r="I412" s="16"/>
      <c r="J412" s="16"/>
      <c r="K412" s="16"/>
      <c r="L412" s="16"/>
      <c r="M412" s="18" t="str">
        <f aca="false">IF(OR(C412="",D412=""),"",IF(MOD(COUNTIFS($C$2:C412,C412,$D$2:D412,D412)*7,10)&lt;3,"teste","treino"))</f>
        <v/>
      </c>
      <c r="N412" s="16"/>
      <c r="O412" s="16"/>
      <c r="P412" s="16"/>
      <c r="Q412" s="17"/>
    </row>
    <row r="413" customFormat="false" ht="15" hidden="false" customHeight="false" outlineLevel="0" collapsed="false">
      <c r="A413" s="15" t="str">
        <f aca="false">IF(B413="","",ROW()-1)</f>
        <v/>
      </c>
      <c r="B413" s="16"/>
      <c r="C413" s="16"/>
      <c r="D413" s="16"/>
      <c r="E413" s="16"/>
      <c r="F413" s="17"/>
      <c r="G413" s="16"/>
      <c r="H413" s="16"/>
      <c r="I413" s="16"/>
      <c r="J413" s="16"/>
      <c r="K413" s="16"/>
      <c r="L413" s="16"/>
      <c r="M413" s="18" t="str">
        <f aca="false">IF(OR(C413="",D413=""),"",IF(MOD(COUNTIFS($C$2:C413,C413,$D$2:D413,D413)*7,10)&lt;3,"teste","treino"))</f>
        <v/>
      </c>
      <c r="N413" s="16"/>
      <c r="O413" s="16"/>
      <c r="P413" s="16"/>
      <c r="Q413" s="17"/>
    </row>
    <row r="414" customFormat="false" ht="15" hidden="false" customHeight="false" outlineLevel="0" collapsed="false">
      <c r="A414" s="15" t="str">
        <f aca="false">IF(B414="","",ROW()-1)</f>
        <v/>
      </c>
      <c r="B414" s="16"/>
      <c r="C414" s="16"/>
      <c r="D414" s="16"/>
      <c r="E414" s="16"/>
      <c r="F414" s="17"/>
      <c r="G414" s="16"/>
      <c r="H414" s="16"/>
      <c r="I414" s="16"/>
      <c r="J414" s="16"/>
      <c r="K414" s="16"/>
      <c r="L414" s="16"/>
      <c r="M414" s="18" t="str">
        <f aca="false">IF(OR(C414="",D414=""),"",IF(MOD(COUNTIFS($C$2:C414,C414,$D$2:D414,D414)*7,10)&lt;3,"teste","treino"))</f>
        <v/>
      </c>
      <c r="N414" s="16"/>
      <c r="O414" s="16"/>
      <c r="P414" s="16"/>
      <c r="Q414" s="17"/>
    </row>
    <row r="415" customFormat="false" ht="15" hidden="false" customHeight="false" outlineLevel="0" collapsed="false">
      <c r="A415" s="15" t="str">
        <f aca="false">IF(B415="","",ROW()-1)</f>
        <v/>
      </c>
      <c r="B415" s="16"/>
      <c r="C415" s="16"/>
      <c r="D415" s="16"/>
      <c r="E415" s="16"/>
      <c r="F415" s="17"/>
      <c r="G415" s="16"/>
      <c r="H415" s="16"/>
      <c r="I415" s="16"/>
      <c r="J415" s="16"/>
      <c r="K415" s="16"/>
      <c r="L415" s="16"/>
      <c r="M415" s="18" t="str">
        <f aca="false">IF(OR(C415="",D415=""),"",IF(MOD(COUNTIFS($C$2:C415,C415,$D$2:D415,D415)*7,10)&lt;3,"teste","treino"))</f>
        <v/>
      </c>
      <c r="N415" s="16"/>
      <c r="O415" s="16"/>
      <c r="P415" s="16"/>
      <c r="Q415" s="17"/>
    </row>
    <row r="416" customFormat="false" ht="15" hidden="false" customHeight="false" outlineLevel="0" collapsed="false">
      <c r="A416" s="15" t="str">
        <f aca="false">IF(B416="","",ROW()-1)</f>
        <v/>
      </c>
      <c r="B416" s="16"/>
      <c r="C416" s="16"/>
      <c r="D416" s="16"/>
      <c r="E416" s="16"/>
      <c r="F416" s="17"/>
      <c r="G416" s="16"/>
      <c r="H416" s="16"/>
      <c r="I416" s="16"/>
      <c r="J416" s="16"/>
      <c r="K416" s="16"/>
      <c r="L416" s="16"/>
      <c r="M416" s="18" t="str">
        <f aca="false">IF(OR(C416="",D416=""),"",IF(MOD(COUNTIFS($C$2:C416,C416,$D$2:D416,D416)*7,10)&lt;3,"teste","treino"))</f>
        <v/>
      </c>
      <c r="N416" s="16"/>
      <c r="O416" s="16"/>
      <c r="P416" s="16"/>
      <c r="Q416" s="17"/>
    </row>
    <row r="417" customFormat="false" ht="15" hidden="false" customHeight="false" outlineLevel="0" collapsed="false">
      <c r="A417" s="15" t="str">
        <f aca="false">IF(B417="","",ROW()-1)</f>
        <v/>
      </c>
      <c r="B417" s="16"/>
      <c r="C417" s="16"/>
      <c r="D417" s="16"/>
      <c r="E417" s="16"/>
      <c r="F417" s="17"/>
      <c r="G417" s="16"/>
      <c r="H417" s="16"/>
      <c r="I417" s="16"/>
      <c r="J417" s="16"/>
      <c r="K417" s="16"/>
      <c r="L417" s="16"/>
      <c r="M417" s="18" t="str">
        <f aca="false">IF(OR(C417="",D417=""),"",IF(MOD(COUNTIFS($C$2:C417,C417,$D$2:D417,D417)*7,10)&lt;3,"teste","treino"))</f>
        <v/>
      </c>
      <c r="N417" s="16"/>
      <c r="O417" s="16"/>
      <c r="P417" s="16"/>
      <c r="Q417" s="17"/>
    </row>
    <row r="418" customFormat="false" ht="15" hidden="false" customHeight="false" outlineLevel="0" collapsed="false">
      <c r="A418" s="15" t="str">
        <f aca="false">IF(B418="","",ROW()-1)</f>
        <v/>
      </c>
      <c r="B418" s="16"/>
      <c r="C418" s="16"/>
      <c r="D418" s="16"/>
      <c r="E418" s="16"/>
      <c r="F418" s="17"/>
      <c r="G418" s="16"/>
      <c r="H418" s="16"/>
      <c r="I418" s="16"/>
      <c r="J418" s="16"/>
      <c r="K418" s="16"/>
      <c r="L418" s="16"/>
      <c r="M418" s="18" t="str">
        <f aca="false">IF(OR(C418="",D418=""),"",IF(MOD(COUNTIFS($C$2:C418,C418,$D$2:D418,D418)*7,10)&lt;3,"teste","treino"))</f>
        <v/>
      </c>
      <c r="N418" s="16"/>
      <c r="O418" s="16"/>
      <c r="P418" s="16"/>
      <c r="Q418" s="17"/>
    </row>
    <row r="419" customFormat="false" ht="15" hidden="false" customHeight="false" outlineLevel="0" collapsed="false">
      <c r="A419" s="15" t="str">
        <f aca="false">IF(B419="","",ROW()-1)</f>
        <v/>
      </c>
      <c r="B419" s="16"/>
      <c r="C419" s="16"/>
      <c r="D419" s="16"/>
      <c r="E419" s="16"/>
      <c r="F419" s="17"/>
      <c r="G419" s="16"/>
      <c r="H419" s="16"/>
      <c r="I419" s="16"/>
      <c r="J419" s="16"/>
      <c r="K419" s="16"/>
      <c r="L419" s="16"/>
      <c r="M419" s="18" t="str">
        <f aca="false">IF(OR(C419="",D419=""),"",IF(MOD(COUNTIFS($C$2:C419,C419,$D$2:D419,D419)*7,10)&lt;3,"teste","treino"))</f>
        <v/>
      </c>
      <c r="N419" s="16"/>
      <c r="O419" s="16"/>
      <c r="P419" s="16"/>
      <c r="Q419" s="17"/>
    </row>
    <row r="420" customFormat="false" ht="15" hidden="false" customHeight="false" outlineLevel="0" collapsed="false">
      <c r="A420" s="15" t="str">
        <f aca="false">IF(B420="","",ROW()-1)</f>
        <v/>
      </c>
      <c r="B420" s="16"/>
      <c r="C420" s="16"/>
      <c r="D420" s="16"/>
      <c r="E420" s="16"/>
      <c r="F420" s="17"/>
      <c r="G420" s="16"/>
      <c r="H420" s="16"/>
      <c r="I420" s="16"/>
      <c r="J420" s="16"/>
      <c r="K420" s="16"/>
      <c r="L420" s="16"/>
      <c r="M420" s="18" t="str">
        <f aca="false">IF(OR(C420="",D420=""),"",IF(MOD(COUNTIFS($C$2:C420,C420,$D$2:D420,D420)*7,10)&lt;3,"teste","treino"))</f>
        <v/>
      </c>
      <c r="N420" s="16"/>
      <c r="O420" s="16"/>
      <c r="P420" s="16"/>
      <c r="Q420" s="17"/>
    </row>
    <row r="421" customFormat="false" ht="15" hidden="false" customHeight="false" outlineLevel="0" collapsed="false">
      <c r="A421" s="15" t="str">
        <f aca="false">IF(B421="","",ROW()-1)</f>
        <v/>
      </c>
      <c r="B421" s="16"/>
      <c r="C421" s="16"/>
      <c r="D421" s="16"/>
      <c r="E421" s="16"/>
      <c r="F421" s="17"/>
      <c r="G421" s="16"/>
      <c r="H421" s="16"/>
      <c r="I421" s="16"/>
      <c r="J421" s="16"/>
      <c r="K421" s="16"/>
      <c r="L421" s="16"/>
      <c r="M421" s="18" t="str">
        <f aca="false">IF(OR(C421="",D421=""),"",IF(MOD(COUNTIFS($C$2:C421,C421,$D$2:D421,D421)*7,10)&lt;3,"teste","treino"))</f>
        <v/>
      </c>
      <c r="N421" s="16"/>
      <c r="O421" s="16"/>
      <c r="P421" s="16"/>
      <c r="Q421" s="17"/>
    </row>
    <row r="422" customFormat="false" ht="15" hidden="false" customHeight="false" outlineLevel="0" collapsed="false">
      <c r="A422" s="15" t="str">
        <f aca="false">IF(B422="","",ROW()-1)</f>
        <v/>
      </c>
      <c r="B422" s="16"/>
      <c r="C422" s="16"/>
      <c r="D422" s="16"/>
      <c r="E422" s="16"/>
      <c r="F422" s="17"/>
      <c r="G422" s="16"/>
      <c r="H422" s="16"/>
      <c r="I422" s="16"/>
      <c r="J422" s="16"/>
      <c r="K422" s="16"/>
      <c r="L422" s="16"/>
      <c r="M422" s="18" t="str">
        <f aca="false">IF(OR(C422="",D422=""),"",IF(MOD(COUNTIFS($C$2:C422,C422,$D$2:D422,D422)*7,10)&lt;3,"teste","treino"))</f>
        <v/>
      </c>
      <c r="N422" s="16"/>
      <c r="O422" s="16"/>
      <c r="P422" s="16"/>
      <c r="Q422" s="17"/>
    </row>
    <row r="423" customFormat="false" ht="15" hidden="false" customHeight="false" outlineLevel="0" collapsed="false">
      <c r="A423" s="15" t="str">
        <f aca="false">IF(B423="","",ROW()-1)</f>
        <v/>
      </c>
      <c r="B423" s="16"/>
      <c r="C423" s="16"/>
      <c r="D423" s="16"/>
      <c r="E423" s="16"/>
      <c r="F423" s="17"/>
      <c r="G423" s="16"/>
      <c r="H423" s="16"/>
      <c r="I423" s="16"/>
      <c r="J423" s="16"/>
      <c r="K423" s="16"/>
      <c r="L423" s="16"/>
      <c r="M423" s="18" t="str">
        <f aca="false">IF(OR(C423="",D423=""),"",IF(MOD(COUNTIFS($C$2:C423,C423,$D$2:D423,D423)*7,10)&lt;3,"teste","treino"))</f>
        <v/>
      </c>
      <c r="N423" s="16"/>
      <c r="O423" s="16"/>
      <c r="P423" s="16"/>
      <c r="Q423" s="17"/>
    </row>
    <row r="424" customFormat="false" ht="15" hidden="false" customHeight="false" outlineLevel="0" collapsed="false">
      <c r="A424" s="15" t="str">
        <f aca="false">IF(B424="","",ROW()-1)</f>
        <v/>
      </c>
      <c r="B424" s="16"/>
      <c r="C424" s="16"/>
      <c r="D424" s="16"/>
      <c r="E424" s="16"/>
      <c r="F424" s="17"/>
      <c r="G424" s="16"/>
      <c r="H424" s="16"/>
      <c r="I424" s="16"/>
      <c r="J424" s="16"/>
      <c r="K424" s="16"/>
      <c r="L424" s="16"/>
      <c r="M424" s="18" t="str">
        <f aca="false">IF(OR(C424="",D424=""),"",IF(MOD(COUNTIFS($C$2:C424,C424,$D$2:D424,D424)*7,10)&lt;3,"teste","treino"))</f>
        <v/>
      </c>
      <c r="N424" s="16"/>
      <c r="O424" s="16"/>
      <c r="P424" s="16"/>
      <c r="Q424" s="17"/>
    </row>
    <row r="425" customFormat="false" ht="15" hidden="false" customHeight="false" outlineLevel="0" collapsed="false">
      <c r="A425" s="15" t="str">
        <f aca="false">IF(B425="","",ROW()-1)</f>
        <v/>
      </c>
      <c r="B425" s="16"/>
      <c r="C425" s="16"/>
      <c r="D425" s="16"/>
      <c r="E425" s="16"/>
      <c r="F425" s="17"/>
      <c r="G425" s="16"/>
      <c r="H425" s="16"/>
      <c r="I425" s="16"/>
      <c r="J425" s="16"/>
      <c r="K425" s="16"/>
      <c r="L425" s="16"/>
      <c r="M425" s="18" t="str">
        <f aca="false">IF(OR(C425="",D425=""),"",IF(MOD(COUNTIFS($C$2:C425,C425,$D$2:D425,D425)*7,10)&lt;3,"teste","treino"))</f>
        <v/>
      </c>
      <c r="N425" s="16"/>
      <c r="O425" s="16"/>
      <c r="P425" s="16"/>
      <c r="Q425" s="17"/>
    </row>
    <row r="426" customFormat="false" ht="15" hidden="false" customHeight="false" outlineLevel="0" collapsed="false">
      <c r="A426" s="15" t="str">
        <f aca="false">IF(B426="","",ROW()-1)</f>
        <v/>
      </c>
      <c r="B426" s="16"/>
      <c r="C426" s="16"/>
      <c r="D426" s="16"/>
      <c r="E426" s="16"/>
      <c r="F426" s="17"/>
      <c r="G426" s="16"/>
      <c r="H426" s="16"/>
      <c r="I426" s="16"/>
      <c r="J426" s="16"/>
      <c r="K426" s="16"/>
      <c r="L426" s="16"/>
      <c r="M426" s="18" t="str">
        <f aca="false">IF(OR(C426="",D426=""),"",IF(MOD(COUNTIFS($C$2:C426,C426,$D$2:D426,D426)*7,10)&lt;3,"teste","treino"))</f>
        <v/>
      </c>
      <c r="N426" s="16"/>
      <c r="O426" s="16"/>
      <c r="P426" s="16"/>
      <c r="Q426" s="17"/>
    </row>
    <row r="427" customFormat="false" ht="15" hidden="false" customHeight="false" outlineLevel="0" collapsed="false">
      <c r="A427" s="15" t="str">
        <f aca="false">IF(B427="","",ROW()-1)</f>
        <v/>
      </c>
      <c r="B427" s="16"/>
      <c r="C427" s="16"/>
      <c r="D427" s="16"/>
      <c r="E427" s="16"/>
      <c r="F427" s="17"/>
      <c r="G427" s="16"/>
      <c r="H427" s="16"/>
      <c r="I427" s="16"/>
      <c r="J427" s="16"/>
      <c r="K427" s="16"/>
      <c r="L427" s="16"/>
      <c r="M427" s="18" t="str">
        <f aca="false">IF(OR(C427="",D427=""),"",IF(MOD(COUNTIFS($C$2:C427,C427,$D$2:D427,D427)*7,10)&lt;3,"teste","treino"))</f>
        <v/>
      </c>
      <c r="N427" s="16"/>
      <c r="O427" s="16"/>
      <c r="P427" s="16"/>
      <c r="Q427" s="17"/>
    </row>
    <row r="428" customFormat="false" ht="15" hidden="false" customHeight="false" outlineLevel="0" collapsed="false">
      <c r="A428" s="15" t="str">
        <f aca="false">IF(B428="","",ROW()-1)</f>
        <v/>
      </c>
      <c r="B428" s="16"/>
      <c r="C428" s="16"/>
      <c r="D428" s="16"/>
      <c r="E428" s="16"/>
      <c r="F428" s="17"/>
      <c r="G428" s="16"/>
      <c r="H428" s="16"/>
      <c r="I428" s="16"/>
      <c r="J428" s="16"/>
      <c r="K428" s="16"/>
      <c r="L428" s="16"/>
      <c r="M428" s="18" t="str">
        <f aca="false">IF(OR(C428="",D428=""),"",IF(MOD(COUNTIFS($C$2:C428,C428,$D$2:D428,D428)*7,10)&lt;3,"teste","treino"))</f>
        <v/>
      </c>
      <c r="N428" s="16"/>
      <c r="O428" s="16"/>
      <c r="P428" s="16"/>
      <c r="Q428" s="17"/>
    </row>
    <row r="429" customFormat="false" ht="15" hidden="false" customHeight="false" outlineLevel="0" collapsed="false">
      <c r="A429" s="15" t="str">
        <f aca="false">IF(B429="","",ROW()-1)</f>
        <v/>
      </c>
      <c r="B429" s="16"/>
      <c r="C429" s="16"/>
      <c r="D429" s="16"/>
      <c r="E429" s="16"/>
      <c r="F429" s="17"/>
      <c r="G429" s="16"/>
      <c r="H429" s="16"/>
      <c r="I429" s="16"/>
      <c r="J429" s="16"/>
      <c r="K429" s="16"/>
      <c r="L429" s="16"/>
      <c r="M429" s="18" t="str">
        <f aca="false">IF(OR(C429="",D429=""),"",IF(MOD(COUNTIFS($C$2:C429,C429,$D$2:D429,D429)*7,10)&lt;3,"teste","treino"))</f>
        <v/>
      </c>
      <c r="N429" s="16"/>
      <c r="O429" s="16"/>
      <c r="P429" s="16"/>
      <c r="Q429" s="17"/>
    </row>
    <row r="430" customFormat="false" ht="15" hidden="false" customHeight="false" outlineLevel="0" collapsed="false">
      <c r="A430" s="15" t="str">
        <f aca="false">IF(B430="","",ROW()-1)</f>
        <v/>
      </c>
      <c r="B430" s="16"/>
      <c r="C430" s="16"/>
      <c r="D430" s="16"/>
      <c r="E430" s="16"/>
      <c r="F430" s="17"/>
      <c r="G430" s="16"/>
      <c r="H430" s="16"/>
      <c r="I430" s="16"/>
      <c r="J430" s="16"/>
      <c r="K430" s="16"/>
      <c r="L430" s="16"/>
      <c r="M430" s="18" t="str">
        <f aca="false">IF(OR(C430="",D430=""),"",IF(MOD(COUNTIFS($C$2:C430,C430,$D$2:D430,D430)*7,10)&lt;3,"teste","treino"))</f>
        <v/>
      </c>
      <c r="N430" s="16"/>
      <c r="O430" s="16"/>
      <c r="P430" s="16"/>
      <c r="Q430" s="17"/>
    </row>
    <row r="431" customFormat="false" ht="15" hidden="false" customHeight="false" outlineLevel="0" collapsed="false">
      <c r="A431" s="15" t="str">
        <f aca="false">IF(B431="","",ROW()-1)</f>
        <v/>
      </c>
      <c r="B431" s="16"/>
      <c r="C431" s="16"/>
      <c r="D431" s="16"/>
      <c r="E431" s="16"/>
      <c r="F431" s="17"/>
      <c r="G431" s="16"/>
      <c r="H431" s="16"/>
      <c r="I431" s="16"/>
      <c r="J431" s="16"/>
      <c r="K431" s="16"/>
      <c r="L431" s="16"/>
      <c r="M431" s="18" t="str">
        <f aca="false">IF(OR(C431="",D431=""),"",IF(MOD(COUNTIFS($C$2:C431,C431,$D$2:D431,D431)*7,10)&lt;3,"teste","treino"))</f>
        <v/>
      </c>
      <c r="N431" s="16"/>
      <c r="O431" s="16"/>
      <c r="P431" s="16"/>
      <c r="Q431" s="17"/>
    </row>
    <row r="432" customFormat="false" ht="15" hidden="false" customHeight="false" outlineLevel="0" collapsed="false">
      <c r="A432" s="15" t="str">
        <f aca="false">IF(B432="","",ROW()-1)</f>
        <v/>
      </c>
      <c r="B432" s="16"/>
      <c r="C432" s="16"/>
      <c r="D432" s="16"/>
      <c r="E432" s="16"/>
      <c r="F432" s="17"/>
      <c r="G432" s="16"/>
      <c r="H432" s="16"/>
      <c r="I432" s="16"/>
      <c r="J432" s="16"/>
      <c r="K432" s="16"/>
      <c r="L432" s="16"/>
      <c r="M432" s="18" t="str">
        <f aca="false">IF(OR(C432="",D432=""),"",IF(MOD(COUNTIFS($C$2:C432,C432,$D$2:D432,D432)*7,10)&lt;3,"teste","treino"))</f>
        <v/>
      </c>
      <c r="N432" s="16"/>
      <c r="O432" s="16"/>
      <c r="P432" s="16"/>
      <c r="Q432" s="17"/>
    </row>
    <row r="433" customFormat="false" ht="15" hidden="false" customHeight="false" outlineLevel="0" collapsed="false">
      <c r="A433" s="15" t="str">
        <f aca="false">IF(B433="","",ROW()-1)</f>
        <v/>
      </c>
      <c r="B433" s="16"/>
      <c r="C433" s="16"/>
      <c r="D433" s="16"/>
      <c r="E433" s="16"/>
      <c r="F433" s="17"/>
      <c r="G433" s="16"/>
      <c r="H433" s="16"/>
      <c r="I433" s="16"/>
      <c r="J433" s="16"/>
      <c r="K433" s="16"/>
      <c r="L433" s="16"/>
      <c r="M433" s="18" t="str">
        <f aca="false">IF(OR(C433="",D433=""),"",IF(MOD(COUNTIFS($C$2:C433,C433,$D$2:D433,D433)*7,10)&lt;3,"teste","treino"))</f>
        <v/>
      </c>
      <c r="N433" s="16"/>
      <c r="O433" s="16"/>
      <c r="P433" s="16"/>
      <c r="Q433" s="17"/>
    </row>
    <row r="434" customFormat="false" ht="15" hidden="false" customHeight="false" outlineLevel="0" collapsed="false">
      <c r="A434" s="15" t="str">
        <f aca="false">IF(B434="","",ROW()-1)</f>
        <v/>
      </c>
      <c r="B434" s="16"/>
      <c r="C434" s="16"/>
      <c r="D434" s="16"/>
      <c r="E434" s="16"/>
      <c r="F434" s="17"/>
      <c r="G434" s="16"/>
      <c r="H434" s="16"/>
      <c r="I434" s="16"/>
      <c r="J434" s="16"/>
      <c r="K434" s="16"/>
      <c r="L434" s="16"/>
      <c r="M434" s="18" t="str">
        <f aca="false">IF(OR(C434="",D434=""),"",IF(MOD(COUNTIFS($C$2:C434,C434,$D$2:D434,D434)*7,10)&lt;3,"teste","treino"))</f>
        <v/>
      </c>
      <c r="N434" s="16"/>
      <c r="O434" s="16"/>
      <c r="P434" s="16"/>
      <c r="Q434" s="17"/>
    </row>
    <row r="435" customFormat="false" ht="15" hidden="false" customHeight="false" outlineLevel="0" collapsed="false">
      <c r="A435" s="15" t="str">
        <f aca="false">IF(B435="","",ROW()-1)</f>
        <v/>
      </c>
      <c r="B435" s="16"/>
      <c r="C435" s="16"/>
      <c r="D435" s="16"/>
      <c r="E435" s="16"/>
      <c r="F435" s="17"/>
      <c r="G435" s="16"/>
      <c r="H435" s="16"/>
      <c r="I435" s="16"/>
      <c r="J435" s="16"/>
      <c r="K435" s="16"/>
      <c r="L435" s="16"/>
      <c r="M435" s="18" t="str">
        <f aca="false">IF(OR(C435="",D435=""),"",IF(MOD(COUNTIFS($C$2:C435,C435,$D$2:D435,D435)*7,10)&lt;3,"teste","treino"))</f>
        <v/>
      </c>
      <c r="N435" s="16"/>
      <c r="O435" s="16"/>
      <c r="P435" s="16"/>
      <c r="Q435" s="17"/>
    </row>
    <row r="436" customFormat="false" ht="15" hidden="false" customHeight="false" outlineLevel="0" collapsed="false">
      <c r="A436" s="15" t="str">
        <f aca="false">IF(B436="","",ROW()-1)</f>
        <v/>
      </c>
      <c r="B436" s="16"/>
      <c r="C436" s="16"/>
      <c r="D436" s="16"/>
      <c r="E436" s="16"/>
      <c r="F436" s="17"/>
      <c r="G436" s="16"/>
      <c r="H436" s="16"/>
      <c r="I436" s="16"/>
      <c r="J436" s="16"/>
      <c r="K436" s="16"/>
      <c r="L436" s="16"/>
      <c r="M436" s="18" t="str">
        <f aca="false">IF(OR(C436="",D436=""),"",IF(MOD(COUNTIFS($C$2:C436,C436,$D$2:D436,D436)*7,10)&lt;3,"teste","treino"))</f>
        <v/>
      </c>
      <c r="N436" s="16"/>
      <c r="O436" s="16"/>
      <c r="P436" s="16"/>
      <c r="Q436" s="17"/>
    </row>
    <row r="437" customFormat="false" ht="15" hidden="false" customHeight="false" outlineLevel="0" collapsed="false">
      <c r="A437" s="15" t="str">
        <f aca="false">IF(B437="","",ROW()-1)</f>
        <v/>
      </c>
      <c r="B437" s="16"/>
      <c r="C437" s="16"/>
      <c r="D437" s="16"/>
      <c r="E437" s="16"/>
      <c r="F437" s="17"/>
      <c r="G437" s="16"/>
      <c r="H437" s="16"/>
      <c r="I437" s="16"/>
      <c r="J437" s="16"/>
      <c r="K437" s="16"/>
      <c r="L437" s="16"/>
      <c r="M437" s="18" t="str">
        <f aca="false">IF(OR(C437="",D437=""),"",IF(MOD(COUNTIFS($C$2:C437,C437,$D$2:D437,D437)*7,10)&lt;3,"teste","treino"))</f>
        <v/>
      </c>
      <c r="N437" s="16"/>
      <c r="O437" s="16"/>
      <c r="P437" s="16"/>
      <c r="Q437" s="17"/>
    </row>
    <row r="438" customFormat="false" ht="15" hidden="false" customHeight="false" outlineLevel="0" collapsed="false">
      <c r="A438" s="15" t="str">
        <f aca="false">IF(B438="","",ROW()-1)</f>
        <v/>
      </c>
      <c r="B438" s="16"/>
      <c r="C438" s="16"/>
      <c r="D438" s="16"/>
      <c r="E438" s="16"/>
      <c r="F438" s="17"/>
      <c r="G438" s="16"/>
      <c r="H438" s="16"/>
      <c r="I438" s="16"/>
      <c r="J438" s="16"/>
      <c r="K438" s="16"/>
      <c r="L438" s="16"/>
      <c r="M438" s="18" t="str">
        <f aca="false">IF(OR(C438="",D438=""),"",IF(MOD(COUNTIFS($C$2:C438,C438,$D$2:D438,D438)*7,10)&lt;3,"teste","treino"))</f>
        <v/>
      </c>
      <c r="N438" s="16"/>
      <c r="O438" s="16"/>
      <c r="P438" s="16"/>
      <c r="Q438" s="17"/>
    </row>
    <row r="439" customFormat="false" ht="15" hidden="false" customHeight="false" outlineLevel="0" collapsed="false">
      <c r="A439" s="15" t="str">
        <f aca="false">IF(B439="","",ROW()-1)</f>
        <v/>
      </c>
      <c r="B439" s="16"/>
      <c r="C439" s="16"/>
      <c r="D439" s="16"/>
      <c r="E439" s="16"/>
      <c r="F439" s="17"/>
      <c r="G439" s="16"/>
      <c r="H439" s="16"/>
      <c r="I439" s="16"/>
      <c r="J439" s="16"/>
      <c r="K439" s="16"/>
      <c r="L439" s="16"/>
      <c r="M439" s="18" t="str">
        <f aca="false">IF(OR(C439="",D439=""),"",IF(MOD(COUNTIFS($C$2:C439,C439,$D$2:D439,D439)*7,10)&lt;3,"teste","treino"))</f>
        <v/>
      </c>
      <c r="N439" s="16"/>
      <c r="O439" s="16"/>
      <c r="P439" s="16"/>
      <c r="Q439" s="17"/>
    </row>
    <row r="440" customFormat="false" ht="15" hidden="false" customHeight="false" outlineLevel="0" collapsed="false">
      <c r="A440" s="15" t="str">
        <f aca="false">IF(B440="","",ROW()-1)</f>
        <v/>
      </c>
      <c r="B440" s="16"/>
      <c r="C440" s="16"/>
      <c r="D440" s="16"/>
      <c r="E440" s="16"/>
      <c r="F440" s="17"/>
      <c r="G440" s="16"/>
      <c r="H440" s="16"/>
      <c r="I440" s="16"/>
      <c r="J440" s="16"/>
      <c r="K440" s="16"/>
      <c r="L440" s="16"/>
      <c r="M440" s="18" t="str">
        <f aca="false">IF(OR(C440="",D440=""),"",IF(MOD(COUNTIFS($C$2:C440,C440,$D$2:D440,D440)*7,10)&lt;3,"teste","treino"))</f>
        <v/>
      </c>
      <c r="N440" s="16"/>
      <c r="O440" s="16"/>
      <c r="P440" s="16"/>
      <c r="Q440" s="17"/>
    </row>
    <row r="441" customFormat="false" ht="15" hidden="false" customHeight="false" outlineLevel="0" collapsed="false">
      <c r="A441" s="15" t="str">
        <f aca="false">IF(B441="","",ROW()-1)</f>
        <v/>
      </c>
      <c r="B441" s="16"/>
      <c r="C441" s="16"/>
      <c r="D441" s="16"/>
      <c r="E441" s="16"/>
      <c r="F441" s="17"/>
      <c r="G441" s="16"/>
      <c r="H441" s="16"/>
      <c r="I441" s="16"/>
      <c r="J441" s="16"/>
      <c r="K441" s="16"/>
      <c r="L441" s="16"/>
      <c r="M441" s="18" t="str">
        <f aca="false">IF(OR(C441="",D441=""),"",IF(MOD(COUNTIFS($C$2:C441,C441,$D$2:D441,D441)*7,10)&lt;3,"teste","treino"))</f>
        <v/>
      </c>
      <c r="N441" s="16"/>
      <c r="O441" s="16"/>
      <c r="P441" s="16"/>
      <c r="Q441" s="17"/>
    </row>
    <row r="442" customFormat="false" ht="15" hidden="false" customHeight="false" outlineLevel="0" collapsed="false">
      <c r="A442" s="15" t="str">
        <f aca="false">IF(B442="","",ROW()-1)</f>
        <v/>
      </c>
      <c r="B442" s="16"/>
      <c r="C442" s="16"/>
      <c r="D442" s="16"/>
      <c r="E442" s="16"/>
      <c r="F442" s="17"/>
      <c r="G442" s="16"/>
      <c r="H442" s="16"/>
      <c r="I442" s="16"/>
      <c r="J442" s="16"/>
      <c r="K442" s="16"/>
      <c r="L442" s="16"/>
      <c r="M442" s="18" t="str">
        <f aca="false">IF(OR(C442="",D442=""),"",IF(MOD(COUNTIFS($C$2:C442,C442,$D$2:D442,D442)*7,10)&lt;3,"teste","treino"))</f>
        <v/>
      </c>
      <c r="N442" s="16"/>
      <c r="O442" s="16"/>
      <c r="P442" s="16"/>
      <c r="Q442" s="17"/>
    </row>
    <row r="443" customFormat="false" ht="15" hidden="false" customHeight="false" outlineLevel="0" collapsed="false">
      <c r="A443" s="15" t="str">
        <f aca="false">IF(B443="","",ROW()-1)</f>
        <v/>
      </c>
      <c r="B443" s="16"/>
      <c r="C443" s="16"/>
      <c r="D443" s="16"/>
      <c r="E443" s="16"/>
      <c r="F443" s="17"/>
      <c r="G443" s="16"/>
      <c r="H443" s="16"/>
      <c r="I443" s="16"/>
      <c r="J443" s="16"/>
      <c r="K443" s="16"/>
      <c r="L443" s="16"/>
      <c r="M443" s="18" t="str">
        <f aca="false">IF(OR(C443="",D443=""),"",IF(MOD(COUNTIFS($C$2:C443,C443,$D$2:D443,D443)*7,10)&lt;3,"teste","treino"))</f>
        <v/>
      </c>
      <c r="N443" s="16"/>
      <c r="O443" s="16"/>
      <c r="P443" s="16"/>
      <c r="Q443" s="17"/>
    </row>
    <row r="444" customFormat="false" ht="15" hidden="false" customHeight="false" outlineLevel="0" collapsed="false">
      <c r="A444" s="15" t="str">
        <f aca="false">IF(B444="","",ROW()-1)</f>
        <v/>
      </c>
      <c r="B444" s="16"/>
      <c r="C444" s="16"/>
      <c r="D444" s="16"/>
      <c r="E444" s="16"/>
      <c r="F444" s="17"/>
      <c r="G444" s="16"/>
      <c r="H444" s="16"/>
      <c r="I444" s="16"/>
      <c r="J444" s="16"/>
      <c r="K444" s="16"/>
      <c r="L444" s="16"/>
      <c r="M444" s="18" t="str">
        <f aca="false">IF(OR(C444="",D444=""),"",IF(MOD(COUNTIFS($C$2:C444,C444,$D$2:D444,D444)*7,10)&lt;3,"teste","treino"))</f>
        <v/>
      </c>
      <c r="N444" s="16"/>
      <c r="O444" s="16"/>
      <c r="P444" s="16"/>
      <c r="Q444" s="17"/>
    </row>
    <row r="445" customFormat="false" ht="15" hidden="false" customHeight="false" outlineLevel="0" collapsed="false">
      <c r="A445" s="15" t="str">
        <f aca="false">IF(B445="","",ROW()-1)</f>
        <v/>
      </c>
      <c r="B445" s="16"/>
      <c r="C445" s="16"/>
      <c r="D445" s="16"/>
      <c r="E445" s="16"/>
      <c r="F445" s="17"/>
      <c r="G445" s="16"/>
      <c r="H445" s="16"/>
      <c r="I445" s="16"/>
      <c r="J445" s="16"/>
      <c r="K445" s="16"/>
      <c r="L445" s="16"/>
      <c r="M445" s="18" t="str">
        <f aca="false">IF(OR(C445="",D445=""),"",IF(MOD(COUNTIFS($C$2:C445,C445,$D$2:D445,D445)*7,10)&lt;3,"teste","treino"))</f>
        <v/>
      </c>
      <c r="N445" s="16"/>
      <c r="O445" s="16"/>
      <c r="P445" s="16"/>
      <c r="Q445" s="17"/>
    </row>
    <row r="446" customFormat="false" ht="15" hidden="false" customHeight="false" outlineLevel="0" collapsed="false">
      <c r="A446" s="15" t="str">
        <f aca="false">IF(B446="","",ROW()-1)</f>
        <v/>
      </c>
      <c r="B446" s="16"/>
      <c r="C446" s="16"/>
      <c r="D446" s="16"/>
      <c r="E446" s="16"/>
      <c r="F446" s="17"/>
      <c r="G446" s="16"/>
      <c r="H446" s="16"/>
      <c r="I446" s="16"/>
      <c r="J446" s="16"/>
      <c r="K446" s="16"/>
      <c r="L446" s="16"/>
      <c r="M446" s="18" t="str">
        <f aca="false">IF(OR(C446="",D446=""),"",IF(MOD(COUNTIFS($C$2:C446,C446,$D$2:D446,D446)*7,10)&lt;3,"teste","treino"))</f>
        <v/>
      </c>
      <c r="N446" s="16"/>
      <c r="O446" s="16"/>
      <c r="P446" s="16"/>
      <c r="Q446" s="17"/>
    </row>
    <row r="447" customFormat="false" ht="15" hidden="false" customHeight="false" outlineLevel="0" collapsed="false">
      <c r="A447" s="15" t="str">
        <f aca="false">IF(B447="","",ROW()-1)</f>
        <v/>
      </c>
      <c r="B447" s="16"/>
      <c r="C447" s="16"/>
      <c r="D447" s="16"/>
      <c r="E447" s="16"/>
      <c r="F447" s="17"/>
      <c r="G447" s="16"/>
      <c r="H447" s="16"/>
      <c r="I447" s="16"/>
      <c r="J447" s="16"/>
      <c r="K447" s="16"/>
      <c r="L447" s="16"/>
      <c r="M447" s="18" t="str">
        <f aca="false">IF(OR(C447="",D447=""),"",IF(MOD(COUNTIFS($C$2:C447,C447,$D$2:D447,D447)*7,10)&lt;3,"teste","treino"))</f>
        <v/>
      </c>
      <c r="N447" s="16"/>
      <c r="O447" s="16"/>
      <c r="P447" s="16"/>
      <c r="Q447" s="17"/>
    </row>
    <row r="448" customFormat="false" ht="15" hidden="false" customHeight="false" outlineLevel="0" collapsed="false">
      <c r="A448" s="15" t="str">
        <f aca="false">IF(B448="","",ROW()-1)</f>
        <v/>
      </c>
      <c r="B448" s="16"/>
      <c r="C448" s="16"/>
      <c r="D448" s="16"/>
      <c r="E448" s="16"/>
      <c r="F448" s="17"/>
      <c r="G448" s="16"/>
      <c r="H448" s="16"/>
      <c r="I448" s="16"/>
      <c r="J448" s="16"/>
      <c r="K448" s="16"/>
      <c r="L448" s="16"/>
      <c r="M448" s="18" t="str">
        <f aca="false">IF(OR(C448="",D448=""),"",IF(MOD(COUNTIFS($C$2:C448,C448,$D$2:D448,D448)*7,10)&lt;3,"teste","treino"))</f>
        <v/>
      </c>
      <c r="N448" s="16"/>
      <c r="O448" s="16"/>
      <c r="P448" s="16"/>
      <c r="Q448" s="17"/>
    </row>
    <row r="449" customFormat="false" ht="15" hidden="false" customHeight="false" outlineLevel="0" collapsed="false">
      <c r="A449" s="15" t="str">
        <f aca="false">IF(B449="","",ROW()-1)</f>
        <v/>
      </c>
      <c r="B449" s="16"/>
      <c r="C449" s="16"/>
      <c r="D449" s="16"/>
      <c r="E449" s="16"/>
      <c r="F449" s="17"/>
      <c r="G449" s="16"/>
      <c r="H449" s="16"/>
      <c r="I449" s="16"/>
      <c r="J449" s="16"/>
      <c r="K449" s="16"/>
      <c r="L449" s="16"/>
      <c r="M449" s="18" t="str">
        <f aca="false">IF(OR(C449="",D449=""),"",IF(MOD(COUNTIFS($C$2:C449,C449,$D$2:D449,D449)*7,10)&lt;3,"teste","treino"))</f>
        <v/>
      </c>
      <c r="N449" s="16"/>
      <c r="O449" s="16"/>
      <c r="P449" s="16"/>
      <c r="Q449" s="17"/>
    </row>
    <row r="450" customFormat="false" ht="15" hidden="false" customHeight="false" outlineLevel="0" collapsed="false">
      <c r="A450" s="15" t="str">
        <f aca="false">IF(B450="","",ROW()-1)</f>
        <v/>
      </c>
      <c r="B450" s="16"/>
      <c r="C450" s="16"/>
      <c r="D450" s="16"/>
      <c r="E450" s="16"/>
      <c r="F450" s="17"/>
      <c r="G450" s="16"/>
      <c r="H450" s="16"/>
      <c r="I450" s="16"/>
      <c r="J450" s="16"/>
      <c r="K450" s="16"/>
      <c r="L450" s="16"/>
      <c r="M450" s="18" t="str">
        <f aca="false">IF(OR(C450="",D450=""),"",IF(MOD(COUNTIFS($C$2:C450,C450,$D$2:D450,D450)*7,10)&lt;3,"teste","treino"))</f>
        <v/>
      </c>
      <c r="N450" s="16"/>
      <c r="O450" s="16"/>
      <c r="P450" s="16"/>
      <c r="Q450" s="17"/>
    </row>
    <row r="451" customFormat="false" ht="15" hidden="false" customHeight="false" outlineLevel="0" collapsed="false">
      <c r="A451" s="15" t="str">
        <f aca="false">IF(B451="","",ROW()-1)</f>
        <v/>
      </c>
      <c r="B451" s="16"/>
      <c r="C451" s="16"/>
      <c r="D451" s="16"/>
      <c r="E451" s="16"/>
      <c r="F451" s="17"/>
      <c r="G451" s="16"/>
      <c r="H451" s="16"/>
      <c r="I451" s="16"/>
      <c r="J451" s="16"/>
      <c r="K451" s="16"/>
      <c r="L451" s="16"/>
      <c r="M451" s="18" t="str">
        <f aca="false">IF(OR(C451="",D451=""),"",IF(MOD(COUNTIFS($C$2:C451,C451,$D$2:D451,D451)*7,10)&lt;3,"teste","treino"))</f>
        <v/>
      </c>
      <c r="N451" s="16"/>
      <c r="O451" s="16"/>
      <c r="P451" s="16"/>
      <c r="Q451" s="17"/>
    </row>
    <row r="452" customFormat="false" ht="15" hidden="false" customHeight="false" outlineLevel="0" collapsed="false">
      <c r="A452" s="15" t="str">
        <f aca="false">IF(B452="","",ROW()-1)</f>
        <v/>
      </c>
      <c r="B452" s="16"/>
      <c r="C452" s="16"/>
      <c r="D452" s="16"/>
      <c r="E452" s="16"/>
      <c r="F452" s="17"/>
      <c r="G452" s="16"/>
      <c r="H452" s="16"/>
      <c r="I452" s="16"/>
      <c r="J452" s="16"/>
      <c r="K452" s="16"/>
      <c r="L452" s="16"/>
      <c r="M452" s="18" t="str">
        <f aca="false">IF(OR(C452="",D452=""),"",IF(MOD(COUNTIFS($C$2:C452,C452,$D$2:D452,D452)*7,10)&lt;3,"teste","treino"))</f>
        <v/>
      </c>
      <c r="N452" s="16"/>
      <c r="O452" s="16"/>
      <c r="P452" s="16"/>
      <c r="Q452" s="17"/>
    </row>
    <row r="453" customFormat="false" ht="15" hidden="false" customHeight="false" outlineLevel="0" collapsed="false">
      <c r="A453" s="15" t="str">
        <f aca="false">IF(B453="","",ROW()-1)</f>
        <v/>
      </c>
      <c r="B453" s="16"/>
      <c r="C453" s="16"/>
      <c r="D453" s="16"/>
      <c r="E453" s="16"/>
      <c r="F453" s="17"/>
      <c r="G453" s="16"/>
      <c r="H453" s="16"/>
      <c r="I453" s="16"/>
      <c r="J453" s="16"/>
      <c r="K453" s="16"/>
      <c r="L453" s="16"/>
      <c r="M453" s="18" t="str">
        <f aca="false">IF(OR(C453="",D453=""),"",IF(MOD(COUNTIFS($C$2:C453,C453,$D$2:D453,D453)*7,10)&lt;3,"teste","treino"))</f>
        <v/>
      </c>
      <c r="N453" s="16"/>
      <c r="O453" s="16"/>
      <c r="P453" s="16"/>
      <c r="Q453" s="17"/>
    </row>
    <row r="454" customFormat="false" ht="15" hidden="false" customHeight="false" outlineLevel="0" collapsed="false">
      <c r="A454" s="15" t="str">
        <f aca="false">IF(B454="","",ROW()-1)</f>
        <v/>
      </c>
      <c r="B454" s="16"/>
      <c r="C454" s="16"/>
      <c r="D454" s="16"/>
      <c r="E454" s="16"/>
      <c r="F454" s="17"/>
      <c r="G454" s="16"/>
      <c r="H454" s="16"/>
      <c r="I454" s="16"/>
      <c r="J454" s="16"/>
      <c r="K454" s="16"/>
      <c r="L454" s="16"/>
      <c r="M454" s="18" t="str">
        <f aca="false">IF(OR(C454="",D454=""),"",IF(MOD(COUNTIFS($C$2:C454,C454,$D$2:D454,D454)*7,10)&lt;3,"teste","treino"))</f>
        <v/>
      </c>
      <c r="N454" s="16"/>
      <c r="O454" s="16"/>
      <c r="P454" s="16"/>
      <c r="Q454" s="17"/>
    </row>
    <row r="455" customFormat="false" ht="15" hidden="false" customHeight="false" outlineLevel="0" collapsed="false">
      <c r="A455" s="15" t="str">
        <f aca="false">IF(B455="","",ROW()-1)</f>
        <v/>
      </c>
      <c r="B455" s="16"/>
      <c r="C455" s="16"/>
      <c r="D455" s="16"/>
      <c r="E455" s="16"/>
      <c r="F455" s="17"/>
      <c r="G455" s="16"/>
      <c r="H455" s="16"/>
      <c r="I455" s="16"/>
      <c r="J455" s="16"/>
      <c r="K455" s="16"/>
      <c r="L455" s="16"/>
      <c r="M455" s="18" t="str">
        <f aca="false">IF(OR(C455="",D455=""),"",IF(MOD(COUNTIFS($C$2:C455,C455,$D$2:D455,D455)*7,10)&lt;3,"teste","treino"))</f>
        <v/>
      </c>
      <c r="N455" s="16"/>
      <c r="O455" s="16"/>
      <c r="P455" s="16"/>
      <c r="Q455" s="17"/>
    </row>
    <row r="456" customFormat="false" ht="15" hidden="false" customHeight="false" outlineLevel="0" collapsed="false">
      <c r="A456" s="15" t="str">
        <f aca="false">IF(B456="","",ROW()-1)</f>
        <v/>
      </c>
      <c r="B456" s="16"/>
      <c r="C456" s="16"/>
      <c r="D456" s="16"/>
      <c r="E456" s="16"/>
      <c r="F456" s="17"/>
      <c r="G456" s="16"/>
      <c r="H456" s="16"/>
      <c r="I456" s="16"/>
      <c r="J456" s="16"/>
      <c r="K456" s="16"/>
      <c r="L456" s="16"/>
      <c r="M456" s="18" t="str">
        <f aca="false">IF(OR(C456="",D456=""),"",IF(MOD(COUNTIFS($C$2:C456,C456,$D$2:D456,D456)*7,10)&lt;3,"teste","treino"))</f>
        <v/>
      </c>
      <c r="N456" s="16"/>
      <c r="O456" s="16"/>
      <c r="P456" s="16"/>
      <c r="Q456" s="17"/>
    </row>
    <row r="457" customFormat="false" ht="15" hidden="false" customHeight="false" outlineLevel="0" collapsed="false">
      <c r="A457" s="15" t="str">
        <f aca="false">IF(B457="","",ROW()-1)</f>
        <v/>
      </c>
      <c r="B457" s="16"/>
      <c r="C457" s="16"/>
      <c r="D457" s="16"/>
      <c r="E457" s="16"/>
      <c r="F457" s="17"/>
      <c r="G457" s="16"/>
      <c r="H457" s="16"/>
      <c r="I457" s="16"/>
      <c r="J457" s="16"/>
      <c r="K457" s="16"/>
      <c r="L457" s="16"/>
      <c r="M457" s="18" t="str">
        <f aca="false">IF(OR(C457="",D457=""),"",IF(MOD(COUNTIFS($C$2:C457,C457,$D$2:D457,D457)*7,10)&lt;3,"teste","treino"))</f>
        <v/>
      </c>
      <c r="N457" s="16"/>
      <c r="O457" s="16"/>
      <c r="P457" s="16"/>
      <c r="Q457" s="17"/>
    </row>
    <row r="458" customFormat="false" ht="15" hidden="false" customHeight="false" outlineLevel="0" collapsed="false">
      <c r="A458" s="15" t="str">
        <f aca="false">IF(B458="","",ROW()-1)</f>
        <v/>
      </c>
      <c r="B458" s="16"/>
      <c r="C458" s="16"/>
      <c r="D458" s="16"/>
      <c r="E458" s="16"/>
      <c r="F458" s="17"/>
      <c r="G458" s="16"/>
      <c r="H458" s="16"/>
      <c r="I458" s="16"/>
      <c r="J458" s="16"/>
      <c r="K458" s="16"/>
      <c r="L458" s="16"/>
      <c r="M458" s="18" t="str">
        <f aca="false">IF(OR(C458="",D458=""),"",IF(MOD(COUNTIFS($C$2:C458,C458,$D$2:D458,D458)*7,10)&lt;3,"teste","treino"))</f>
        <v/>
      </c>
      <c r="N458" s="16"/>
      <c r="O458" s="16"/>
      <c r="P458" s="16"/>
      <c r="Q458" s="17"/>
    </row>
    <row r="459" customFormat="false" ht="15" hidden="false" customHeight="false" outlineLevel="0" collapsed="false">
      <c r="A459" s="15" t="str">
        <f aca="false">IF(B459="","",ROW()-1)</f>
        <v/>
      </c>
      <c r="B459" s="16"/>
      <c r="C459" s="16"/>
      <c r="D459" s="16"/>
      <c r="E459" s="16"/>
      <c r="F459" s="17"/>
      <c r="G459" s="16"/>
      <c r="H459" s="16"/>
      <c r="I459" s="16"/>
      <c r="J459" s="16"/>
      <c r="K459" s="16"/>
      <c r="L459" s="16"/>
      <c r="M459" s="18" t="str">
        <f aca="false">IF(OR(C459="",D459=""),"",IF(MOD(COUNTIFS($C$2:C459,C459,$D$2:D459,D459)*7,10)&lt;3,"teste","treino"))</f>
        <v/>
      </c>
      <c r="N459" s="16"/>
      <c r="O459" s="16"/>
      <c r="P459" s="16"/>
      <c r="Q459" s="17"/>
    </row>
    <row r="460" customFormat="false" ht="15" hidden="false" customHeight="false" outlineLevel="0" collapsed="false">
      <c r="A460" s="15" t="str">
        <f aca="false">IF(B460="","",ROW()-1)</f>
        <v/>
      </c>
      <c r="B460" s="16"/>
      <c r="C460" s="16"/>
      <c r="D460" s="16"/>
      <c r="E460" s="16"/>
      <c r="F460" s="17"/>
      <c r="G460" s="16"/>
      <c r="H460" s="16"/>
      <c r="I460" s="16"/>
      <c r="J460" s="16"/>
      <c r="K460" s="16"/>
      <c r="L460" s="16"/>
      <c r="M460" s="18" t="str">
        <f aca="false">IF(OR(C460="",D460=""),"",IF(MOD(COUNTIFS($C$2:C460,C460,$D$2:D460,D460)*7,10)&lt;3,"teste","treino"))</f>
        <v/>
      </c>
      <c r="N460" s="16"/>
      <c r="O460" s="16"/>
      <c r="P460" s="16"/>
      <c r="Q460" s="17"/>
    </row>
    <row r="461" customFormat="false" ht="15" hidden="false" customHeight="false" outlineLevel="0" collapsed="false">
      <c r="A461" s="15" t="str">
        <f aca="false">IF(B461="","",ROW()-1)</f>
        <v/>
      </c>
      <c r="B461" s="16"/>
      <c r="C461" s="16"/>
      <c r="D461" s="16"/>
      <c r="E461" s="16"/>
      <c r="F461" s="17"/>
      <c r="G461" s="16"/>
      <c r="H461" s="16"/>
      <c r="I461" s="16"/>
      <c r="J461" s="16"/>
      <c r="K461" s="16"/>
      <c r="L461" s="16"/>
      <c r="M461" s="18" t="str">
        <f aca="false">IF(OR(C461="",D461=""),"",IF(MOD(COUNTIFS($C$2:C461,C461,$D$2:D461,D461)*7,10)&lt;3,"teste","treino"))</f>
        <v/>
      </c>
      <c r="N461" s="16"/>
      <c r="O461" s="16"/>
      <c r="P461" s="16"/>
      <c r="Q461" s="17"/>
    </row>
    <row r="462" customFormat="false" ht="15" hidden="false" customHeight="false" outlineLevel="0" collapsed="false">
      <c r="A462" s="15" t="str">
        <f aca="false">IF(B462="","",ROW()-1)</f>
        <v/>
      </c>
      <c r="B462" s="16"/>
      <c r="C462" s="16"/>
      <c r="D462" s="16"/>
      <c r="E462" s="16"/>
      <c r="F462" s="17"/>
      <c r="G462" s="16"/>
      <c r="H462" s="16"/>
      <c r="I462" s="16"/>
      <c r="J462" s="16"/>
      <c r="K462" s="16"/>
      <c r="L462" s="16"/>
      <c r="M462" s="18" t="str">
        <f aca="false">IF(OR(C462="",D462=""),"",IF(MOD(COUNTIFS($C$2:C462,C462,$D$2:D462,D462)*7,10)&lt;3,"teste","treino"))</f>
        <v/>
      </c>
      <c r="N462" s="16"/>
      <c r="O462" s="16"/>
      <c r="P462" s="16"/>
      <c r="Q462" s="17"/>
    </row>
    <row r="463" customFormat="false" ht="15" hidden="false" customHeight="false" outlineLevel="0" collapsed="false">
      <c r="A463" s="15" t="str">
        <f aca="false">IF(B463="","",ROW()-1)</f>
        <v/>
      </c>
      <c r="B463" s="16"/>
      <c r="C463" s="16"/>
      <c r="D463" s="16"/>
      <c r="E463" s="16"/>
      <c r="F463" s="17"/>
      <c r="G463" s="16"/>
      <c r="H463" s="16"/>
      <c r="I463" s="16"/>
      <c r="J463" s="16"/>
      <c r="K463" s="16"/>
      <c r="L463" s="16"/>
      <c r="M463" s="18" t="str">
        <f aca="false">IF(OR(C463="",D463=""),"",IF(MOD(COUNTIFS($C$2:C463,C463,$D$2:D463,D463)*7,10)&lt;3,"teste","treino"))</f>
        <v/>
      </c>
      <c r="N463" s="16"/>
      <c r="O463" s="16"/>
      <c r="P463" s="16"/>
      <c r="Q463" s="17"/>
    </row>
    <row r="464" customFormat="false" ht="15" hidden="false" customHeight="false" outlineLevel="0" collapsed="false">
      <c r="A464" s="15" t="str">
        <f aca="false">IF(B464="","",ROW()-1)</f>
        <v/>
      </c>
      <c r="B464" s="16"/>
      <c r="C464" s="16"/>
      <c r="D464" s="16"/>
      <c r="E464" s="16"/>
      <c r="F464" s="17"/>
      <c r="G464" s="16"/>
      <c r="H464" s="16"/>
      <c r="I464" s="16"/>
      <c r="J464" s="16"/>
      <c r="K464" s="16"/>
      <c r="L464" s="16"/>
      <c r="M464" s="18" t="str">
        <f aca="false">IF(OR(C464="",D464=""),"",IF(MOD(COUNTIFS($C$2:C464,C464,$D$2:D464,D464)*7,10)&lt;3,"teste","treino"))</f>
        <v/>
      </c>
      <c r="N464" s="16"/>
      <c r="O464" s="16"/>
      <c r="P464" s="16"/>
      <c r="Q464" s="17"/>
    </row>
    <row r="465" customFormat="false" ht="15" hidden="false" customHeight="false" outlineLevel="0" collapsed="false">
      <c r="A465" s="15" t="str">
        <f aca="false">IF(B465="","",ROW()-1)</f>
        <v/>
      </c>
      <c r="B465" s="16"/>
      <c r="C465" s="16"/>
      <c r="D465" s="16"/>
      <c r="E465" s="16"/>
      <c r="F465" s="17"/>
      <c r="G465" s="16"/>
      <c r="H465" s="16"/>
      <c r="I465" s="16"/>
      <c r="J465" s="16"/>
      <c r="K465" s="16"/>
      <c r="L465" s="16"/>
      <c r="M465" s="18" t="str">
        <f aca="false">IF(OR(C465="",D465=""),"",IF(MOD(COUNTIFS($C$2:C465,C465,$D$2:D465,D465)*7,10)&lt;3,"teste","treino"))</f>
        <v/>
      </c>
      <c r="N465" s="16"/>
      <c r="O465" s="16"/>
      <c r="P465" s="16"/>
      <c r="Q465" s="17"/>
    </row>
    <row r="466" customFormat="false" ht="15" hidden="false" customHeight="false" outlineLevel="0" collapsed="false">
      <c r="A466" s="15" t="str">
        <f aca="false">IF(B466="","",ROW()-1)</f>
        <v/>
      </c>
      <c r="B466" s="16"/>
      <c r="C466" s="16"/>
      <c r="D466" s="16"/>
      <c r="E466" s="16"/>
      <c r="F466" s="17"/>
      <c r="G466" s="16"/>
      <c r="H466" s="16"/>
      <c r="I466" s="16"/>
      <c r="J466" s="16"/>
      <c r="K466" s="16"/>
      <c r="L466" s="16"/>
      <c r="M466" s="18" t="str">
        <f aca="false">IF(OR(C466="",D466=""),"",IF(MOD(COUNTIFS($C$2:C466,C466,$D$2:D466,D466)*7,10)&lt;3,"teste","treino"))</f>
        <v/>
      </c>
      <c r="N466" s="16"/>
      <c r="O466" s="16"/>
      <c r="P466" s="16"/>
      <c r="Q466" s="17"/>
    </row>
    <row r="467" customFormat="false" ht="15" hidden="false" customHeight="false" outlineLevel="0" collapsed="false">
      <c r="A467" s="15" t="str">
        <f aca="false">IF(B467="","",ROW()-1)</f>
        <v/>
      </c>
      <c r="B467" s="16"/>
      <c r="C467" s="16"/>
      <c r="D467" s="16"/>
      <c r="E467" s="16"/>
      <c r="F467" s="17"/>
      <c r="G467" s="16"/>
      <c r="H467" s="16"/>
      <c r="I467" s="16"/>
      <c r="J467" s="16"/>
      <c r="K467" s="16"/>
      <c r="L467" s="16"/>
      <c r="M467" s="18" t="str">
        <f aca="false">IF(OR(C467="",D467=""),"",IF(MOD(COUNTIFS($C$2:C467,C467,$D$2:D467,D467)*7,10)&lt;3,"teste","treino"))</f>
        <v/>
      </c>
      <c r="N467" s="16"/>
      <c r="O467" s="16"/>
      <c r="P467" s="16"/>
      <c r="Q467" s="17"/>
    </row>
    <row r="468" customFormat="false" ht="15" hidden="false" customHeight="false" outlineLevel="0" collapsed="false">
      <c r="A468" s="15" t="str">
        <f aca="false">IF(B468="","",ROW()-1)</f>
        <v/>
      </c>
      <c r="B468" s="16"/>
      <c r="C468" s="16"/>
      <c r="D468" s="16"/>
      <c r="E468" s="16"/>
      <c r="F468" s="17"/>
      <c r="G468" s="16"/>
      <c r="H468" s="16"/>
      <c r="I468" s="16"/>
      <c r="J468" s="16"/>
      <c r="K468" s="16"/>
      <c r="L468" s="16"/>
      <c r="M468" s="18" t="str">
        <f aca="false">IF(OR(C468="",D468=""),"",IF(MOD(COUNTIFS($C$2:C468,C468,$D$2:D468,D468)*7,10)&lt;3,"teste","treino"))</f>
        <v/>
      </c>
      <c r="N468" s="16"/>
      <c r="O468" s="16"/>
      <c r="P468" s="16"/>
      <c r="Q468" s="17"/>
    </row>
    <row r="469" customFormat="false" ht="15" hidden="false" customHeight="false" outlineLevel="0" collapsed="false">
      <c r="A469" s="15" t="str">
        <f aca="false">IF(B469="","",ROW()-1)</f>
        <v/>
      </c>
      <c r="B469" s="16"/>
      <c r="C469" s="16"/>
      <c r="D469" s="16"/>
      <c r="E469" s="16"/>
      <c r="F469" s="17"/>
      <c r="G469" s="16"/>
      <c r="H469" s="16"/>
      <c r="I469" s="16"/>
      <c r="J469" s="16"/>
      <c r="K469" s="16"/>
      <c r="L469" s="16"/>
      <c r="M469" s="18" t="str">
        <f aca="false">IF(OR(C469="",D469=""),"",IF(MOD(COUNTIFS($C$2:C469,C469,$D$2:D469,D469)*7,10)&lt;3,"teste","treino"))</f>
        <v/>
      </c>
      <c r="N469" s="16"/>
      <c r="O469" s="16"/>
      <c r="P469" s="16"/>
      <c r="Q469" s="17"/>
    </row>
    <row r="470" customFormat="false" ht="15" hidden="false" customHeight="false" outlineLevel="0" collapsed="false">
      <c r="A470" s="15" t="str">
        <f aca="false">IF(B470="","",ROW()-1)</f>
        <v/>
      </c>
      <c r="B470" s="16"/>
      <c r="C470" s="16"/>
      <c r="D470" s="16"/>
      <c r="E470" s="16"/>
      <c r="F470" s="17"/>
      <c r="G470" s="16"/>
      <c r="H470" s="16"/>
      <c r="I470" s="16"/>
      <c r="J470" s="16"/>
      <c r="K470" s="16"/>
      <c r="L470" s="16"/>
      <c r="M470" s="18" t="str">
        <f aca="false">IF(OR(C470="",D470=""),"",IF(MOD(COUNTIFS($C$2:C470,C470,$D$2:D470,D470)*7,10)&lt;3,"teste","treino"))</f>
        <v/>
      </c>
      <c r="N470" s="16"/>
      <c r="O470" s="16"/>
      <c r="P470" s="16"/>
      <c r="Q470" s="17"/>
    </row>
    <row r="471" customFormat="false" ht="15" hidden="false" customHeight="false" outlineLevel="0" collapsed="false">
      <c r="A471" s="15" t="str">
        <f aca="false">IF(B471="","",ROW()-1)</f>
        <v/>
      </c>
      <c r="B471" s="16"/>
      <c r="C471" s="16"/>
      <c r="D471" s="16"/>
      <c r="E471" s="16"/>
      <c r="F471" s="17"/>
      <c r="G471" s="16"/>
      <c r="H471" s="16"/>
      <c r="I471" s="16"/>
      <c r="J471" s="16"/>
      <c r="K471" s="16"/>
      <c r="L471" s="16"/>
      <c r="M471" s="18" t="str">
        <f aca="false">IF(OR(C471="",D471=""),"",IF(MOD(COUNTIFS($C$2:C471,C471,$D$2:D471,D471)*7,10)&lt;3,"teste","treino"))</f>
        <v/>
      </c>
      <c r="N471" s="16"/>
      <c r="O471" s="16"/>
      <c r="P471" s="16"/>
      <c r="Q471" s="17"/>
    </row>
    <row r="472" customFormat="false" ht="15" hidden="false" customHeight="false" outlineLevel="0" collapsed="false">
      <c r="A472" s="15" t="str">
        <f aca="false">IF(B472="","",ROW()-1)</f>
        <v/>
      </c>
      <c r="B472" s="16"/>
      <c r="C472" s="16"/>
      <c r="D472" s="16"/>
      <c r="E472" s="16"/>
      <c r="F472" s="17"/>
      <c r="G472" s="16"/>
      <c r="H472" s="16"/>
      <c r="I472" s="16"/>
      <c r="J472" s="16"/>
      <c r="K472" s="16"/>
      <c r="L472" s="16"/>
      <c r="M472" s="18" t="str">
        <f aca="false">IF(OR(C472="",D472=""),"",IF(MOD(COUNTIFS($C$2:C472,C472,$D$2:D472,D472)*7,10)&lt;3,"teste","treino"))</f>
        <v/>
      </c>
      <c r="N472" s="16"/>
      <c r="O472" s="16"/>
      <c r="P472" s="16"/>
      <c r="Q472" s="17"/>
    </row>
    <row r="473" customFormat="false" ht="15" hidden="false" customHeight="false" outlineLevel="0" collapsed="false">
      <c r="A473" s="15" t="str">
        <f aca="false">IF(B473="","",ROW()-1)</f>
        <v/>
      </c>
      <c r="B473" s="16"/>
      <c r="C473" s="16"/>
      <c r="D473" s="16"/>
      <c r="E473" s="16"/>
      <c r="F473" s="17"/>
      <c r="G473" s="16"/>
      <c r="H473" s="16"/>
      <c r="I473" s="16"/>
      <c r="J473" s="16"/>
      <c r="K473" s="16"/>
      <c r="L473" s="16"/>
      <c r="M473" s="18" t="str">
        <f aca="false">IF(OR(C473="",D473=""),"",IF(MOD(COUNTIFS($C$2:C473,C473,$D$2:D473,D473)*7,10)&lt;3,"teste","treino"))</f>
        <v/>
      </c>
      <c r="N473" s="16"/>
      <c r="O473" s="16"/>
      <c r="P473" s="16"/>
      <c r="Q473" s="17"/>
    </row>
    <row r="474" customFormat="false" ht="15" hidden="false" customHeight="false" outlineLevel="0" collapsed="false">
      <c r="A474" s="15" t="str">
        <f aca="false">IF(B474="","",ROW()-1)</f>
        <v/>
      </c>
      <c r="B474" s="16"/>
      <c r="C474" s="16"/>
      <c r="D474" s="16"/>
      <c r="E474" s="16"/>
      <c r="F474" s="17"/>
      <c r="G474" s="16"/>
      <c r="H474" s="16"/>
      <c r="I474" s="16"/>
      <c r="J474" s="16"/>
      <c r="K474" s="16"/>
      <c r="L474" s="16"/>
      <c r="M474" s="18" t="str">
        <f aca="false">IF(OR(C474="",D474=""),"",IF(MOD(COUNTIFS($C$2:C474,C474,$D$2:D474,D474)*7,10)&lt;3,"teste","treino"))</f>
        <v/>
      </c>
      <c r="N474" s="16"/>
      <c r="O474" s="16"/>
      <c r="P474" s="16"/>
      <c r="Q474" s="17"/>
    </row>
    <row r="475" customFormat="false" ht="15" hidden="false" customHeight="false" outlineLevel="0" collapsed="false">
      <c r="A475" s="15" t="str">
        <f aca="false">IF(B475="","",ROW()-1)</f>
        <v/>
      </c>
      <c r="B475" s="16"/>
      <c r="C475" s="16"/>
      <c r="D475" s="16"/>
      <c r="E475" s="16"/>
      <c r="F475" s="17"/>
      <c r="G475" s="16"/>
      <c r="H475" s="16"/>
      <c r="I475" s="16"/>
      <c r="J475" s="16"/>
      <c r="K475" s="16"/>
      <c r="L475" s="16"/>
      <c r="M475" s="18" t="str">
        <f aca="false">IF(OR(C475="",D475=""),"",IF(MOD(COUNTIFS($C$2:C475,C475,$D$2:D475,D475)*7,10)&lt;3,"teste","treino"))</f>
        <v/>
      </c>
      <c r="N475" s="16"/>
      <c r="O475" s="16"/>
      <c r="P475" s="16"/>
      <c r="Q475" s="17"/>
    </row>
    <row r="476" customFormat="false" ht="15" hidden="false" customHeight="false" outlineLevel="0" collapsed="false">
      <c r="A476" s="15" t="str">
        <f aca="false">IF(B476="","",ROW()-1)</f>
        <v/>
      </c>
      <c r="B476" s="16"/>
      <c r="C476" s="16"/>
      <c r="D476" s="16"/>
      <c r="E476" s="16"/>
      <c r="F476" s="17"/>
      <c r="G476" s="16"/>
      <c r="H476" s="16"/>
      <c r="I476" s="16"/>
      <c r="J476" s="16"/>
      <c r="K476" s="16"/>
      <c r="L476" s="16"/>
      <c r="M476" s="18" t="str">
        <f aca="false">IF(OR(C476="",D476=""),"",IF(MOD(COUNTIFS($C$2:C476,C476,$D$2:D476,D476)*7,10)&lt;3,"teste","treino"))</f>
        <v/>
      </c>
      <c r="N476" s="16"/>
      <c r="O476" s="16"/>
      <c r="P476" s="16"/>
      <c r="Q476" s="17"/>
    </row>
    <row r="477" customFormat="false" ht="15" hidden="false" customHeight="false" outlineLevel="0" collapsed="false">
      <c r="A477" s="15" t="str">
        <f aca="false">IF(B477="","",ROW()-1)</f>
        <v/>
      </c>
      <c r="B477" s="16"/>
      <c r="C477" s="16"/>
      <c r="D477" s="16"/>
      <c r="E477" s="16"/>
      <c r="F477" s="17"/>
      <c r="G477" s="16"/>
      <c r="H477" s="16"/>
      <c r="I477" s="16"/>
      <c r="J477" s="16"/>
      <c r="K477" s="16"/>
      <c r="L477" s="16"/>
      <c r="M477" s="18" t="str">
        <f aca="false">IF(OR(C477="",D477=""),"",IF(MOD(COUNTIFS($C$2:C477,C477,$D$2:D477,D477)*7,10)&lt;3,"teste","treino"))</f>
        <v/>
      </c>
      <c r="N477" s="16"/>
      <c r="O477" s="16"/>
      <c r="P477" s="16"/>
      <c r="Q477" s="17"/>
    </row>
    <row r="478" customFormat="false" ht="15" hidden="false" customHeight="false" outlineLevel="0" collapsed="false">
      <c r="A478" s="15" t="str">
        <f aca="false">IF(B478="","",ROW()-1)</f>
        <v/>
      </c>
      <c r="B478" s="16"/>
      <c r="C478" s="16"/>
      <c r="D478" s="16"/>
      <c r="E478" s="16"/>
      <c r="F478" s="17"/>
      <c r="G478" s="16"/>
      <c r="H478" s="16"/>
      <c r="I478" s="16"/>
      <c r="J478" s="16"/>
      <c r="K478" s="16"/>
      <c r="L478" s="16"/>
      <c r="M478" s="18" t="str">
        <f aca="false">IF(OR(C478="",D478=""),"",IF(MOD(COUNTIFS($C$2:C478,C478,$D$2:D478,D478)*7,10)&lt;3,"teste","treino"))</f>
        <v/>
      </c>
      <c r="N478" s="16"/>
      <c r="O478" s="16"/>
      <c r="P478" s="16"/>
      <c r="Q478" s="17"/>
    </row>
    <row r="479" customFormat="false" ht="15" hidden="false" customHeight="false" outlineLevel="0" collapsed="false">
      <c r="A479" s="15" t="str">
        <f aca="false">IF(B479="","",ROW()-1)</f>
        <v/>
      </c>
      <c r="B479" s="16"/>
      <c r="C479" s="16"/>
      <c r="D479" s="16"/>
      <c r="E479" s="16"/>
      <c r="F479" s="17"/>
      <c r="G479" s="16"/>
      <c r="H479" s="16"/>
      <c r="I479" s="16"/>
      <c r="J479" s="16"/>
      <c r="K479" s="16"/>
      <c r="L479" s="16"/>
      <c r="M479" s="18" t="str">
        <f aca="false">IF(OR(C479="",D479=""),"",IF(MOD(COUNTIFS($C$2:C479,C479,$D$2:D479,D479)*7,10)&lt;3,"teste","treino"))</f>
        <v/>
      </c>
      <c r="N479" s="16"/>
      <c r="O479" s="16"/>
      <c r="P479" s="16"/>
      <c r="Q479" s="17"/>
    </row>
    <row r="480" customFormat="false" ht="15" hidden="false" customHeight="false" outlineLevel="0" collapsed="false">
      <c r="A480" s="15" t="str">
        <f aca="false">IF(B480="","",ROW()-1)</f>
        <v/>
      </c>
      <c r="B480" s="16"/>
      <c r="C480" s="16"/>
      <c r="D480" s="16"/>
      <c r="E480" s="16"/>
      <c r="F480" s="17"/>
      <c r="G480" s="16"/>
      <c r="H480" s="16"/>
      <c r="I480" s="16"/>
      <c r="J480" s="16"/>
      <c r="K480" s="16"/>
      <c r="L480" s="16"/>
      <c r="M480" s="18" t="str">
        <f aca="false">IF(OR(C480="",D480=""),"",IF(MOD(COUNTIFS($C$2:C480,C480,$D$2:D480,D480)*7,10)&lt;3,"teste","treino"))</f>
        <v/>
      </c>
      <c r="N480" s="16"/>
      <c r="O480" s="16"/>
      <c r="P480" s="16"/>
      <c r="Q480" s="17"/>
    </row>
    <row r="481" customFormat="false" ht="15" hidden="false" customHeight="false" outlineLevel="0" collapsed="false">
      <c r="A481" s="15" t="str">
        <f aca="false">IF(B481="","",ROW()-1)</f>
        <v/>
      </c>
      <c r="B481" s="16"/>
      <c r="C481" s="16"/>
      <c r="D481" s="16"/>
      <c r="E481" s="16"/>
      <c r="F481" s="17"/>
      <c r="G481" s="16"/>
      <c r="H481" s="16"/>
      <c r="I481" s="16"/>
      <c r="J481" s="16"/>
      <c r="K481" s="16"/>
      <c r="L481" s="16"/>
      <c r="M481" s="18" t="str">
        <f aca="false">IF(OR(C481="",D481=""),"",IF(MOD(COUNTIFS($C$2:C481,C481,$D$2:D481,D481)*7,10)&lt;3,"teste","treino"))</f>
        <v/>
      </c>
      <c r="N481" s="16"/>
      <c r="O481" s="16"/>
      <c r="P481" s="16"/>
      <c r="Q481" s="17"/>
    </row>
    <row r="482" customFormat="false" ht="15" hidden="false" customHeight="false" outlineLevel="0" collapsed="false">
      <c r="A482" s="15" t="str">
        <f aca="false">IF(B482="","",ROW()-1)</f>
        <v/>
      </c>
      <c r="B482" s="16"/>
      <c r="C482" s="16"/>
      <c r="D482" s="16"/>
      <c r="E482" s="16"/>
      <c r="F482" s="17"/>
      <c r="G482" s="16"/>
      <c r="H482" s="16"/>
      <c r="I482" s="16"/>
      <c r="J482" s="16"/>
      <c r="K482" s="16"/>
      <c r="L482" s="16"/>
      <c r="M482" s="18" t="str">
        <f aca="false">IF(OR(C482="",D482=""),"",IF(MOD(COUNTIFS($C$2:C482,C482,$D$2:D482,D482)*7,10)&lt;3,"teste","treino"))</f>
        <v/>
      </c>
      <c r="N482" s="16"/>
      <c r="O482" s="16"/>
      <c r="P482" s="16"/>
      <c r="Q482" s="17"/>
    </row>
    <row r="483" customFormat="false" ht="15" hidden="false" customHeight="false" outlineLevel="0" collapsed="false">
      <c r="A483" s="15" t="str">
        <f aca="false">IF(B483="","",ROW()-1)</f>
        <v/>
      </c>
      <c r="B483" s="16"/>
      <c r="C483" s="16"/>
      <c r="D483" s="16"/>
      <c r="E483" s="16"/>
      <c r="F483" s="17"/>
      <c r="G483" s="16"/>
      <c r="H483" s="16"/>
      <c r="I483" s="16"/>
      <c r="J483" s="16"/>
      <c r="K483" s="16"/>
      <c r="L483" s="16"/>
      <c r="M483" s="18" t="str">
        <f aca="false">IF(OR(C483="",D483=""),"",IF(MOD(COUNTIFS($C$2:C483,C483,$D$2:D483,D483)*7,10)&lt;3,"teste","treino"))</f>
        <v/>
      </c>
      <c r="N483" s="16"/>
      <c r="O483" s="16"/>
      <c r="P483" s="16"/>
      <c r="Q483" s="17"/>
    </row>
    <row r="484" customFormat="false" ht="15" hidden="false" customHeight="false" outlineLevel="0" collapsed="false">
      <c r="A484" s="15" t="str">
        <f aca="false">IF(B484="","",ROW()-1)</f>
        <v/>
      </c>
      <c r="B484" s="16"/>
      <c r="C484" s="16"/>
      <c r="D484" s="16"/>
      <c r="E484" s="16"/>
      <c r="F484" s="17"/>
      <c r="G484" s="16"/>
      <c r="H484" s="16"/>
      <c r="I484" s="16"/>
      <c r="J484" s="16"/>
      <c r="K484" s="16"/>
      <c r="L484" s="16"/>
      <c r="M484" s="18" t="str">
        <f aca="false">IF(OR(C484="",D484=""),"",IF(MOD(COUNTIFS($C$2:C484,C484,$D$2:D484,D484)*7,10)&lt;3,"teste","treino"))</f>
        <v/>
      </c>
      <c r="N484" s="16"/>
      <c r="O484" s="16"/>
      <c r="P484" s="16"/>
      <c r="Q484" s="17"/>
    </row>
    <row r="485" customFormat="false" ht="15" hidden="false" customHeight="false" outlineLevel="0" collapsed="false">
      <c r="A485" s="15" t="str">
        <f aca="false">IF(B485="","",ROW()-1)</f>
        <v/>
      </c>
      <c r="B485" s="16"/>
      <c r="C485" s="16"/>
      <c r="D485" s="16"/>
      <c r="E485" s="16"/>
      <c r="F485" s="17"/>
      <c r="G485" s="16"/>
      <c r="H485" s="16"/>
      <c r="I485" s="16"/>
      <c r="J485" s="16"/>
      <c r="K485" s="16"/>
      <c r="L485" s="16"/>
      <c r="M485" s="18" t="str">
        <f aca="false">IF(OR(C485="",D485=""),"",IF(MOD(COUNTIFS($C$2:C485,C485,$D$2:D485,D485)*7,10)&lt;3,"teste","treino"))</f>
        <v/>
      </c>
      <c r="N485" s="16"/>
      <c r="O485" s="16"/>
      <c r="P485" s="16"/>
      <c r="Q485" s="17"/>
    </row>
    <row r="486" customFormat="false" ht="15" hidden="false" customHeight="false" outlineLevel="0" collapsed="false">
      <c r="A486" s="15" t="str">
        <f aca="false">IF(B486="","",ROW()-1)</f>
        <v/>
      </c>
      <c r="B486" s="16"/>
      <c r="C486" s="16"/>
      <c r="D486" s="16"/>
      <c r="E486" s="16"/>
      <c r="F486" s="17"/>
      <c r="G486" s="16"/>
      <c r="H486" s="16"/>
      <c r="I486" s="16"/>
      <c r="J486" s="16"/>
      <c r="K486" s="16"/>
      <c r="L486" s="16"/>
      <c r="M486" s="18" t="str">
        <f aca="false">IF(OR(C486="",D486=""),"",IF(MOD(COUNTIFS($C$2:C486,C486,$D$2:D486,D486)*7,10)&lt;3,"teste","treino"))</f>
        <v/>
      </c>
      <c r="N486" s="16"/>
      <c r="O486" s="16"/>
      <c r="P486" s="16"/>
      <c r="Q486" s="17"/>
    </row>
    <row r="487" customFormat="false" ht="15" hidden="false" customHeight="false" outlineLevel="0" collapsed="false">
      <c r="A487" s="15" t="str">
        <f aca="false">IF(B487="","",ROW()-1)</f>
        <v/>
      </c>
      <c r="B487" s="16"/>
      <c r="C487" s="16"/>
      <c r="D487" s="16"/>
      <c r="E487" s="16"/>
      <c r="F487" s="17"/>
      <c r="G487" s="16"/>
      <c r="H487" s="16"/>
      <c r="I487" s="16"/>
      <c r="J487" s="16"/>
      <c r="K487" s="16"/>
      <c r="L487" s="16"/>
      <c r="M487" s="18" t="str">
        <f aca="false">IF(OR(C487="",D487=""),"",IF(MOD(COUNTIFS($C$2:C487,C487,$D$2:D487,D487)*7,10)&lt;3,"teste","treino"))</f>
        <v/>
      </c>
      <c r="N487" s="16"/>
      <c r="O487" s="16"/>
      <c r="P487" s="16"/>
      <c r="Q487" s="17"/>
    </row>
    <row r="488" customFormat="false" ht="15" hidden="false" customHeight="false" outlineLevel="0" collapsed="false">
      <c r="A488" s="15" t="str">
        <f aca="false">IF(B488="","",ROW()-1)</f>
        <v/>
      </c>
      <c r="B488" s="16"/>
      <c r="C488" s="16"/>
      <c r="D488" s="16"/>
      <c r="E488" s="16"/>
      <c r="F488" s="17"/>
      <c r="G488" s="16"/>
      <c r="H488" s="16"/>
      <c r="I488" s="16"/>
      <c r="J488" s="16"/>
      <c r="K488" s="16"/>
      <c r="L488" s="16"/>
      <c r="M488" s="18" t="str">
        <f aca="false">IF(OR(C488="",D488=""),"",IF(MOD(COUNTIFS($C$2:C488,C488,$D$2:D488,D488)*7,10)&lt;3,"teste","treino"))</f>
        <v/>
      </c>
      <c r="N488" s="16"/>
      <c r="O488" s="16"/>
      <c r="P488" s="16"/>
      <c r="Q488" s="17"/>
    </row>
    <row r="489" customFormat="false" ht="15" hidden="false" customHeight="false" outlineLevel="0" collapsed="false">
      <c r="A489" s="15" t="str">
        <f aca="false">IF(B489="","",ROW()-1)</f>
        <v/>
      </c>
      <c r="B489" s="16"/>
      <c r="C489" s="16"/>
      <c r="D489" s="16"/>
      <c r="E489" s="16"/>
      <c r="F489" s="17"/>
      <c r="G489" s="16"/>
      <c r="H489" s="16"/>
      <c r="I489" s="16"/>
      <c r="J489" s="16"/>
      <c r="K489" s="16"/>
      <c r="L489" s="16"/>
      <c r="M489" s="18" t="str">
        <f aca="false">IF(OR(C489="",D489=""),"",IF(MOD(COUNTIFS($C$2:C489,C489,$D$2:D489,D489)*7,10)&lt;3,"teste","treino"))</f>
        <v/>
      </c>
      <c r="N489" s="16"/>
      <c r="O489" s="16"/>
      <c r="P489" s="16"/>
      <c r="Q489" s="17"/>
    </row>
    <row r="490" customFormat="false" ht="15" hidden="false" customHeight="false" outlineLevel="0" collapsed="false">
      <c r="A490" s="15" t="str">
        <f aca="false">IF(B490="","",ROW()-1)</f>
        <v/>
      </c>
      <c r="B490" s="16"/>
      <c r="C490" s="16"/>
      <c r="D490" s="16"/>
      <c r="E490" s="16"/>
      <c r="F490" s="17"/>
      <c r="G490" s="16"/>
      <c r="H490" s="16"/>
      <c r="I490" s="16"/>
      <c r="J490" s="16"/>
      <c r="K490" s="16"/>
      <c r="L490" s="16"/>
      <c r="M490" s="18" t="str">
        <f aca="false">IF(OR(C490="",D490=""),"",IF(MOD(COUNTIFS($C$2:C490,C490,$D$2:D490,D490)*7,10)&lt;3,"teste","treino"))</f>
        <v/>
      </c>
      <c r="N490" s="16"/>
      <c r="O490" s="16"/>
      <c r="P490" s="16"/>
      <c r="Q490" s="17"/>
    </row>
    <row r="491" customFormat="false" ht="15" hidden="false" customHeight="false" outlineLevel="0" collapsed="false">
      <c r="A491" s="15" t="str">
        <f aca="false">IF(B491="","",ROW()-1)</f>
        <v/>
      </c>
      <c r="B491" s="16"/>
      <c r="C491" s="16"/>
      <c r="D491" s="16"/>
      <c r="E491" s="16"/>
      <c r="F491" s="17"/>
      <c r="G491" s="16"/>
      <c r="H491" s="16"/>
      <c r="I491" s="16"/>
      <c r="J491" s="16"/>
      <c r="K491" s="16"/>
      <c r="L491" s="16"/>
      <c r="M491" s="18" t="str">
        <f aca="false">IF(OR(C491="",D491=""),"",IF(MOD(COUNTIFS($C$2:C491,C491,$D$2:D491,D491)*7,10)&lt;3,"teste","treino"))</f>
        <v/>
      </c>
      <c r="N491" s="16"/>
      <c r="O491" s="16"/>
      <c r="P491" s="16"/>
      <c r="Q491" s="17"/>
    </row>
    <row r="492" customFormat="false" ht="15" hidden="false" customHeight="false" outlineLevel="0" collapsed="false">
      <c r="A492" s="15" t="str">
        <f aca="false">IF(B492="","",ROW()-1)</f>
        <v/>
      </c>
      <c r="B492" s="16"/>
      <c r="C492" s="16"/>
      <c r="D492" s="16"/>
      <c r="E492" s="16"/>
      <c r="F492" s="17"/>
      <c r="G492" s="16"/>
      <c r="H492" s="16"/>
      <c r="I492" s="16"/>
      <c r="J492" s="16"/>
      <c r="K492" s="16"/>
      <c r="L492" s="16"/>
      <c r="M492" s="18" t="str">
        <f aca="false">IF(OR(C492="",D492=""),"",IF(MOD(COUNTIFS($C$2:C492,C492,$D$2:D492,D492)*7,10)&lt;3,"teste","treino"))</f>
        <v/>
      </c>
      <c r="N492" s="16"/>
      <c r="O492" s="16"/>
      <c r="P492" s="16"/>
      <c r="Q492" s="17"/>
    </row>
    <row r="493" customFormat="false" ht="15" hidden="false" customHeight="false" outlineLevel="0" collapsed="false">
      <c r="A493" s="15" t="str">
        <f aca="false">IF(B493="","",ROW()-1)</f>
        <v/>
      </c>
      <c r="B493" s="16"/>
      <c r="C493" s="16"/>
      <c r="D493" s="16"/>
      <c r="E493" s="16"/>
      <c r="F493" s="17"/>
      <c r="G493" s="16"/>
      <c r="H493" s="16"/>
      <c r="I493" s="16"/>
      <c r="J493" s="16"/>
      <c r="K493" s="16"/>
      <c r="L493" s="16"/>
      <c r="M493" s="18" t="str">
        <f aca="false">IF(OR(C493="",D493=""),"",IF(MOD(COUNTIFS($C$2:C493,C493,$D$2:D493,D493)*7,10)&lt;3,"teste","treino"))</f>
        <v/>
      </c>
      <c r="N493" s="16"/>
      <c r="O493" s="16"/>
      <c r="P493" s="16"/>
      <c r="Q493" s="17"/>
    </row>
    <row r="494" customFormat="false" ht="15" hidden="false" customHeight="false" outlineLevel="0" collapsed="false">
      <c r="A494" s="15" t="str">
        <f aca="false">IF(B494="","",ROW()-1)</f>
        <v/>
      </c>
      <c r="B494" s="16"/>
      <c r="C494" s="16"/>
      <c r="D494" s="16"/>
      <c r="E494" s="16"/>
      <c r="F494" s="17"/>
      <c r="G494" s="16"/>
      <c r="H494" s="16"/>
      <c r="I494" s="16"/>
      <c r="J494" s="16"/>
      <c r="K494" s="16"/>
      <c r="L494" s="16"/>
      <c r="M494" s="18" t="str">
        <f aca="false">IF(OR(C494="",D494=""),"",IF(MOD(COUNTIFS($C$2:C494,C494,$D$2:D494,D494)*7,10)&lt;3,"teste","treino"))</f>
        <v/>
      </c>
      <c r="N494" s="16"/>
      <c r="O494" s="16"/>
      <c r="P494" s="16"/>
      <c r="Q494" s="17"/>
    </row>
    <row r="495" customFormat="false" ht="15" hidden="false" customHeight="false" outlineLevel="0" collapsed="false">
      <c r="A495" s="15" t="str">
        <f aca="false">IF(B495="","",ROW()-1)</f>
        <v/>
      </c>
      <c r="B495" s="16"/>
      <c r="C495" s="16"/>
      <c r="D495" s="16"/>
      <c r="E495" s="16"/>
      <c r="F495" s="17"/>
      <c r="G495" s="16"/>
      <c r="H495" s="16"/>
      <c r="I495" s="16"/>
      <c r="J495" s="16"/>
      <c r="K495" s="16"/>
      <c r="L495" s="16"/>
      <c r="M495" s="18" t="str">
        <f aca="false">IF(OR(C495="",D495=""),"",IF(MOD(COUNTIFS($C$2:C495,C495,$D$2:D495,D495)*7,10)&lt;3,"teste","treino"))</f>
        <v/>
      </c>
      <c r="N495" s="16"/>
      <c r="O495" s="16"/>
      <c r="P495" s="16"/>
      <c r="Q495" s="17"/>
    </row>
    <row r="496" customFormat="false" ht="15" hidden="false" customHeight="false" outlineLevel="0" collapsed="false">
      <c r="A496" s="15" t="str">
        <f aca="false">IF(B496="","",ROW()-1)</f>
        <v/>
      </c>
      <c r="B496" s="16"/>
      <c r="C496" s="16"/>
      <c r="D496" s="16"/>
      <c r="E496" s="16"/>
      <c r="F496" s="17"/>
      <c r="G496" s="16"/>
      <c r="H496" s="16"/>
      <c r="I496" s="16"/>
      <c r="J496" s="16"/>
      <c r="K496" s="16"/>
      <c r="L496" s="16"/>
      <c r="M496" s="18" t="str">
        <f aca="false">IF(OR(C496="",D496=""),"",IF(MOD(COUNTIFS($C$2:C496,C496,$D$2:D496,D496)*7,10)&lt;3,"teste","treino"))</f>
        <v/>
      </c>
      <c r="N496" s="16"/>
      <c r="O496" s="16"/>
      <c r="P496" s="16"/>
      <c r="Q496" s="17"/>
    </row>
    <row r="497" customFormat="false" ht="15" hidden="false" customHeight="false" outlineLevel="0" collapsed="false">
      <c r="A497" s="15" t="str">
        <f aca="false">IF(B497="","",ROW()-1)</f>
        <v/>
      </c>
      <c r="B497" s="16"/>
      <c r="C497" s="16"/>
      <c r="D497" s="16"/>
      <c r="E497" s="16"/>
      <c r="F497" s="17"/>
      <c r="G497" s="16"/>
      <c r="H497" s="16"/>
      <c r="I497" s="16"/>
      <c r="J497" s="16"/>
      <c r="K497" s="16"/>
      <c r="L497" s="16"/>
      <c r="M497" s="18" t="str">
        <f aca="false">IF(OR(C497="",D497=""),"",IF(MOD(COUNTIFS($C$2:C497,C497,$D$2:D497,D497)*7,10)&lt;3,"teste","treino"))</f>
        <v/>
      </c>
      <c r="N497" s="16"/>
      <c r="O497" s="16"/>
      <c r="P497" s="16"/>
      <c r="Q497" s="17"/>
    </row>
    <row r="498" customFormat="false" ht="15" hidden="false" customHeight="false" outlineLevel="0" collapsed="false">
      <c r="A498" s="15" t="str">
        <f aca="false">IF(B498="","",ROW()-1)</f>
        <v/>
      </c>
      <c r="B498" s="16"/>
      <c r="C498" s="16"/>
      <c r="D498" s="16"/>
      <c r="E498" s="16"/>
      <c r="F498" s="17"/>
      <c r="G498" s="16"/>
      <c r="H498" s="16"/>
      <c r="I498" s="16"/>
      <c r="J498" s="16"/>
      <c r="K498" s="16"/>
      <c r="L498" s="16"/>
      <c r="M498" s="18" t="str">
        <f aca="false">IF(OR(C498="",D498=""),"",IF(MOD(COUNTIFS($C$2:C498,C498,$D$2:D498,D498)*7,10)&lt;3,"teste","treino"))</f>
        <v/>
      </c>
      <c r="N498" s="16"/>
      <c r="O498" s="16"/>
      <c r="P498" s="16"/>
      <c r="Q498" s="17"/>
    </row>
    <row r="499" customFormat="false" ht="15" hidden="false" customHeight="false" outlineLevel="0" collapsed="false">
      <c r="A499" s="15" t="str">
        <f aca="false">IF(B499="","",ROW()-1)</f>
        <v/>
      </c>
      <c r="B499" s="16"/>
      <c r="C499" s="16"/>
      <c r="D499" s="16"/>
      <c r="E499" s="16"/>
      <c r="F499" s="17"/>
      <c r="G499" s="16"/>
      <c r="H499" s="16"/>
      <c r="I499" s="16"/>
      <c r="J499" s="16"/>
      <c r="K499" s="16"/>
      <c r="L499" s="16"/>
      <c r="M499" s="18" t="str">
        <f aca="false">IF(OR(C499="",D499=""),"",IF(MOD(COUNTIFS($C$2:C499,C499,$D$2:D499,D499)*7,10)&lt;3,"teste","treino"))</f>
        <v/>
      </c>
      <c r="N499" s="16"/>
      <c r="O499" s="16"/>
      <c r="P499" s="16"/>
      <c r="Q499" s="17"/>
    </row>
    <row r="500" customFormat="false" ht="15" hidden="false" customHeight="false" outlineLevel="0" collapsed="false">
      <c r="A500" s="15" t="str">
        <f aca="false">IF(B500="","",ROW()-1)</f>
        <v/>
      </c>
      <c r="B500" s="16"/>
      <c r="C500" s="16"/>
      <c r="D500" s="16"/>
      <c r="E500" s="16"/>
      <c r="F500" s="17"/>
      <c r="G500" s="16"/>
      <c r="H500" s="16"/>
      <c r="I500" s="16"/>
      <c r="J500" s="16"/>
      <c r="K500" s="16"/>
      <c r="L500" s="16"/>
      <c r="M500" s="18" t="str">
        <f aca="false">IF(OR(C500="",D500=""),"",IF(MOD(COUNTIFS($C$2:C500,C500,$D$2:D500,D500)*7,10)&lt;3,"teste","treino"))</f>
        <v/>
      </c>
      <c r="N500" s="16"/>
      <c r="O500" s="16"/>
      <c r="P500" s="16"/>
      <c r="Q500" s="17"/>
    </row>
    <row r="501" customFormat="false" ht="15" hidden="false" customHeight="false" outlineLevel="0" collapsed="false">
      <c r="A501" s="15" t="str">
        <f aca="false">IF(B501="","",ROW()-1)</f>
        <v/>
      </c>
      <c r="B501" s="16"/>
      <c r="C501" s="16"/>
      <c r="D501" s="16"/>
      <c r="E501" s="16"/>
      <c r="F501" s="17"/>
      <c r="G501" s="16"/>
      <c r="H501" s="16"/>
      <c r="I501" s="16"/>
      <c r="J501" s="16"/>
      <c r="K501" s="16"/>
      <c r="L501" s="16"/>
      <c r="M501" s="18" t="str">
        <f aca="false">IF(OR(C501="",D501=""),"",IF(MOD(COUNTIFS($C$2:C501,C501,$D$2:D501,D501)*7,10)&lt;3,"teste","treino"))</f>
        <v/>
      </c>
      <c r="N501" s="16"/>
      <c r="O501" s="16"/>
      <c r="P501" s="16"/>
      <c r="Q501" s="17"/>
    </row>
    <row r="502" customFormat="false" ht="15" hidden="false" customHeight="false" outlineLevel="0" collapsed="false">
      <c r="A502" s="15" t="str">
        <f aca="false">IF(B502="","",ROW()-1)</f>
        <v/>
      </c>
      <c r="B502" s="16"/>
      <c r="C502" s="16"/>
      <c r="D502" s="16"/>
      <c r="E502" s="16"/>
      <c r="F502" s="17"/>
      <c r="G502" s="16"/>
      <c r="H502" s="16"/>
      <c r="I502" s="16"/>
      <c r="J502" s="16"/>
      <c r="K502" s="16"/>
      <c r="L502" s="16"/>
      <c r="M502" s="18" t="str">
        <f aca="false">IF(OR(C502="",D502=""),"",IF(MOD(COUNTIFS($C$2:C502,C502,$D$2:D502,D502)*7,10)&lt;3,"teste","treino"))</f>
        <v/>
      </c>
      <c r="N502" s="16"/>
      <c r="O502" s="16"/>
      <c r="P502" s="16"/>
      <c r="Q502" s="17"/>
    </row>
    <row r="503" customFormat="false" ht="15" hidden="false" customHeight="false" outlineLevel="0" collapsed="false">
      <c r="A503" s="15" t="str">
        <f aca="false">IF(B503="","",ROW()-1)</f>
        <v/>
      </c>
      <c r="B503" s="16"/>
      <c r="C503" s="16"/>
      <c r="D503" s="16"/>
      <c r="E503" s="16"/>
      <c r="F503" s="17"/>
      <c r="G503" s="16"/>
      <c r="H503" s="16"/>
      <c r="I503" s="16"/>
      <c r="J503" s="16"/>
      <c r="K503" s="16"/>
      <c r="L503" s="16"/>
      <c r="M503" s="18" t="str">
        <f aca="false">IF(OR(C503="",D503=""),"",IF(MOD(COUNTIFS($C$2:C503,C503,$D$2:D503,D503)*7,10)&lt;3,"teste","treino"))</f>
        <v/>
      </c>
      <c r="N503" s="16"/>
      <c r="O503" s="16"/>
      <c r="P503" s="16"/>
      <c r="Q503" s="17"/>
    </row>
    <row r="504" customFormat="false" ht="15" hidden="false" customHeight="false" outlineLevel="0" collapsed="false">
      <c r="A504" s="15" t="str">
        <f aca="false">IF(B504="","",ROW()-1)</f>
        <v/>
      </c>
      <c r="B504" s="16"/>
      <c r="C504" s="16"/>
      <c r="D504" s="16"/>
      <c r="E504" s="16"/>
      <c r="F504" s="17"/>
      <c r="G504" s="16"/>
      <c r="H504" s="16"/>
      <c r="I504" s="16"/>
      <c r="J504" s="16"/>
      <c r="K504" s="16"/>
      <c r="L504" s="16"/>
      <c r="M504" s="18" t="str">
        <f aca="false">IF(OR(C504="",D504=""),"",IF(MOD(COUNTIFS($C$2:C504,C504,$D$2:D504,D504)*7,10)&lt;3,"teste","treino"))</f>
        <v/>
      </c>
      <c r="N504" s="16"/>
      <c r="O504" s="16"/>
      <c r="P504" s="16"/>
      <c r="Q504" s="17"/>
    </row>
    <row r="505" customFormat="false" ht="15" hidden="false" customHeight="false" outlineLevel="0" collapsed="false">
      <c r="A505" s="15" t="str">
        <f aca="false">IF(B505="","",ROW()-1)</f>
        <v/>
      </c>
      <c r="B505" s="16"/>
      <c r="C505" s="16"/>
      <c r="D505" s="16"/>
      <c r="E505" s="16"/>
      <c r="F505" s="17"/>
      <c r="G505" s="16"/>
      <c r="H505" s="16"/>
      <c r="I505" s="16"/>
      <c r="J505" s="16"/>
      <c r="K505" s="16"/>
      <c r="L505" s="16"/>
      <c r="M505" s="18" t="str">
        <f aca="false">IF(OR(C505="",D505=""),"",IF(MOD(COUNTIFS($C$2:C505,C505,$D$2:D505,D505)*7,10)&lt;3,"teste","treino"))</f>
        <v/>
      </c>
      <c r="N505" s="16"/>
      <c r="O505" s="16"/>
      <c r="P505" s="16"/>
      <c r="Q505" s="17"/>
    </row>
    <row r="506" customFormat="false" ht="15" hidden="false" customHeight="false" outlineLevel="0" collapsed="false">
      <c r="A506" s="15" t="str">
        <f aca="false">IF(B506="","",ROW()-1)</f>
        <v/>
      </c>
      <c r="B506" s="16"/>
      <c r="C506" s="16"/>
      <c r="D506" s="16"/>
      <c r="E506" s="16"/>
      <c r="F506" s="17"/>
      <c r="G506" s="16"/>
      <c r="H506" s="16"/>
      <c r="I506" s="16"/>
      <c r="J506" s="16"/>
      <c r="K506" s="16"/>
      <c r="L506" s="16"/>
      <c r="M506" s="18" t="str">
        <f aca="false">IF(OR(C506="",D506=""),"",IF(MOD(COUNTIFS($C$2:C506,C506,$D$2:D506,D506)*7,10)&lt;3,"teste","treino"))</f>
        <v/>
      </c>
      <c r="N506" s="16"/>
      <c r="O506" s="16"/>
      <c r="P506" s="16"/>
      <c r="Q506" s="17"/>
    </row>
    <row r="507" customFormat="false" ht="15" hidden="false" customHeight="false" outlineLevel="0" collapsed="false">
      <c r="A507" s="15" t="str">
        <f aca="false">IF(B507="","",ROW()-1)</f>
        <v/>
      </c>
      <c r="B507" s="16"/>
      <c r="C507" s="16"/>
      <c r="D507" s="16"/>
      <c r="E507" s="16"/>
      <c r="F507" s="17"/>
      <c r="G507" s="16"/>
      <c r="H507" s="16"/>
      <c r="I507" s="16"/>
      <c r="J507" s="16"/>
      <c r="K507" s="16"/>
      <c r="L507" s="16"/>
      <c r="M507" s="18" t="str">
        <f aca="false">IF(OR(C507="",D507=""),"",IF(MOD(COUNTIFS($C$2:C507,C507,$D$2:D507,D507)*7,10)&lt;3,"teste","treino"))</f>
        <v/>
      </c>
      <c r="N507" s="16"/>
      <c r="O507" s="16"/>
      <c r="P507" s="16"/>
      <c r="Q507" s="17"/>
    </row>
    <row r="508" customFormat="false" ht="15" hidden="false" customHeight="false" outlineLevel="0" collapsed="false">
      <c r="A508" s="15" t="str">
        <f aca="false">IF(B508="","",ROW()-1)</f>
        <v/>
      </c>
      <c r="B508" s="16"/>
      <c r="C508" s="16"/>
      <c r="D508" s="16"/>
      <c r="E508" s="16"/>
      <c r="F508" s="17"/>
      <c r="G508" s="16"/>
      <c r="H508" s="16"/>
      <c r="I508" s="16"/>
      <c r="J508" s="16"/>
      <c r="K508" s="16"/>
      <c r="L508" s="16"/>
      <c r="M508" s="18" t="str">
        <f aca="false">IF(OR(C508="",D508=""),"",IF(MOD(COUNTIFS($C$2:C508,C508,$D$2:D508,D508)*7,10)&lt;3,"teste","treino"))</f>
        <v/>
      </c>
      <c r="N508" s="16"/>
      <c r="O508" s="16"/>
      <c r="P508" s="16"/>
      <c r="Q508" s="17"/>
    </row>
    <row r="509" customFormat="false" ht="15" hidden="false" customHeight="false" outlineLevel="0" collapsed="false">
      <c r="A509" s="15" t="str">
        <f aca="false">IF(B509="","",ROW()-1)</f>
        <v/>
      </c>
      <c r="B509" s="16"/>
      <c r="C509" s="16"/>
      <c r="D509" s="16"/>
      <c r="E509" s="16"/>
      <c r="F509" s="17"/>
      <c r="G509" s="16"/>
      <c r="H509" s="16"/>
      <c r="I509" s="16"/>
      <c r="J509" s="16"/>
      <c r="K509" s="16"/>
      <c r="L509" s="16"/>
      <c r="M509" s="18" t="str">
        <f aca="false">IF(OR(C509="",D509=""),"",IF(MOD(COUNTIFS($C$2:C509,C509,$D$2:D509,D509)*7,10)&lt;3,"teste","treino"))</f>
        <v/>
      </c>
      <c r="N509" s="16"/>
      <c r="O509" s="16"/>
      <c r="P509" s="16"/>
      <c r="Q509" s="17"/>
    </row>
    <row r="510" customFormat="false" ht="15" hidden="false" customHeight="false" outlineLevel="0" collapsed="false">
      <c r="A510" s="15" t="str">
        <f aca="false">IF(B510="","",ROW()-1)</f>
        <v/>
      </c>
      <c r="B510" s="16"/>
      <c r="C510" s="16"/>
      <c r="D510" s="16"/>
      <c r="E510" s="16"/>
      <c r="F510" s="17"/>
      <c r="G510" s="16"/>
      <c r="H510" s="16"/>
      <c r="I510" s="16"/>
      <c r="J510" s="16"/>
      <c r="K510" s="16"/>
      <c r="L510" s="16"/>
      <c r="M510" s="18" t="str">
        <f aca="false">IF(OR(C510="",D510=""),"",IF(MOD(COUNTIFS($C$2:C510,C510,$D$2:D510,D510)*7,10)&lt;3,"teste","treino"))</f>
        <v/>
      </c>
      <c r="N510" s="16"/>
      <c r="O510" s="16"/>
      <c r="P510" s="16"/>
      <c r="Q510" s="17"/>
    </row>
    <row r="511" customFormat="false" ht="15" hidden="false" customHeight="false" outlineLevel="0" collapsed="false">
      <c r="A511" s="15" t="str">
        <f aca="false">IF(B511="","",ROW()-1)</f>
        <v/>
      </c>
      <c r="B511" s="16"/>
      <c r="C511" s="16"/>
      <c r="D511" s="16"/>
      <c r="E511" s="16"/>
      <c r="F511" s="17"/>
      <c r="G511" s="16"/>
      <c r="H511" s="16"/>
      <c r="I511" s="16"/>
      <c r="J511" s="16"/>
      <c r="K511" s="16"/>
      <c r="L511" s="16"/>
      <c r="M511" s="18" t="str">
        <f aca="false">IF(OR(C511="",D511=""),"",IF(MOD(COUNTIFS($C$2:C511,C511,$D$2:D511,D511)*7,10)&lt;3,"teste","treino"))</f>
        <v/>
      </c>
      <c r="N511" s="16"/>
      <c r="O511" s="16"/>
      <c r="P511" s="16"/>
      <c r="Q511" s="17"/>
    </row>
    <row r="512" customFormat="false" ht="15" hidden="false" customHeight="false" outlineLevel="0" collapsed="false">
      <c r="A512" s="15" t="str">
        <f aca="false">IF(B512="","",ROW()-1)</f>
        <v/>
      </c>
      <c r="B512" s="16"/>
      <c r="C512" s="16"/>
      <c r="D512" s="16"/>
      <c r="E512" s="16"/>
      <c r="F512" s="17"/>
      <c r="G512" s="16"/>
      <c r="H512" s="16"/>
      <c r="I512" s="16"/>
      <c r="J512" s="16"/>
      <c r="K512" s="16"/>
      <c r="L512" s="16"/>
      <c r="M512" s="18" t="str">
        <f aca="false">IF(OR(C512="",D512=""),"",IF(MOD(COUNTIFS($C$2:C512,C512,$D$2:D512,D512)*7,10)&lt;3,"teste","treino"))</f>
        <v/>
      </c>
      <c r="N512" s="16"/>
      <c r="O512" s="16"/>
      <c r="P512" s="16"/>
      <c r="Q512" s="17"/>
    </row>
    <row r="513" customFormat="false" ht="15" hidden="false" customHeight="false" outlineLevel="0" collapsed="false">
      <c r="A513" s="15" t="str">
        <f aca="false">IF(B513="","",ROW()-1)</f>
        <v/>
      </c>
      <c r="B513" s="16"/>
      <c r="C513" s="16"/>
      <c r="D513" s="16"/>
      <c r="E513" s="16"/>
      <c r="F513" s="17"/>
      <c r="G513" s="16"/>
      <c r="H513" s="16"/>
      <c r="I513" s="16"/>
      <c r="J513" s="16"/>
      <c r="K513" s="16"/>
      <c r="L513" s="16"/>
      <c r="M513" s="18" t="str">
        <f aca="false">IF(OR(C513="",D513=""),"",IF(MOD(COUNTIFS($C$2:C513,C513,$D$2:D513,D513)*7,10)&lt;3,"teste","treino"))</f>
        <v/>
      </c>
      <c r="N513" s="16"/>
      <c r="O513" s="16"/>
      <c r="P513" s="16"/>
      <c r="Q513" s="17"/>
    </row>
    <row r="514" customFormat="false" ht="15" hidden="false" customHeight="false" outlineLevel="0" collapsed="false">
      <c r="A514" s="15" t="str">
        <f aca="false">IF(B514="","",ROW()-1)</f>
        <v/>
      </c>
      <c r="B514" s="16"/>
      <c r="C514" s="16"/>
      <c r="D514" s="16"/>
      <c r="E514" s="16"/>
      <c r="F514" s="17"/>
      <c r="G514" s="16"/>
      <c r="H514" s="16"/>
      <c r="I514" s="16"/>
      <c r="J514" s="16"/>
      <c r="K514" s="16"/>
      <c r="L514" s="16"/>
      <c r="M514" s="18" t="str">
        <f aca="false">IF(OR(C514="",D514=""),"",IF(MOD(COUNTIFS($C$2:C514,C514,$D$2:D514,D514)*7,10)&lt;3,"teste","treino"))</f>
        <v/>
      </c>
      <c r="N514" s="16"/>
      <c r="O514" s="16"/>
      <c r="P514" s="16"/>
      <c r="Q514" s="17"/>
    </row>
    <row r="515" customFormat="false" ht="15" hidden="false" customHeight="false" outlineLevel="0" collapsed="false">
      <c r="A515" s="15" t="str">
        <f aca="false">IF(B515="","",ROW()-1)</f>
        <v/>
      </c>
      <c r="B515" s="16"/>
      <c r="C515" s="16"/>
      <c r="D515" s="16"/>
      <c r="E515" s="16"/>
      <c r="F515" s="17"/>
      <c r="G515" s="16"/>
      <c r="H515" s="16"/>
      <c r="I515" s="16"/>
      <c r="J515" s="16"/>
      <c r="K515" s="16"/>
      <c r="L515" s="16"/>
      <c r="M515" s="18" t="str">
        <f aca="false">IF(OR(C515="",D515=""),"",IF(MOD(COUNTIFS($C$2:C515,C515,$D$2:D515,D515)*7,10)&lt;3,"teste","treino"))</f>
        <v/>
      </c>
      <c r="N515" s="16"/>
      <c r="O515" s="16"/>
      <c r="P515" s="16"/>
      <c r="Q515" s="17"/>
    </row>
    <row r="516" customFormat="false" ht="15" hidden="false" customHeight="false" outlineLevel="0" collapsed="false">
      <c r="A516" s="15" t="str">
        <f aca="false">IF(B516="","",ROW()-1)</f>
        <v/>
      </c>
      <c r="B516" s="16"/>
      <c r="C516" s="16"/>
      <c r="D516" s="16"/>
      <c r="E516" s="16"/>
      <c r="F516" s="17"/>
      <c r="G516" s="16"/>
      <c r="H516" s="16"/>
      <c r="I516" s="16"/>
      <c r="J516" s="16"/>
      <c r="K516" s="16"/>
      <c r="L516" s="16"/>
      <c r="M516" s="18" t="str">
        <f aca="false">IF(OR(C516="",D516=""),"",IF(MOD(COUNTIFS($C$2:C516,C516,$D$2:D516,D516)*7,10)&lt;3,"teste","treino"))</f>
        <v/>
      </c>
      <c r="N516" s="16"/>
      <c r="O516" s="16"/>
      <c r="P516" s="16"/>
      <c r="Q516" s="17"/>
    </row>
    <row r="517" customFormat="false" ht="15" hidden="false" customHeight="false" outlineLevel="0" collapsed="false">
      <c r="A517" s="15" t="str">
        <f aca="false">IF(B517="","",ROW()-1)</f>
        <v/>
      </c>
      <c r="B517" s="16"/>
      <c r="C517" s="16"/>
      <c r="D517" s="16"/>
      <c r="E517" s="16"/>
      <c r="F517" s="17"/>
      <c r="G517" s="16"/>
      <c r="H517" s="16"/>
      <c r="I517" s="16"/>
      <c r="J517" s="16"/>
      <c r="K517" s="16"/>
      <c r="L517" s="16"/>
      <c r="M517" s="18" t="str">
        <f aca="false">IF(OR(C517="",D517=""),"",IF(MOD(COUNTIFS($C$2:C517,C517,$D$2:D517,D517)*7,10)&lt;3,"teste","treino"))</f>
        <v/>
      </c>
      <c r="N517" s="16"/>
      <c r="O517" s="16"/>
      <c r="P517" s="16"/>
      <c r="Q517" s="17"/>
    </row>
    <row r="518" customFormat="false" ht="15" hidden="false" customHeight="false" outlineLevel="0" collapsed="false">
      <c r="A518" s="15" t="str">
        <f aca="false">IF(B518="","",ROW()-1)</f>
        <v/>
      </c>
      <c r="B518" s="16"/>
      <c r="C518" s="16"/>
      <c r="D518" s="16"/>
      <c r="E518" s="16"/>
      <c r="F518" s="17"/>
      <c r="G518" s="16"/>
      <c r="H518" s="16"/>
      <c r="I518" s="16"/>
      <c r="J518" s="16"/>
      <c r="K518" s="16"/>
      <c r="L518" s="16"/>
      <c r="M518" s="18" t="str">
        <f aca="false">IF(OR(C518="",D518=""),"",IF(MOD(COUNTIFS($C$2:C518,C518,$D$2:D518,D518)*7,10)&lt;3,"teste","treino"))</f>
        <v/>
      </c>
      <c r="N518" s="16"/>
      <c r="O518" s="16"/>
      <c r="P518" s="16"/>
      <c r="Q518" s="17"/>
    </row>
    <row r="519" customFormat="false" ht="15" hidden="false" customHeight="false" outlineLevel="0" collapsed="false">
      <c r="A519" s="15" t="str">
        <f aca="false">IF(B519="","",ROW()-1)</f>
        <v/>
      </c>
      <c r="B519" s="16"/>
      <c r="C519" s="16"/>
      <c r="D519" s="16"/>
      <c r="E519" s="16"/>
      <c r="F519" s="17"/>
      <c r="G519" s="16"/>
      <c r="H519" s="16"/>
      <c r="I519" s="16"/>
      <c r="J519" s="16"/>
      <c r="K519" s="16"/>
      <c r="L519" s="16"/>
      <c r="M519" s="18" t="str">
        <f aca="false">IF(OR(C519="",D519=""),"",IF(MOD(COUNTIFS($C$2:C519,C519,$D$2:D519,D519)*7,10)&lt;3,"teste","treino"))</f>
        <v/>
      </c>
      <c r="N519" s="16"/>
      <c r="O519" s="16"/>
      <c r="P519" s="16"/>
      <c r="Q519" s="17"/>
    </row>
    <row r="520" customFormat="false" ht="15" hidden="false" customHeight="false" outlineLevel="0" collapsed="false">
      <c r="A520" s="15" t="str">
        <f aca="false">IF(B520="","",ROW()-1)</f>
        <v/>
      </c>
      <c r="B520" s="16"/>
      <c r="C520" s="16"/>
      <c r="D520" s="16"/>
      <c r="E520" s="16"/>
      <c r="F520" s="17"/>
      <c r="G520" s="16"/>
      <c r="H520" s="16"/>
      <c r="I520" s="16"/>
      <c r="J520" s="16"/>
      <c r="K520" s="16"/>
      <c r="L520" s="16"/>
      <c r="M520" s="18" t="str">
        <f aca="false">IF(OR(C520="",D520=""),"",IF(MOD(COUNTIFS($C$2:C520,C520,$D$2:D520,D520)*7,10)&lt;3,"teste","treino"))</f>
        <v/>
      </c>
      <c r="N520" s="16"/>
      <c r="O520" s="16"/>
      <c r="P520" s="16"/>
      <c r="Q520" s="17"/>
    </row>
    <row r="521" customFormat="false" ht="15" hidden="false" customHeight="false" outlineLevel="0" collapsed="false">
      <c r="A521" s="15" t="str">
        <f aca="false">IF(B521="","",ROW()-1)</f>
        <v/>
      </c>
      <c r="B521" s="16"/>
      <c r="C521" s="16"/>
      <c r="D521" s="16"/>
      <c r="E521" s="16"/>
      <c r="F521" s="17"/>
      <c r="G521" s="16"/>
      <c r="H521" s="16"/>
      <c r="I521" s="16"/>
      <c r="J521" s="16"/>
      <c r="K521" s="16"/>
      <c r="L521" s="16"/>
      <c r="M521" s="18" t="str">
        <f aca="false">IF(OR(C521="",D521=""),"",IF(MOD(COUNTIFS($C$2:C521,C521,$D$2:D521,D521)*7,10)&lt;3,"teste","treino"))</f>
        <v/>
      </c>
      <c r="N521" s="16"/>
      <c r="O521" s="16"/>
      <c r="P521" s="16"/>
      <c r="Q521" s="17"/>
    </row>
    <row r="522" customFormat="false" ht="15" hidden="false" customHeight="false" outlineLevel="0" collapsed="false">
      <c r="A522" s="15" t="str">
        <f aca="false">IF(B522="","",ROW()-1)</f>
        <v/>
      </c>
      <c r="B522" s="16"/>
      <c r="C522" s="16"/>
      <c r="D522" s="16"/>
      <c r="E522" s="16"/>
      <c r="F522" s="17"/>
      <c r="G522" s="16"/>
      <c r="H522" s="16"/>
      <c r="I522" s="16"/>
      <c r="J522" s="16"/>
      <c r="K522" s="16"/>
      <c r="L522" s="16"/>
      <c r="M522" s="18" t="str">
        <f aca="false">IF(OR(C522="",D522=""),"",IF(MOD(COUNTIFS($C$2:C522,C522,$D$2:D522,D522)*7,10)&lt;3,"teste","treino"))</f>
        <v/>
      </c>
      <c r="N522" s="16"/>
      <c r="O522" s="16"/>
      <c r="P522" s="16"/>
      <c r="Q522" s="17"/>
    </row>
    <row r="523" customFormat="false" ht="15" hidden="false" customHeight="false" outlineLevel="0" collapsed="false">
      <c r="A523" s="15" t="str">
        <f aca="false">IF(B523="","",ROW()-1)</f>
        <v/>
      </c>
      <c r="B523" s="16"/>
      <c r="C523" s="16"/>
      <c r="D523" s="16"/>
      <c r="E523" s="16"/>
      <c r="F523" s="17"/>
      <c r="G523" s="16"/>
      <c r="H523" s="16"/>
      <c r="I523" s="16"/>
      <c r="J523" s="16"/>
      <c r="K523" s="16"/>
      <c r="L523" s="16"/>
      <c r="M523" s="18" t="str">
        <f aca="false">IF(OR(C523="",D523=""),"",IF(MOD(COUNTIFS($C$2:C523,C523,$D$2:D523,D523)*7,10)&lt;3,"teste","treino"))</f>
        <v/>
      </c>
      <c r="N523" s="16"/>
      <c r="O523" s="16"/>
      <c r="P523" s="16"/>
      <c r="Q523" s="17"/>
    </row>
    <row r="524" customFormat="false" ht="15" hidden="false" customHeight="false" outlineLevel="0" collapsed="false">
      <c r="A524" s="15" t="str">
        <f aca="false">IF(B524="","",ROW()-1)</f>
        <v/>
      </c>
      <c r="B524" s="16"/>
      <c r="C524" s="16"/>
      <c r="D524" s="16"/>
      <c r="E524" s="16"/>
      <c r="F524" s="17"/>
      <c r="G524" s="16"/>
      <c r="H524" s="16"/>
      <c r="I524" s="16"/>
      <c r="J524" s="16"/>
      <c r="K524" s="16"/>
      <c r="L524" s="16"/>
      <c r="M524" s="18" t="str">
        <f aca="false">IF(OR(C524="",D524=""),"",IF(MOD(COUNTIFS($C$2:C524,C524,$D$2:D524,D524)*7,10)&lt;3,"teste","treino"))</f>
        <v/>
      </c>
      <c r="N524" s="16"/>
      <c r="O524" s="16"/>
      <c r="P524" s="16"/>
      <c r="Q524" s="17"/>
    </row>
    <row r="525" customFormat="false" ht="15" hidden="false" customHeight="false" outlineLevel="0" collapsed="false">
      <c r="A525" s="15" t="str">
        <f aca="false">IF(B525="","",ROW()-1)</f>
        <v/>
      </c>
      <c r="B525" s="16"/>
      <c r="C525" s="16"/>
      <c r="D525" s="16"/>
      <c r="E525" s="16"/>
      <c r="F525" s="17"/>
      <c r="G525" s="16"/>
      <c r="H525" s="16"/>
      <c r="I525" s="16"/>
      <c r="J525" s="16"/>
      <c r="K525" s="16"/>
      <c r="L525" s="16"/>
      <c r="M525" s="18" t="str">
        <f aca="false">IF(OR(C525="",D525=""),"",IF(MOD(COUNTIFS($C$2:C525,C525,$D$2:D525,D525)*7,10)&lt;3,"teste","treino"))</f>
        <v/>
      </c>
      <c r="N525" s="16"/>
      <c r="O525" s="16"/>
      <c r="P525" s="16"/>
      <c r="Q525" s="17"/>
    </row>
    <row r="526" customFormat="false" ht="15" hidden="false" customHeight="false" outlineLevel="0" collapsed="false">
      <c r="A526" s="15" t="str">
        <f aca="false">IF(B526="","",ROW()-1)</f>
        <v/>
      </c>
      <c r="B526" s="16"/>
      <c r="C526" s="16"/>
      <c r="D526" s="16"/>
      <c r="E526" s="16"/>
      <c r="F526" s="17"/>
      <c r="G526" s="16"/>
      <c r="H526" s="16"/>
      <c r="I526" s="16"/>
      <c r="J526" s="16"/>
      <c r="K526" s="16"/>
      <c r="L526" s="16"/>
      <c r="M526" s="18" t="str">
        <f aca="false">IF(OR(C526="",D526=""),"",IF(MOD(COUNTIFS($C$2:C526,C526,$D$2:D526,D526)*7,10)&lt;3,"teste","treino"))</f>
        <v/>
      </c>
      <c r="N526" s="16"/>
      <c r="O526" s="16"/>
      <c r="P526" s="16"/>
      <c r="Q526" s="17"/>
    </row>
    <row r="527" customFormat="false" ht="15" hidden="false" customHeight="false" outlineLevel="0" collapsed="false">
      <c r="A527" s="15" t="str">
        <f aca="false">IF(B527="","",ROW()-1)</f>
        <v/>
      </c>
      <c r="B527" s="16"/>
      <c r="C527" s="16"/>
      <c r="D527" s="16"/>
      <c r="E527" s="16"/>
      <c r="F527" s="17"/>
      <c r="G527" s="16"/>
      <c r="H527" s="16"/>
      <c r="I527" s="16"/>
      <c r="J527" s="16"/>
      <c r="K527" s="16"/>
      <c r="L527" s="16"/>
      <c r="M527" s="18" t="str">
        <f aca="false">IF(OR(C527="",D527=""),"",IF(MOD(COUNTIFS($C$2:C527,C527,$D$2:D527,D527)*7,10)&lt;3,"teste","treino"))</f>
        <v/>
      </c>
      <c r="N527" s="16"/>
      <c r="O527" s="16"/>
      <c r="P527" s="16"/>
      <c r="Q527" s="17"/>
    </row>
    <row r="528" customFormat="false" ht="15" hidden="false" customHeight="false" outlineLevel="0" collapsed="false">
      <c r="A528" s="15" t="str">
        <f aca="false">IF(B528="","",ROW()-1)</f>
        <v/>
      </c>
      <c r="B528" s="16"/>
      <c r="C528" s="16"/>
      <c r="D528" s="16"/>
      <c r="E528" s="16"/>
      <c r="F528" s="17"/>
      <c r="G528" s="16"/>
      <c r="H528" s="16"/>
      <c r="I528" s="16"/>
      <c r="J528" s="16"/>
      <c r="K528" s="16"/>
      <c r="L528" s="16"/>
      <c r="M528" s="18" t="str">
        <f aca="false">IF(OR(C528="",D528=""),"",IF(MOD(COUNTIFS($C$2:C528,C528,$D$2:D528,D528)*7,10)&lt;3,"teste","treino"))</f>
        <v/>
      </c>
      <c r="N528" s="16"/>
      <c r="O528" s="16"/>
      <c r="P528" s="16"/>
      <c r="Q528" s="17"/>
    </row>
    <row r="529" customFormat="false" ht="15" hidden="false" customHeight="false" outlineLevel="0" collapsed="false">
      <c r="A529" s="15" t="str">
        <f aca="false">IF(B529="","",ROW()-1)</f>
        <v/>
      </c>
      <c r="B529" s="16"/>
      <c r="C529" s="16"/>
      <c r="D529" s="16"/>
      <c r="E529" s="16"/>
      <c r="F529" s="17"/>
      <c r="G529" s="16"/>
      <c r="H529" s="16"/>
      <c r="I529" s="16"/>
      <c r="J529" s="16"/>
      <c r="K529" s="16"/>
      <c r="L529" s="16"/>
      <c r="M529" s="18" t="str">
        <f aca="false">IF(OR(C529="",D529=""),"",IF(MOD(COUNTIFS($C$2:C529,C529,$D$2:D529,D529)*7,10)&lt;3,"teste","treino"))</f>
        <v/>
      </c>
      <c r="N529" s="16"/>
      <c r="O529" s="16"/>
      <c r="P529" s="16"/>
      <c r="Q529" s="17"/>
    </row>
    <row r="530" customFormat="false" ht="15" hidden="false" customHeight="false" outlineLevel="0" collapsed="false">
      <c r="A530" s="15" t="str">
        <f aca="false">IF(B530="","",ROW()-1)</f>
        <v/>
      </c>
      <c r="B530" s="16"/>
      <c r="C530" s="16"/>
      <c r="D530" s="16"/>
      <c r="E530" s="16"/>
      <c r="F530" s="17"/>
      <c r="G530" s="16"/>
      <c r="H530" s="16"/>
      <c r="I530" s="16"/>
      <c r="J530" s="16"/>
      <c r="K530" s="16"/>
      <c r="L530" s="16"/>
      <c r="M530" s="18" t="str">
        <f aca="false">IF(OR(C530="",D530=""),"",IF(MOD(COUNTIFS($C$2:C530,C530,$D$2:D530,D530)*7,10)&lt;3,"teste","treino"))</f>
        <v/>
      </c>
      <c r="N530" s="16"/>
      <c r="O530" s="16"/>
      <c r="P530" s="16"/>
      <c r="Q530" s="17"/>
    </row>
    <row r="531" customFormat="false" ht="15" hidden="false" customHeight="false" outlineLevel="0" collapsed="false">
      <c r="A531" s="15" t="str">
        <f aca="false">IF(B531="","",ROW()-1)</f>
        <v/>
      </c>
      <c r="B531" s="16"/>
      <c r="C531" s="16"/>
      <c r="D531" s="16"/>
      <c r="E531" s="16"/>
      <c r="F531" s="17"/>
      <c r="G531" s="16"/>
      <c r="H531" s="16"/>
      <c r="I531" s="16"/>
      <c r="J531" s="16"/>
      <c r="K531" s="16"/>
      <c r="L531" s="16"/>
      <c r="M531" s="18" t="str">
        <f aca="false">IF(OR(C531="",D531=""),"",IF(MOD(COUNTIFS($C$2:C531,C531,$D$2:D531,D531)*7,10)&lt;3,"teste","treino"))</f>
        <v/>
      </c>
      <c r="N531" s="16"/>
      <c r="O531" s="16"/>
      <c r="P531" s="16"/>
      <c r="Q531" s="17"/>
    </row>
    <row r="532" customFormat="false" ht="15" hidden="false" customHeight="false" outlineLevel="0" collapsed="false">
      <c r="A532" s="15" t="str">
        <f aca="false">IF(B532="","",ROW()-1)</f>
        <v/>
      </c>
      <c r="B532" s="16"/>
      <c r="C532" s="16"/>
      <c r="D532" s="16"/>
      <c r="E532" s="16"/>
      <c r="F532" s="17"/>
      <c r="G532" s="16"/>
      <c r="H532" s="16"/>
      <c r="I532" s="16"/>
      <c r="J532" s="16"/>
      <c r="K532" s="16"/>
      <c r="L532" s="16"/>
      <c r="M532" s="18" t="str">
        <f aca="false">IF(OR(C532="",D532=""),"",IF(MOD(COUNTIFS($C$2:C532,C532,$D$2:D532,D532)*7,10)&lt;3,"teste","treino"))</f>
        <v/>
      </c>
      <c r="N532" s="16"/>
      <c r="O532" s="16"/>
      <c r="P532" s="16"/>
      <c r="Q532" s="17"/>
    </row>
    <row r="533" customFormat="false" ht="15" hidden="false" customHeight="false" outlineLevel="0" collapsed="false">
      <c r="A533" s="15" t="str">
        <f aca="false">IF(B533="","",ROW()-1)</f>
        <v/>
      </c>
      <c r="B533" s="16"/>
      <c r="C533" s="16"/>
      <c r="D533" s="16"/>
      <c r="E533" s="16"/>
      <c r="F533" s="17"/>
      <c r="G533" s="16"/>
      <c r="H533" s="16"/>
      <c r="I533" s="16"/>
      <c r="J533" s="16"/>
      <c r="K533" s="16"/>
      <c r="L533" s="16"/>
      <c r="M533" s="18" t="str">
        <f aca="false">IF(OR(C533="",D533=""),"",IF(MOD(COUNTIFS($C$2:C533,C533,$D$2:D533,D533)*7,10)&lt;3,"teste","treino"))</f>
        <v/>
      </c>
      <c r="N533" s="16"/>
      <c r="O533" s="16"/>
      <c r="P533" s="16"/>
      <c r="Q533" s="17"/>
    </row>
    <row r="534" customFormat="false" ht="15" hidden="false" customHeight="false" outlineLevel="0" collapsed="false">
      <c r="A534" s="15" t="str">
        <f aca="false">IF(B534="","",ROW()-1)</f>
        <v/>
      </c>
      <c r="B534" s="16"/>
      <c r="C534" s="16"/>
      <c r="D534" s="16"/>
      <c r="E534" s="16"/>
      <c r="F534" s="17"/>
      <c r="G534" s="16"/>
      <c r="H534" s="16"/>
      <c r="I534" s="16"/>
      <c r="J534" s="16"/>
      <c r="K534" s="16"/>
      <c r="L534" s="16"/>
      <c r="M534" s="18" t="str">
        <f aca="false">IF(OR(C534="",D534=""),"",IF(MOD(COUNTIFS($C$2:C534,C534,$D$2:D534,D534)*7,10)&lt;3,"teste","treino"))</f>
        <v/>
      </c>
      <c r="N534" s="16"/>
      <c r="O534" s="16"/>
      <c r="P534" s="16"/>
      <c r="Q534" s="17"/>
    </row>
    <row r="535" customFormat="false" ht="15" hidden="false" customHeight="false" outlineLevel="0" collapsed="false">
      <c r="A535" s="15" t="str">
        <f aca="false">IF(B535="","",ROW()-1)</f>
        <v/>
      </c>
      <c r="B535" s="16"/>
      <c r="C535" s="16"/>
      <c r="D535" s="16"/>
      <c r="E535" s="16"/>
      <c r="F535" s="17"/>
      <c r="G535" s="16"/>
      <c r="H535" s="16"/>
      <c r="I535" s="16"/>
      <c r="J535" s="16"/>
      <c r="K535" s="16"/>
      <c r="L535" s="16"/>
      <c r="M535" s="18" t="str">
        <f aca="false">IF(OR(C535="",D535=""),"",IF(MOD(COUNTIFS($C$2:C535,C535,$D$2:D535,D535)*7,10)&lt;3,"teste","treino"))</f>
        <v/>
      </c>
      <c r="N535" s="16"/>
      <c r="O535" s="16"/>
      <c r="P535" s="16"/>
      <c r="Q535" s="17"/>
    </row>
    <row r="536" customFormat="false" ht="15" hidden="false" customHeight="false" outlineLevel="0" collapsed="false">
      <c r="A536" s="15" t="str">
        <f aca="false">IF(B536="","",ROW()-1)</f>
        <v/>
      </c>
      <c r="B536" s="16"/>
      <c r="C536" s="16"/>
      <c r="D536" s="16"/>
      <c r="E536" s="16"/>
      <c r="F536" s="17"/>
      <c r="G536" s="16"/>
      <c r="H536" s="16"/>
      <c r="I536" s="16"/>
      <c r="J536" s="16"/>
      <c r="K536" s="16"/>
      <c r="L536" s="16"/>
      <c r="M536" s="18" t="str">
        <f aca="false">IF(OR(C536="",D536=""),"",IF(MOD(COUNTIFS($C$2:C536,C536,$D$2:D536,D536)*7,10)&lt;3,"teste","treino"))</f>
        <v/>
      </c>
      <c r="N536" s="16"/>
      <c r="O536" s="16"/>
      <c r="P536" s="16"/>
      <c r="Q536" s="17"/>
    </row>
    <row r="537" customFormat="false" ht="15" hidden="false" customHeight="false" outlineLevel="0" collapsed="false">
      <c r="A537" s="15" t="str">
        <f aca="false">IF(B537="","",ROW()-1)</f>
        <v/>
      </c>
      <c r="B537" s="16"/>
      <c r="C537" s="16"/>
      <c r="D537" s="16"/>
      <c r="E537" s="16"/>
      <c r="F537" s="17"/>
      <c r="G537" s="16"/>
      <c r="H537" s="16"/>
      <c r="I537" s="16"/>
      <c r="J537" s="16"/>
      <c r="K537" s="16"/>
      <c r="L537" s="16"/>
      <c r="M537" s="18" t="str">
        <f aca="false">IF(OR(C537="",D537=""),"",IF(MOD(COUNTIFS($C$2:C537,C537,$D$2:D537,D537)*7,10)&lt;3,"teste","treino"))</f>
        <v/>
      </c>
      <c r="N537" s="16"/>
      <c r="O537" s="16"/>
      <c r="P537" s="16"/>
      <c r="Q537" s="17"/>
    </row>
    <row r="538" customFormat="false" ht="15" hidden="false" customHeight="false" outlineLevel="0" collapsed="false">
      <c r="A538" s="15" t="str">
        <f aca="false">IF(B538="","",ROW()-1)</f>
        <v/>
      </c>
      <c r="B538" s="16"/>
      <c r="C538" s="16"/>
      <c r="D538" s="16"/>
      <c r="E538" s="16"/>
      <c r="F538" s="17"/>
      <c r="G538" s="16"/>
      <c r="H538" s="16"/>
      <c r="I538" s="16"/>
      <c r="J538" s="16"/>
      <c r="K538" s="16"/>
      <c r="L538" s="16"/>
      <c r="M538" s="18" t="str">
        <f aca="false">IF(OR(C538="",D538=""),"",IF(MOD(COUNTIFS($C$2:C538,C538,$D$2:D538,D538)*7,10)&lt;3,"teste","treino"))</f>
        <v/>
      </c>
      <c r="N538" s="16"/>
      <c r="O538" s="16"/>
      <c r="P538" s="16"/>
      <c r="Q538" s="17"/>
    </row>
    <row r="539" customFormat="false" ht="15" hidden="false" customHeight="false" outlineLevel="0" collapsed="false">
      <c r="A539" s="15" t="str">
        <f aca="false">IF(B539="","",ROW()-1)</f>
        <v/>
      </c>
      <c r="B539" s="16"/>
      <c r="C539" s="16"/>
      <c r="D539" s="16"/>
      <c r="E539" s="16"/>
      <c r="F539" s="17"/>
      <c r="G539" s="16"/>
      <c r="H539" s="16"/>
      <c r="I539" s="16"/>
      <c r="J539" s="16"/>
      <c r="K539" s="16"/>
      <c r="L539" s="16"/>
      <c r="M539" s="18" t="str">
        <f aca="false">IF(OR(C539="",D539=""),"",IF(MOD(COUNTIFS($C$2:C539,C539,$D$2:D539,D539)*7,10)&lt;3,"teste","treino"))</f>
        <v/>
      </c>
      <c r="N539" s="16"/>
      <c r="O539" s="16"/>
      <c r="P539" s="16"/>
      <c r="Q539" s="17"/>
    </row>
    <row r="540" customFormat="false" ht="15" hidden="false" customHeight="false" outlineLevel="0" collapsed="false">
      <c r="A540" s="15" t="str">
        <f aca="false">IF(B540="","",ROW()-1)</f>
        <v/>
      </c>
      <c r="B540" s="16"/>
      <c r="C540" s="16"/>
      <c r="D540" s="16"/>
      <c r="E540" s="16"/>
      <c r="F540" s="17"/>
      <c r="G540" s="16"/>
      <c r="H540" s="16"/>
      <c r="I540" s="16"/>
      <c r="J540" s="16"/>
      <c r="K540" s="16"/>
      <c r="L540" s="16"/>
      <c r="M540" s="18" t="str">
        <f aca="false">IF(OR(C540="",D540=""),"",IF(MOD(COUNTIFS($C$2:C540,C540,$D$2:D540,D540)*7,10)&lt;3,"teste","treino"))</f>
        <v/>
      </c>
      <c r="N540" s="16"/>
      <c r="O540" s="16"/>
      <c r="P540" s="16"/>
      <c r="Q540" s="17"/>
    </row>
    <row r="541" customFormat="false" ht="15" hidden="false" customHeight="false" outlineLevel="0" collapsed="false">
      <c r="A541" s="15" t="str">
        <f aca="false">IF(B541="","",ROW()-1)</f>
        <v/>
      </c>
      <c r="B541" s="16"/>
      <c r="C541" s="16"/>
      <c r="D541" s="16"/>
      <c r="E541" s="16"/>
      <c r="F541" s="17"/>
      <c r="G541" s="16"/>
      <c r="H541" s="16"/>
      <c r="I541" s="16"/>
      <c r="J541" s="16"/>
      <c r="K541" s="16"/>
      <c r="L541" s="16"/>
      <c r="M541" s="18" t="str">
        <f aca="false">IF(OR(C541="",D541=""),"",IF(MOD(COUNTIFS($C$2:C541,C541,$D$2:D541,D541)*7,10)&lt;3,"teste","treino"))</f>
        <v/>
      </c>
      <c r="N541" s="16"/>
      <c r="O541" s="16"/>
      <c r="P541" s="16"/>
      <c r="Q541" s="17"/>
    </row>
    <row r="542" customFormat="false" ht="15" hidden="false" customHeight="false" outlineLevel="0" collapsed="false">
      <c r="A542" s="15" t="str">
        <f aca="false">IF(B542="","",ROW()-1)</f>
        <v/>
      </c>
      <c r="B542" s="16"/>
      <c r="C542" s="16"/>
      <c r="D542" s="16"/>
      <c r="E542" s="16"/>
      <c r="F542" s="17"/>
      <c r="G542" s="16"/>
      <c r="H542" s="16"/>
      <c r="I542" s="16"/>
      <c r="J542" s="16"/>
      <c r="K542" s="16"/>
      <c r="L542" s="16"/>
      <c r="M542" s="18" t="str">
        <f aca="false">IF(OR(C542="",D542=""),"",IF(MOD(COUNTIFS($C$2:C542,C542,$D$2:D542,D542)*7,10)&lt;3,"teste","treino"))</f>
        <v/>
      </c>
      <c r="N542" s="16"/>
      <c r="O542" s="16"/>
      <c r="P542" s="16"/>
      <c r="Q542" s="17"/>
    </row>
    <row r="543" customFormat="false" ht="15" hidden="false" customHeight="false" outlineLevel="0" collapsed="false">
      <c r="A543" s="15" t="str">
        <f aca="false">IF(B543="","",ROW()-1)</f>
        <v/>
      </c>
      <c r="B543" s="16"/>
      <c r="C543" s="16"/>
      <c r="D543" s="16"/>
      <c r="E543" s="16"/>
      <c r="F543" s="17"/>
      <c r="G543" s="16"/>
      <c r="H543" s="16"/>
      <c r="I543" s="16"/>
      <c r="J543" s="16"/>
      <c r="K543" s="16"/>
      <c r="L543" s="16"/>
      <c r="M543" s="18" t="str">
        <f aca="false">IF(OR(C543="",D543=""),"",IF(MOD(COUNTIFS($C$2:C543,C543,$D$2:D543,D543)*7,10)&lt;3,"teste","treino"))</f>
        <v/>
      </c>
      <c r="N543" s="16"/>
      <c r="O543" s="16"/>
      <c r="P543" s="16"/>
      <c r="Q543" s="17"/>
    </row>
    <row r="544" customFormat="false" ht="15" hidden="false" customHeight="false" outlineLevel="0" collapsed="false">
      <c r="A544" s="15" t="str">
        <f aca="false">IF(B544="","",ROW()-1)</f>
        <v/>
      </c>
      <c r="B544" s="16"/>
      <c r="C544" s="16"/>
      <c r="D544" s="16"/>
      <c r="E544" s="16"/>
      <c r="F544" s="17"/>
      <c r="G544" s="16"/>
      <c r="H544" s="16"/>
      <c r="I544" s="16"/>
      <c r="J544" s="16"/>
      <c r="K544" s="16"/>
      <c r="L544" s="16"/>
      <c r="M544" s="18" t="str">
        <f aca="false">IF(OR(C544="",D544=""),"",IF(MOD(COUNTIFS($C$2:C544,C544,$D$2:D544,D544)*7,10)&lt;3,"teste","treino"))</f>
        <v/>
      </c>
      <c r="N544" s="16"/>
      <c r="O544" s="16"/>
      <c r="P544" s="16"/>
      <c r="Q544" s="17"/>
    </row>
    <row r="545" customFormat="false" ht="15" hidden="false" customHeight="false" outlineLevel="0" collapsed="false">
      <c r="A545" s="15" t="str">
        <f aca="false">IF(B545="","",ROW()-1)</f>
        <v/>
      </c>
      <c r="B545" s="16"/>
      <c r="C545" s="16"/>
      <c r="D545" s="16"/>
      <c r="E545" s="16"/>
      <c r="F545" s="17"/>
      <c r="G545" s="16"/>
      <c r="H545" s="16"/>
      <c r="I545" s="16"/>
      <c r="J545" s="16"/>
      <c r="K545" s="16"/>
      <c r="L545" s="16"/>
      <c r="M545" s="18" t="str">
        <f aca="false">IF(OR(C545="",D545=""),"",IF(MOD(COUNTIFS($C$2:C545,C545,$D$2:D545,D545)*7,10)&lt;3,"teste","treino"))</f>
        <v/>
      </c>
      <c r="N545" s="16"/>
      <c r="O545" s="16"/>
      <c r="P545" s="16"/>
      <c r="Q545" s="17"/>
    </row>
    <row r="546" customFormat="false" ht="15" hidden="false" customHeight="false" outlineLevel="0" collapsed="false">
      <c r="A546" s="15" t="str">
        <f aca="false">IF(B546="","",ROW()-1)</f>
        <v/>
      </c>
      <c r="B546" s="16"/>
      <c r="C546" s="16"/>
      <c r="D546" s="16"/>
      <c r="E546" s="16"/>
      <c r="F546" s="17"/>
      <c r="G546" s="16"/>
      <c r="H546" s="16"/>
      <c r="I546" s="16"/>
      <c r="J546" s="16"/>
      <c r="K546" s="16"/>
      <c r="L546" s="16"/>
      <c r="M546" s="18" t="str">
        <f aca="false">IF(OR(C546="",D546=""),"",IF(MOD(COUNTIFS($C$2:C546,C546,$D$2:D546,D546)*7,10)&lt;3,"teste","treino"))</f>
        <v/>
      </c>
      <c r="N546" s="16"/>
      <c r="O546" s="16"/>
      <c r="P546" s="16"/>
      <c r="Q546" s="17"/>
    </row>
    <row r="547" customFormat="false" ht="15" hidden="false" customHeight="false" outlineLevel="0" collapsed="false">
      <c r="A547" s="15" t="str">
        <f aca="false">IF(B547="","",ROW()-1)</f>
        <v/>
      </c>
      <c r="B547" s="16"/>
      <c r="C547" s="16"/>
      <c r="D547" s="16"/>
      <c r="E547" s="16"/>
      <c r="F547" s="17"/>
      <c r="G547" s="16"/>
      <c r="H547" s="16"/>
      <c r="I547" s="16"/>
      <c r="J547" s="16"/>
      <c r="K547" s="16"/>
      <c r="L547" s="16"/>
      <c r="M547" s="18" t="str">
        <f aca="false">IF(OR(C547="",D547=""),"",IF(MOD(COUNTIFS($C$2:C547,C547,$D$2:D547,D547)*7,10)&lt;3,"teste","treino"))</f>
        <v/>
      </c>
      <c r="N547" s="16"/>
      <c r="O547" s="16"/>
      <c r="P547" s="16"/>
      <c r="Q547" s="17"/>
    </row>
    <row r="548" customFormat="false" ht="15" hidden="false" customHeight="false" outlineLevel="0" collapsed="false">
      <c r="A548" s="15" t="str">
        <f aca="false">IF(B548="","",ROW()-1)</f>
        <v/>
      </c>
      <c r="B548" s="16"/>
      <c r="C548" s="16"/>
      <c r="D548" s="16"/>
      <c r="E548" s="16"/>
      <c r="F548" s="17"/>
      <c r="G548" s="16"/>
      <c r="H548" s="16"/>
      <c r="I548" s="16"/>
      <c r="J548" s="16"/>
      <c r="K548" s="16"/>
      <c r="L548" s="16"/>
      <c r="M548" s="18" t="str">
        <f aca="false">IF(OR(C548="",D548=""),"",IF(MOD(COUNTIFS($C$2:C548,C548,$D$2:D548,D548)*7,10)&lt;3,"teste","treino"))</f>
        <v/>
      </c>
      <c r="N548" s="16"/>
      <c r="O548" s="16"/>
      <c r="P548" s="16"/>
      <c r="Q548" s="17"/>
    </row>
    <row r="549" customFormat="false" ht="15" hidden="false" customHeight="false" outlineLevel="0" collapsed="false">
      <c r="A549" s="15" t="str">
        <f aca="false">IF(B549="","",ROW()-1)</f>
        <v/>
      </c>
      <c r="B549" s="16"/>
      <c r="C549" s="16"/>
      <c r="D549" s="16"/>
      <c r="E549" s="16"/>
      <c r="F549" s="17"/>
      <c r="G549" s="16"/>
      <c r="H549" s="16"/>
      <c r="I549" s="16"/>
      <c r="J549" s="16"/>
      <c r="K549" s="16"/>
      <c r="L549" s="16"/>
      <c r="M549" s="18" t="str">
        <f aca="false">IF(OR(C549="",D549=""),"",IF(MOD(COUNTIFS($C$2:C549,C549,$D$2:D549,D549)*7,10)&lt;3,"teste","treino"))</f>
        <v/>
      </c>
      <c r="N549" s="16"/>
      <c r="O549" s="16"/>
      <c r="P549" s="16"/>
      <c r="Q549" s="17"/>
    </row>
    <row r="550" customFormat="false" ht="15" hidden="false" customHeight="false" outlineLevel="0" collapsed="false">
      <c r="A550" s="15" t="str">
        <f aca="false">IF(B550="","",ROW()-1)</f>
        <v/>
      </c>
      <c r="B550" s="16"/>
      <c r="C550" s="16"/>
      <c r="D550" s="16"/>
      <c r="E550" s="16"/>
      <c r="F550" s="17"/>
      <c r="G550" s="16"/>
      <c r="H550" s="16"/>
      <c r="I550" s="16"/>
      <c r="J550" s="16"/>
      <c r="K550" s="16"/>
      <c r="L550" s="16"/>
      <c r="M550" s="18" t="str">
        <f aca="false">IF(OR(C550="",D550=""),"",IF(MOD(COUNTIFS($C$2:C550,C550,$D$2:D550,D550)*7,10)&lt;3,"teste","treino"))</f>
        <v/>
      </c>
      <c r="N550" s="16"/>
      <c r="O550" s="16"/>
      <c r="P550" s="16"/>
      <c r="Q550" s="17"/>
    </row>
    <row r="551" customFormat="false" ht="15" hidden="false" customHeight="false" outlineLevel="0" collapsed="false">
      <c r="A551" s="15" t="str">
        <f aca="false">IF(B551="","",ROW()-1)</f>
        <v/>
      </c>
      <c r="B551" s="16"/>
      <c r="C551" s="16"/>
      <c r="D551" s="16"/>
      <c r="E551" s="16"/>
      <c r="F551" s="17"/>
      <c r="G551" s="16"/>
      <c r="H551" s="16"/>
      <c r="I551" s="16"/>
      <c r="J551" s="16"/>
      <c r="K551" s="16"/>
      <c r="L551" s="16"/>
      <c r="M551" s="18" t="str">
        <f aca="false">IF(OR(C551="",D551=""),"",IF(MOD(COUNTIFS($C$2:C551,C551,$D$2:D551,D551)*7,10)&lt;3,"teste","treino"))</f>
        <v/>
      </c>
      <c r="N551" s="16"/>
      <c r="O551" s="16"/>
      <c r="P551" s="16"/>
      <c r="Q551" s="17"/>
    </row>
    <row r="552" customFormat="false" ht="15" hidden="false" customHeight="false" outlineLevel="0" collapsed="false">
      <c r="A552" s="15" t="str">
        <f aca="false">IF(B552="","",ROW()-1)</f>
        <v/>
      </c>
      <c r="B552" s="16"/>
      <c r="C552" s="16"/>
      <c r="D552" s="16"/>
      <c r="E552" s="16"/>
      <c r="F552" s="17"/>
      <c r="G552" s="16"/>
      <c r="H552" s="16"/>
      <c r="I552" s="16"/>
      <c r="J552" s="16"/>
      <c r="K552" s="16"/>
      <c r="L552" s="16"/>
      <c r="M552" s="18" t="str">
        <f aca="false">IF(OR(C552="",D552=""),"",IF(MOD(COUNTIFS($C$2:C552,C552,$D$2:D552,D552)*7,10)&lt;3,"teste","treino"))</f>
        <v/>
      </c>
      <c r="N552" s="16"/>
      <c r="O552" s="16"/>
      <c r="P552" s="16"/>
      <c r="Q552" s="17"/>
    </row>
    <row r="553" customFormat="false" ht="15" hidden="false" customHeight="false" outlineLevel="0" collapsed="false">
      <c r="A553" s="15" t="str">
        <f aca="false">IF(B553="","",ROW()-1)</f>
        <v/>
      </c>
      <c r="B553" s="16"/>
      <c r="C553" s="16"/>
      <c r="D553" s="16"/>
      <c r="E553" s="16"/>
      <c r="F553" s="17"/>
      <c r="G553" s="16"/>
      <c r="H553" s="16"/>
      <c r="I553" s="16"/>
      <c r="J553" s="16"/>
      <c r="K553" s="16"/>
      <c r="L553" s="16"/>
      <c r="M553" s="18" t="str">
        <f aca="false">IF(OR(C553="",D553=""),"",IF(MOD(COUNTIFS($C$2:C553,C553,$D$2:D553,D553)*7,10)&lt;3,"teste","treino"))</f>
        <v/>
      </c>
      <c r="N553" s="16"/>
      <c r="O553" s="16"/>
      <c r="P553" s="16"/>
      <c r="Q553" s="17"/>
    </row>
    <row r="554" customFormat="false" ht="15" hidden="false" customHeight="false" outlineLevel="0" collapsed="false">
      <c r="A554" s="15" t="str">
        <f aca="false">IF(B554="","",ROW()-1)</f>
        <v/>
      </c>
      <c r="B554" s="16"/>
      <c r="C554" s="16"/>
      <c r="D554" s="16"/>
      <c r="E554" s="16"/>
      <c r="F554" s="17"/>
      <c r="G554" s="16"/>
      <c r="H554" s="16"/>
      <c r="I554" s="16"/>
      <c r="J554" s="16"/>
      <c r="K554" s="16"/>
      <c r="L554" s="16"/>
      <c r="M554" s="18" t="str">
        <f aca="false">IF(OR(C554="",D554=""),"",IF(MOD(COUNTIFS($C$2:C554,C554,$D$2:D554,D554)*7,10)&lt;3,"teste","treino"))</f>
        <v/>
      </c>
      <c r="N554" s="16"/>
      <c r="O554" s="16"/>
      <c r="P554" s="16"/>
      <c r="Q554" s="17"/>
    </row>
    <row r="555" customFormat="false" ht="15" hidden="false" customHeight="false" outlineLevel="0" collapsed="false">
      <c r="A555" s="15" t="str">
        <f aca="false">IF(B555="","",ROW()-1)</f>
        <v/>
      </c>
      <c r="B555" s="16"/>
      <c r="C555" s="16"/>
      <c r="D555" s="16"/>
      <c r="E555" s="16"/>
      <c r="F555" s="17"/>
      <c r="G555" s="16"/>
      <c r="H555" s="16"/>
      <c r="I555" s="16"/>
      <c r="J555" s="16"/>
      <c r="K555" s="16"/>
      <c r="L555" s="16"/>
      <c r="M555" s="18" t="str">
        <f aca="false">IF(OR(C555="",D555=""),"",IF(MOD(COUNTIFS($C$2:C555,C555,$D$2:D555,D555)*7,10)&lt;3,"teste","treino"))</f>
        <v/>
      </c>
      <c r="N555" s="16"/>
      <c r="O555" s="16"/>
      <c r="P555" s="16"/>
      <c r="Q555" s="17"/>
    </row>
    <row r="556" customFormat="false" ht="15" hidden="false" customHeight="false" outlineLevel="0" collapsed="false">
      <c r="A556" s="15" t="str">
        <f aca="false">IF(B556="","",ROW()-1)</f>
        <v/>
      </c>
      <c r="B556" s="16"/>
      <c r="C556" s="16"/>
      <c r="D556" s="16"/>
      <c r="E556" s="16"/>
      <c r="F556" s="17"/>
      <c r="G556" s="16"/>
      <c r="H556" s="16"/>
      <c r="I556" s="16"/>
      <c r="J556" s="16"/>
      <c r="K556" s="16"/>
      <c r="L556" s="16"/>
      <c r="M556" s="18" t="str">
        <f aca="false">IF(OR(C556="",D556=""),"",IF(MOD(COUNTIFS($C$2:C556,C556,$D$2:D556,D556)*7,10)&lt;3,"teste","treino"))</f>
        <v/>
      </c>
      <c r="N556" s="16"/>
      <c r="O556" s="16"/>
      <c r="P556" s="16"/>
      <c r="Q556" s="17"/>
    </row>
    <row r="557" customFormat="false" ht="15" hidden="false" customHeight="false" outlineLevel="0" collapsed="false">
      <c r="A557" s="15" t="str">
        <f aca="false">IF(B557="","",ROW()-1)</f>
        <v/>
      </c>
      <c r="B557" s="16"/>
      <c r="C557" s="16"/>
      <c r="D557" s="16"/>
      <c r="E557" s="16"/>
      <c r="F557" s="17"/>
      <c r="G557" s="16"/>
      <c r="H557" s="16"/>
      <c r="I557" s="16"/>
      <c r="J557" s="16"/>
      <c r="K557" s="16"/>
      <c r="L557" s="16"/>
      <c r="M557" s="18" t="str">
        <f aca="false">IF(OR(C557="",D557=""),"",IF(MOD(COUNTIFS($C$2:C557,C557,$D$2:D557,D557)*7,10)&lt;3,"teste","treino"))</f>
        <v/>
      </c>
      <c r="N557" s="16"/>
      <c r="O557" s="16"/>
      <c r="P557" s="16"/>
      <c r="Q557" s="17"/>
    </row>
    <row r="558" customFormat="false" ht="15" hidden="false" customHeight="false" outlineLevel="0" collapsed="false">
      <c r="A558" s="15" t="str">
        <f aca="false">IF(B558="","",ROW()-1)</f>
        <v/>
      </c>
      <c r="B558" s="16"/>
      <c r="C558" s="16"/>
      <c r="D558" s="16"/>
      <c r="E558" s="16"/>
      <c r="F558" s="17"/>
      <c r="G558" s="16"/>
      <c r="H558" s="16"/>
      <c r="I558" s="16"/>
      <c r="J558" s="16"/>
      <c r="K558" s="16"/>
      <c r="L558" s="16"/>
      <c r="M558" s="18" t="str">
        <f aca="false">IF(OR(C558="",D558=""),"",IF(MOD(COUNTIFS($C$2:C558,C558,$D$2:D558,D558)*7,10)&lt;3,"teste","treino"))</f>
        <v/>
      </c>
      <c r="N558" s="16"/>
      <c r="O558" s="16"/>
      <c r="P558" s="16"/>
      <c r="Q558" s="17"/>
    </row>
    <row r="559" customFormat="false" ht="15" hidden="false" customHeight="false" outlineLevel="0" collapsed="false">
      <c r="A559" s="15" t="str">
        <f aca="false">IF(B559="","",ROW()-1)</f>
        <v/>
      </c>
      <c r="B559" s="16"/>
      <c r="C559" s="16"/>
      <c r="D559" s="16"/>
      <c r="E559" s="16"/>
      <c r="F559" s="17"/>
      <c r="G559" s="16"/>
      <c r="H559" s="16"/>
      <c r="I559" s="16"/>
      <c r="J559" s="16"/>
      <c r="K559" s="16"/>
      <c r="L559" s="16"/>
      <c r="M559" s="18" t="str">
        <f aca="false">IF(OR(C559="",D559=""),"",IF(MOD(COUNTIFS($C$2:C559,C559,$D$2:D559,D559)*7,10)&lt;3,"teste","treino"))</f>
        <v/>
      </c>
      <c r="N559" s="16"/>
      <c r="O559" s="16"/>
      <c r="P559" s="16"/>
      <c r="Q559" s="17"/>
    </row>
    <row r="560" customFormat="false" ht="15" hidden="false" customHeight="false" outlineLevel="0" collapsed="false">
      <c r="A560" s="15" t="str">
        <f aca="false">IF(B560="","",ROW()-1)</f>
        <v/>
      </c>
      <c r="B560" s="16"/>
      <c r="C560" s="16"/>
      <c r="D560" s="16"/>
      <c r="E560" s="16"/>
      <c r="F560" s="17"/>
      <c r="G560" s="16"/>
      <c r="H560" s="16"/>
      <c r="I560" s="16"/>
      <c r="J560" s="16"/>
      <c r="K560" s="16"/>
      <c r="L560" s="16"/>
      <c r="M560" s="18" t="str">
        <f aca="false">IF(OR(C560="",D560=""),"",IF(MOD(COUNTIFS($C$2:C560,C560,$D$2:D560,D560)*7,10)&lt;3,"teste","treino"))</f>
        <v/>
      </c>
      <c r="N560" s="16"/>
      <c r="O560" s="16"/>
      <c r="P560" s="16"/>
      <c r="Q560" s="17"/>
    </row>
    <row r="561" customFormat="false" ht="15" hidden="false" customHeight="false" outlineLevel="0" collapsed="false">
      <c r="A561" s="15" t="str">
        <f aca="false">IF(B561="","",ROW()-1)</f>
        <v/>
      </c>
      <c r="B561" s="16"/>
      <c r="C561" s="16"/>
      <c r="D561" s="16"/>
      <c r="E561" s="16"/>
      <c r="F561" s="17"/>
      <c r="G561" s="16"/>
      <c r="H561" s="16"/>
      <c r="I561" s="16"/>
      <c r="J561" s="16"/>
      <c r="K561" s="16"/>
      <c r="L561" s="16"/>
      <c r="M561" s="18" t="str">
        <f aca="false">IF(OR(C561="",D561=""),"",IF(MOD(COUNTIFS($C$2:C561,C561,$D$2:D561,D561)*7,10)&lt;3,"teste","treino"))</f>
        <v/>
      </c>
      <c r="N561" s="16"/>
      <c r="O561" s="16"/>
      <c r="P561" s="16"/>
      <c r="Q561" s="17"/>
    </row>
    <row r="562" customFormat="false" ht="15" hidden="false" customHeight="false" outlineLevel="0" collapsed="false">
      <c r="A562" s="15" t="str">
        <f aca="false">IF(B562="","",ROW()-1)</f>
        <v/>
      </c>
      <c r="B562" s="16"/>
      <c r="C562" s="16"/>
      <c r="D562" s="16"/>
      <c r="E562" s="16"/>
      <c r="F562" s="17"/>
      <c r="G562" s="16"/>
      <c r="H562" s="16"/>
      <c r="I562" s="16"/>
      <c r="J562" s="16"/>
      <c r="K562" s="16"/>
      <c r="L562" s="16"/>
      <c r="M562" s="18" t="str">
        <f aca="false">IF(OR(C562="",D562=""),"",IF(MOD(COUNTIFS($C$2:C562,C562,$D$2:D562,D562)*7,10)&lt;3,"teste","treino"))</f>
        <v/>
      </c>
      <c r="N562" s="16"/>
      <c r="O562" s="16"/>
      <c r="P562" s="16"/>
      <c r="Q562" s="17"/>
    </row>
    <row r="563" customFormat="false" ht="15" hidden="false" customHeight="false" outlineLevel="0" collapsed="false">
      <c r="A563" s="15" t="str">
        <f aca="false">IF(B563="","",ROW()-1)</f>
        <v/>
      </c>
      <c r="B563" s="16"/>
      <c r="C563" s="16"/>
      <c r="D563" s="16"/>
      <c r="E563" s="16"/>
      <c r="F563" s="17"/>
      <c r="G563" s="16"/>
      <c r="H563" s="16"/>
      <c r="I563" s="16"/>
      <c r="J563" s="16"/>
      <c r="K563" s="16"/>
      <c r="L563" s="16"/>
      <c r="M563" s="18" t="str">
        <f aca="false">IF(OR(C563="",D563=""),"",IF(MOD(COUNTIFS($C$2:C563,C563,$D$2:D563,D563)*7,10)&lt;3,"teste","treino"))</f>
        <v/>
      </c>
      <c r="N563" s="16"/>
      <c r="O563" s="16"/>
      <c r="P563" s="16"/>
      <c r="Q563" s="17"/>
    </row>
    <row r="564" customFormat="false" ht="15" hidden="false" customHeight="false" outlineLevel="0" collapsed="false">
      <c r="A564" s="15" t="str">
        <f aca="false">IF(B564="","",ROW()-1)</f>
        <v/>
      </c>
      <c r="B564" s="16"/>
      <c r="C564" s="16"/>
      <c r="D564" s="16"/>
      <c r="E564" s="16"/>
      <c r="F564" s="17"/>
      <c r="G564" s="16"/>
      <c r="H564" s="16"/>
      <c r="I564" s="16"/>
      <c r="J564" s="16"/>
      <c r="K564" s="16"/>
      <c r="L564" s="16"/>
      <c r="M564" s="18" t="str">
        <f aca="false">IF(OR(C564="",D564=""),"",IF(MOD(COUNTIFS($C$2:C564,C564,$D$2:D564,D564)*7,10)&lt;3,"teste","treino"))</f>
        <v/>
      </c>
      <c r="N564" s="16"/>
      <c r="O564" s="16"/>
      <c r="P564" s="16"/>
      <c r="Q564" s="17"/>
    </row>
    <row r="565" customFormat="false" ht="15" hidden="false" customHeight="false" outlineLevel="0" collapsed="false">
      <c r="A565" s="15" t="str">
        <f aca="false">IF(B565="","",ROW()-1)</f>
        <v/>
      </c>
      <c r="B565" s="16"/>
      <c r="C565" s="16"/>
      <c r="D565" s="16"/>
      <c r="E565" s="16"/>
      <c r="F565" s="17"/>
      <c r="G565" s="16"/>
      <c r="H565" s="16"/>
      <c r="I565" s="16"/>
      <c r="J565" s="16"/>
      <c r="K565" s="16"/>
      <c r="L565" s="16"/>
      <c r="M565" s="18" t="str">
        <f aca="false">IF(OR(C565="",D565=""),"",IF(MOD(COUNTIFS($C$2:C565,C565,$D$2:D565,D565)*7,10)&lt;3,"teste","treino"))</f>
        <v/>
      </c>
      <c r="N565" s="16"/>
      <c r="O565" s="16"/>
      <c r="P565" s="16"/>
      <c r="Q565" s="17"/>
    </row>
    <row r="566" customFormat="false" ht="15" hidden="false" customHeight="false" outlineLevel="0" collapsed="false">
      <c r="A566" s="15" t="str">
        <f aca="false">IF(B566="","",ROW()-1)</f>
        <v/>
      </c>
      <c r="B566" s="16"/>
      <c r="C566" s="16"/>
      <c r="D566" s="16"/>
      <c r="E566" s="16"/>
      <c r="F566" s="17"/>
      <c r="G566" s="16"/>
      <c r="H566" s="16"/>
      <c r="I566" s="16"/>
      <c r="J566" s="16"/>
      <c r="K566" s="16"/>
      <c r="L566" s="16"/>
      <c r="M566" s="18" t="str">
        <f aca="false">IF(OR(C566="",D566=""),"",IF(MOD(COUNTIFS($C$2:C566,C566,$D$2:D566,D566)*7,10)&lt;3,"teste","treino"))</f>
        <v/>
      </c>
      <c r="N566" s="16"/>
      <c r="O566" s="16"/>
      <c r="P566" s="16"/>
      <c r="Q566" s="17"/>
    </row>
    <row r="567" customFormat="false" ht="15" hidden="false" customHeight="false" outlineLevel="0" collapsed="false">
      <c r="A567" s="15" t="str">
        <f aca="false">IF(B567="","",ROW()-1)</f>
        <v/>
      </c>
      <c r="B567" s="16"/>
      <c r="C567" s="16"/>
      <c r="D567" s="16"/>
      <c r="E567" s="16"/>
      <c r="F567" s="17"/>
      <c r="G567" s="16"/>
      <c r="H567" s="16"/>
      <c r="I567" s="16"/>
      <c r="J567" s="16"/>
      <c r="K567" s="16"/>
      <c r="L567" s="16"/>
      <c r="M567" s="18" t="str">
        <f aca="false">IF(OR(C567="",D567=""),"",IF(MOD(COUNTIFS($C$2:C567,C567,$D$2:D567,D567)*7,10)&lt;3,"teste","treino"))</f>
        <v/>
      </c>
      <c r="N567" s="16"/>
      <c r="O567" s="16"/>
      <c r="P567" s="16"/>
      <c r="Q567" s="17"/>
    </row>
    <row r="568" customFormat="false" ht="15" hidden="false" customHeight="false" outlineLevel="0" collapsed="false">
      <c r="A568" s="15" t="str">
        <f aca="false">IF(B568="","",ROW()-1)</f>
        <v/>
      </c>
      <c r="B568" s="16"/>
      <c r="C568" s="16"/>
      <c r="D568" s="16"/>
      <c r="E568" s="16"/>
      <c r="F568" s="17"/>
      <c r="G568" s="16"/>
      <c r="H568" s="16"/>
      <c r="I568" s="16"/>
      <c r="J568" s="16"/>
      <c r="K568" s="16"/>
      <c r="L568" s="16"/>
      <c r="M568" s="18" t="str">
        <f aca="false">IF(OR(C568="",D568=""),"",IF(MOD(COUNTIFS($C$2:C568,C568,$D$2:D568,D568)*7,10)&lt;3,"teste","treino"))</f>
        <v/>
      </c>
      <c r="N568" s="16"/>
      <c r="O568" s="16"/>
      <c r="P568" s="16"/>
      <c r="Q568" s="17"/>
    </row>
    <row r="569" customFormat="false" ht="15" hidden="false" customHeight="false" outlineLevel="0" collapsed="false">
      <c r="A569" s="15" t="str">
        <f aca="false">IF(B569="","",ROW()-1)</f>
        <v/>
      </c>
      <c r="B569" s="16"/>
      <c r="C569" s="16"/>
      <c r="D569" s="16"/>
      <c r="E569" s="16"/>
      <c r="F569" s="17"/>
      <c r="G569" s="16"/>
      <c r="H569" s="16"/>
      <c r="I569" s="16"/>
      <c r="J569" s="16"/>
      <c r="K569" s="16"/>
      <c r="L569" s="16"/>
      <c r="M569" s="18" t="str">
        <f aca="false">IF(OR(C569="",D569=""),"",IF(MOD(COUNTIFS($C$2:C569,C569,$D$2:D569,D569)*7,10)&lt;3,"teste","treino"))</f>
        <v/>
      </c>
      <c r="N569" s="16"/>
      <c r="O569" s="16"/>
      <c r="P569" s="16"/>
      <c r="Q569" s="17"/>
    </row>
    <row r="570" customFormat="false" ht="15" hidden="false" customHeight="false" outlineLevel="0" collapsed="false">
      <c r="A570" s="15" t="str">
        <f aca="false">IF(B570="","",ROW()-1)</f>
        <v/>
      </c>
      <c r="B570" s="16"/>
      <c r="C570" s="16"/>
      <c r="D570" s="16"/>
      <c r="E570" s="16"/>
      <c r="F570" s="17"/>
      <c r="G570" s="16"/>
      <c r="H570" s="16"/>
      <c r="I570" s="16"/>
      <c r="J570" s="16"/>
      <c r="K570" s="16"/>
      <c r="L570" s="16"/>
      <c r="M570" s="18" t="str">
        <f aca="false">IF(OR(C570="",D570=""),"",IF(MOD(COUNTIFS($C$2:C570,C570,$D$2:D570,D570)*7,10)&lt;3,"teste","treino"))</f>
        <v/>
      </c>
      <c r="N570" s="16"/>
      <c r="O570" s="16"/>
      <c r="P570" s="16"/>
      <c r="Q570" s="17"/>
    </row>
    <row r="571" customFormat="false" ht="15" hidden="false" customHeight="false" outlineLevel="0" collapsed="false">
      <c r="A571" s="15" t="str">
        <f aca="false">IF(B571="","",ROW()-1)</f>
        <v/>
      </c>
      <c r="B571" s="16"/>
      <c r="C571" s="16"/>
      <c r="D571" s="16"/>
      <c r="E571" s="16"/>
      <c r="F571" s="17"/>
      <c r="G571" s="16"/>
      <c r="H571" s="16"/>
      <c r="I571" s="16"/>
      <c r="J571" s="16"/>
      <c r="K571" s="16"/>
      <c r="L571" s="16"/>
      <c r="M571" s="18" t="str">
        <f aca="false">IF(OR(C571="",D571=""),"",IF(MOD(COUNTIFS($C$2:C571,C571,$D$2:D571,D571)*7,10)&lt;3,"teste","treino"))</f>
        <v/>
      </c>
      <c r="N571" s="16"/>
      <c r="O571" s="16"/>
      <c r="P571" s="16"/>
      <c r="Q571" s="17"/>
    </row>
    <row r="572" customFormat="false" ht="15" hidden="false" customHeight="false" outlineLevel="0" collapsed="false">
      <c r="A572" s="15" t="str">
        <f aca="false">IF(B572="","",ROW()-1)</f>
        <v/>
      </c>
      <c r="B572" s="16"/>
      <c r="C572" s="16"/>
      <c r="D572" s="16"/>
      <c r="E572" s="16"/>
      <c r="F572" s="17"/>
      <c r="G572" s="16"/>
      <c r="H572" s="16"/>
      <c r="I572" s="16"/>
      <c r="J572" s="16"/>
      <c r="K572" s="16"/>
      <c r="L572" s="16"/>
      <c r="M572" s="18" t="str">
        <f aca="false">IF(OR(C572="",D572=""),"",IF(MOD(COUNTIFS($C$2:C572,C572,$D$2:D572,D572)*7,10)&lt;3,"teste","treino"))</f>
        <v/>
      </c>
      <c r="N572" s="16"/>
      <c r="O572" s="16"/>
      <c r="P572" s="16"/>
      <c r="Q572" s="17"/>
    </row>
    <row r="573" customFormat="false" ht="15" hidden="false" customHeight="false" outlineLevel="0" collapsed="false">
      <c r="A573" s="15" t="str">
        <f aca="false">IF(B573="","",ROW()-1)</f>
        <v/>
      </c>
      <c r="B573" s="16"/>
      <c r="C573" s="16"/>
      <c r="D573" s="16"/>
      <c r="E573" s="16"/>
      <c r="F573" s="17"/>
      <c r="G573" s="16"/>
      <c r="H573" s="16"/>
      <c r="I573" s="16"/>
      <c r="J573" s="16"/>
      <c r="K573" s="16"/>
      <c r="L573" s="16"/>
      <c r="M573" s="18" t="str">
        <f aca="false">IF(OR(C573="",D573=""),"",IF(MOD(COUNTIFS($C$2:C573,C573,$D$2:D573,D573)*7,10)&lt;3,"teste","treino"))</f>
        <v/>
      </c>
      <c r="N573" s="16"/>
      <c r="O573" s="16"/>
      <c r="P573" s="16"/>
      <c r="Q573" s="17"/>
    </row>
    <row r="574" customFormat="false" ht="15" hidden="false" customHeight="false" outlineLevel="0" collapsed="false">
      <c r="A574" s="15" t="str">
        <f aca="false">IF(B574="","",ROW()-1)</f>
        <v/>
      </c>
      <c r="B574" s="16"/>
      <c r="C574" s="16"/>
      <c r="D574" s="16"/>
      <c r="E574" s="16"/>
      <c r="F574" s="17"/>
      <c r="G574" s="16"/>
      <c r="H574" s="16"/>
      <c r="I574" s="16"/>
      <c r="J574" s="16"/>
      <c r="K574" s="16"/>
      <c r="L574" s="16"/>
      <c r="M574" s="18" t="str">
        <f aca="false">IF(OR(C574="",D574=""),"",IF(MOD(COUNTIFS($C$2:C574,C574,$D$2:D574,D574)*7,10)&lt;3,"teste","treino"))</f>
        <v/>
      </c>
      <c r="N574" s="16"/>
      <c r="O574" s="16"/>
      <c r="P574" s="16"/>
      <c r="Q574" s="17"/>
    </row>
    <row r="575" customFormat="false" ht="15" hidden="false" customHeight="false" outlineLevel="0" collapsed="false">
      <c r="A575" s="15" t="str">
        <f aca="false">IF(B575="","",ROW()-1)</f>
        <v/>
      </c>
      <c r="B575" s="16"/>
      <c r="C575" s="16"/>
      <c r="D575" s="16"/>
      <c r="E575" s="16"/>
      <c r="F575" s="17"/>
      <c r="G575" s="16"/>
      <c r="H575" s="16"/>
      <c r="I575" s="16"/>
      <c r="J575" s="16"/>
      <c r="K575" s="16"/>
      <c r="L575" s="16"/>
      <c r="M575" s="18" t="str">
        <f aca="false">IF(OR(C575="",D575=""),"",IF(MOD(COUNTIFS($C$2:C575,C575,$D$2:D575,D575)*7,10)&lt;3,"teste","treino"))</f>
        <v/>
      </c>
      <c r="N575" s="16"/>
      <c r="O575" s="16"/>
      <c r="P575" s="16"/>
      <c r="Q575" s="17"/>
    </row>
    <row r="576" customFormat="false" ht="15" hidden="false" customHeight="false" outlineLevel="0" collapsed="false">
      <c r="A576" s="15" t="str">
        <f aca="false">IF(B576="","",ROW()-1)</f>
        <v/>
      </c>
      <c r="B576" s="16"/>
      <c r="C576" s="16"/>
      <c r="D576" s="16"/>
      <c r="E576" s="16"/>
      <c r="F576" s="17"/>
      <c r="G576" s="16"/>
      <c r="H576" s="16"/>
      <c r="I576" s="16"/>
      <c r="J576" s="16"/>
      <c r="K576" s="16"/>
      <c r="L576" s="16"/>
      <c r="M576" s="18" t="str">
        <f aca="false">IF(OR(C576="",D576=""),"",IF(MOD(COUNTIFS($C$2:C576,C576,$D$2:D576,D576)*7,10)&lt;3,"teste","treino"))</f>
        <v/>
      </c>
      <c r="N576" s="16"/>
      <c r="O576" s="16"/>
      <c r="P576" s="16"/>
      <c r="Q576" s="17"/>
    </row>
    <row r="577" customFormat="false" ht="15" hidden="false" customHeight="false" outlineLevel="0" collapsed="false">
      <c r="A577" s="15" t="str">
        <f aca="false">IF(B577="","",ROW()-1)</f>
        <v/>
      </c>
      <c r="B577" s="16"/>
      <c r="C577" s="16"/>
      <c r="D577" s="16"/>
      <c r="E577" s="16"/>
      <c r="F577" s="17"/>
      <c r="G577" s="16"/>
      <c r="H577" s="16"/>
      <c r="I577" s="16"/>
      <c r="J577" s="16"/>
      <c r="K577" s="16"/>
      <c r="L577" s="16"/>
      <c r="M577" s="18" t="str">
        <f aca="false">IF(OR(C577="",D577=""),"",IF(MOD(COUNTIFS($C$2:C577,C577,$D$2:D577,D577)*7,10)&lt;3,"teste","treino"))</f>
        <v/>
      </c>
      <c r="N577" s="16"/>
      <c r="O577" s="16"/>
      <c r="P577" s="16"/>
      <c r="Q577" s="17"/>
    </row>
    <row r="578" customFormat="false" ht="15" hidden="false" customHeight="false" outlineLevel="0" collapsed="false">
      <c r="A578" s="15" t="str">
        <f aca="false">IF(B578="","",ROW()-1)</f>
        <v/>
      </c>
      <c r="B578" s="16"/>
      <c r="C578" s="16"/>
      <c r="D578" s="16"/>
      <c r="E578" s="16"/>
      <c r="F578" s="17"/>
      <c r="G578" s="16"/>
      <c r="H578" s="16"/>
      <c r="I578" s="16"/>
      <c r="J578" s="16"/>
      <c r="K578" s="16"/>
      <c r="L578" s="16"/>
      <c r="M578" s="18" t="str">
        <f aca="false">IF(OR(C578="",D578=""),"",IF(MOD(COUNTIFS($C$2:C578,C578,$D$2:D578,D578)*7,10)&lt;3,"teste","treino"))</f>
        <v/>
      </c>
      <c r="N578" s="16"/>
      <c r="O578" s="16"/>
      <c r="P578" s="16"/>
      <c r="Q578" s="17"/>
    </row>
    <row r="579" customFormat="false" ht="15" hidden="false" customHeight="false" outlineLevel="0" collapsed="false">
      <c r="A579" s="15" t="str">
        <f aca="false">IF(B579="","",ROW()-1)</f>
        <v/>
      </c>
      <c r="B579" s="16"/>
      <c r="C579" s="16"/>
      <c r="D579" s="16"/>
      <c r="E579" s="16"/>
      <c r="F579" s="17"/>
      <c r="G579" s="16"/>
      <c r="H579" s="16"/>
      <c r="I579" s="16"/>
      <c r="J579" s="16"/>
      <c r="K579" s="16"/>
      <c r="L579" s="16"/>
      <c r="M579" s="18" t="str">
        <f aca="false">IF(OR(C579="",D579=""),"",IF(MOD(COUNTIFS($C$2:C579,C579,$D$2:D579,D579)*7,10)&lt;3,"teste","treino"))</f>
        <v/>
      </c>
      <c r="N579" s="16"/>
      <c r="O579" s="16"/>
      <c r="P579" s="16"/>
      <c r="Q579" s="17"/>
    </row>
    <row r="580" customFormat="false" ht="15" hidden="false" customHeight="false" outlineLevel="0" collapsed="false">
      <c r="A580" s="15" t="str">
        <f aca="false">IF(B580="","",ROW()-1)</f>
        <v/>
      </c>
      <c r="B580" s="16"/>
      <c r="C580" s="16"/>
      <c r="D580" s="16"/>
      <c r="E580" s="16"/>
      <c r="F580" s="17"/>
      <c r="G580" s="16"/>
      <c r="H580" s="16"/>
      <c r="I580" s="16"/>
      <c r="J580" s="16"/>
      <c r="K580" s="16"/>
      <c r="L580" s="16"/>
      <c r="M580" s="18" t="str">
        <f aca="false">IF(OR(C580="",D580=""),"",IF(MOD(COUNTIFS($C$2:C580,C580,$D$2:D580,D580)*7,10)&lt;3,"teste","treino"))</f>
        <v/>
      </c>
      <c r="N580" s="16"/>
      <c r="O580" s="16"/>
      <c r="P580" s="16"/>
      <c r="Q580" s="17"/>
    </row>
    <row r="581" customFormat="false" ht="15" hidden="false" customHeight="false" outlineLevel="0" collapsed="false">
      <c r="A581" s="15" t="str">
        <f aca="false">IF(B581="","",ROW()-1)</f>
        <v/>
      </c>
      <c r="B581" s="16"/>
      <c r="C581" s="16"/>
      <c r="D581" s="16"/>
      <c r="E581" s="16"/>
      <c r="F581" s="17"/>
      <c r="G581" s="16"/>
      <c r="H581" s="16"/>
      <c r="I581" s="16"/>
      <c r="J581" s="16"/>
      <c r="K581" s="16"/>
      <c r="L581" s="16"/>
      <c r="M581" s="18" t="str">
        <f aca="false">IF(OR(C581="",D581=""),"",IF(MOD(COUNTIFS($C$2:C581,C581,$D$2:D581,D581)*7,10)&lt;3,"teste","treino"))</f>
        <v/>
      </c>
      <c r="N581" s="16"/>
      <c r="O581" s="16"/>
      <c r="P581" s="16"/>
      <c r="Q581" s="17"/>
    </row>
    <row r="582" customFormat="false" ht="15" hidden="false" customHeight="false" outlineLevel="0" collapsed="false">
      <c r="A582" s="15" t="str">
        <f aca="false">IF(B582="","",ROW()-1)</f>
        <v/>
      </c>
      <c r="B582" s="16"/>
      <c r="C582" s="16"/>
      <c r="D582" s="16"/>
      <c r="E582" s="16"/>
      <c r="F582" s="17"/>
      <c r="G582" s="16"/>
      <c r="H582" s="16"/>
      <c r="I582" s="16"/>
      <c r="J582" s="16"/>
      <c r="K582" s="16"/>
      <c r="L582" s="16"/>
      <c r="M582" s="18" t="str">
        <f aca="false">IF(OR(C582="",D582=""),"",IF(MOD(COUNTIFS($C$2:C582,C582,$D$2:D582,D582)*7,10)&lt;3,"teste","treino"))</f>
        <v/>
      </c>
      <c r="N582" s="16"/>
      <c r="O582" s="16"/>
      <c r="P582" s="16"/>
      <c r="Q582" s="17"/>
    </row>
    <row r="583" customFormat="false" ht="15" hidden="false" customHeight="false" outlineLevel="0" collapsed="false">
      <c r="A583" s="15" t="str">
        <f aca="false">IF(B583="","",ROW()-1)</f>
        <v/>
      </c>
      <c r="B583" s="16"/>
      <c r="C583" s="16"/>
      <c r="D583" s="16"/>
      <c r="E583" s="16"/>
      <c r="F583" s="17"/>
      <c r="G583" s="16"/>
      <c r="H583" s="16"/>
      <c r="I583" s="16"/>
      <c r="J583" s="16"/>
      <c r="K583" s="16"/>
      <c r="L583" s="16"/>
      <c r="M583" s="18" t="str">
        <f aca="false">IF(OR(C583="",D583=""),"",IF(MOD(COUNTIFS($C$2:C583,C583,$D$2:D583,D583)*7,10)&lt;3,"teste","treino"))</f>
        <v/>
      </c>
      <c r="N583" s="16"/>
      <c r="O583" s="16"/>
      <c r="P583" s="16"/>
      <c r="Q583" s="17"/>
    </row>
    <row r="584" customFormat="false" ht="15" hidden="false" customHeight="false" outlineLevel="0" collapsed="false">
      <c r="A584" s="15" t="str">
        <f aca="false">IF(B584="","",ROW()-1)</f>
        <v/>
      </c>
      <c r="B584" s="16"/>
      <c r="C584" s="16"/>
      <c r="D584" s="16"/>
      <c r="E584" s="16"/>
      <c r="F584" s="17"/>
      <c r="G584" s="16"/>
      <c r="H584" s="16"/>
      <c r="I584" s="16"/>
      <c r="J584" s="16"/>
      <c r="K584" s="16"/>
      <c r="L584" s="16"/>
      <c r="M584" s="18" t="str">
        <f aca="false">IF(OR(C584="",D584=""),"",IF(MOD(COUNTIFS($C$2:C584,C584,$D$2:D584,D584)*7,10)&lt;3,"teste","treino"))</f>
        <v/>
      </c>
      <c r="N584" s="16"/>
      <c r="O584" s="16"/>
      <c r="P584" s="16"/>
      <c r="Q584" s="17"/>
    </row>
    <row r="585" customFormat="false" ht="15" hidden="false" customHeight="false" outlineLevel="0" collapsed="false">
      <c r="A585" s="15" t="str">
        <f aca="false">IF(B585="","",ROW()-1)</f>
        <v/>
      </c>
      <c r="B585" s="16"/>
      <c r="C585" s="16"/>
      <c r="D585" s="16"/>
      <c r="E585" s="16"/>
      <c r="F585" s="17"/>
      <c r="G585" s="16"/>
      <c r="H585" s="16"/>
      <c r="I585" s="16"/>
      <c r="J585" s="16"/>
      <c r="K585" s="16"/>
      <c r="L585" s="16"/>
      <c r="M585" s="18" t="str">
        <f aca="false">IF(OR(C585="",D585=""),"",IF(MOD(COUNTIFS($C$2:C585,C585,$D$2:D585,D585)*7,10)&lt;3,"teste","treino"))</f>
        <v/>
      </c>
      <c r="N585" s="16"/>
      <c r="O585" s="16"/>
      <c r="P585" s="16"/>
      <c r="Q585" s="17"/>
    </row>
    <row r="586" customFormat="false" ht="15" hidden="false" customHeight="false" outlineLevel="0" collapsed="false">
      <c r="A586" s="15" t="str">
        <f aca="false">IF(B586="","",ROW()-1)</f>
        <v/>
      </c>
      <c r="B586" s="16"/>
      <c r="C586" s="16"/>
      <c r="D586" s="16"/>
      <c r="E586" s="16"/>
      <c r="F586" s="17"/>
      <c r="G586" s="16"/>
      <c r="H586" s="16"/>
      <c r="I586" s="16"/>
      <c r="J586" s="16"/>
      <c r="K586" s="16"/>
      <c r="L586" s="16"/>
      <c r="M586" s="18" t="str">
        <f aca="false">IF(OR(C586="",D586=""),"",IF(MOD(COUNTIFS($C$2:C586,C586,$D$2:D586,D586)*7,10)&lt;3,"teste","treino"))</f>
        <v/>
      </c>
      <c r="N586" s="16"/>
      <c r="O586" s="16"/>
      <c r="P586" s="16"/>
      <c r="Q586" s="17"/>
    </row>
    <row r="587" customFormat="false" ht="15" hidden="false" customHeight="false" outlineLevel="0" collapsed="false">
      <c r="A587" s="15" t="str">
        <f aca="false">IF(B587="","",ROW()-1)</f>
        <v/>
      </c>
      <c r="B587" s="16"/>
      <c r="C587" s="16"/>
      <c r="D587" s="16"/>
      <c r="E587" s="16"/>
      <c r="F587" s="17"/>
      <c r="G587" s="16"/>
      <c r="H587" s="16"/>
      <c r="I587" s="16"/>
      <c r="J587" s="16"/>
      <c r="K587" s="16"/>
      <c r="L587" s="16"/>
      <c r="M587" s="18" t="str">
        <f aca="false">IF(OR(C587="",D587=""),"",IF(MOD(COUNTIFS($C$2:C587,C587,$D$2:D587,D587)*7,10)&lt;3,"teste","treino"))</f>
        <v/>
      </c>
      <c r="N587" s="16"/>
      <c r="O587" s="16"/>
      <c r="P587" s="16"/>
      <c r="Q587" s="17"/>
    </row>
    <row r="588" customFormat="false" ht="15" hidden="false" customHeight="false" outlineLevel="0" collapsed="false">
      <c r="A588" s="15" t="str">
        <f aca="false">IF(B588="","",ROW()-1)</f>
        <v/>
      </c>
      <c r="B588" s="16"/>
      <c r="C588" s="16"/>
      <c r="D588" s="16"/>
      <c r="E588" s="16"/>
      <c r="F588" s="17"/>
      <c r="G588" s="16"/>
      <c r="H588" s="16"/>
      <c r="I588" s="16"/>
      <c r="J588" s="16"/>
      <c r="K588" s="16"/>
      <c r="L588" s="16"/>
      <c r="M588" s="18" t="str">
        <f aca="false">IF(OR(C588="",D588=""),"",IF(MOD(COUNTIFS($C$2:C588,C588,$D$2:D588,D588)*7,10)&lt;3,"teste","treino"))</f>
        <v/>
      </c>
      <c r="N588" s="16"/>
      <c r="O588" s="16"/>
      <c r="P588" s="16"/>
      <c r="Q588" s="17"/>
    </row>
    <row r="589" customFormat="false" ht="15" hidden="false" customHeight="false" outlineLevel="0" collapsed="false">
      <c r="A589" s="15" t="str">
        <f aca="false">IF(B589="","",ROW()-1)</f>
        <v/>
      </c>
      <c r="B589" s="16"/>
      <c r="C589" s="16"/>
      <c r="D589" s="16"/>
      <c r="E589" s="16"/>
      <c r="F589" s="17"/>
      <c r="G589" s="16"/>
      <c r="H589" s="16"/>
      <c r="I589" s="16"/>
      <c r="J589" s="16"/>
      <c r="K589" s="16"/>
      <c r="L589" s="16"/>
      <c r="M589" s="18" t="str">
        <f aca="false">IF(OR(C589="",D589=""),"",IF(MOD(COUNTIFS($C$2:C589,C589,$D$2:D589,D589)*7,10)&lt;3,"teste","treino"))</f>
        <v/>
      </c>
      <c r="N589" s="16"/>
      <c r="O589" s="16"/>
      <c r="P589" s="16"/>
      <c r="Q589" s="17"/>
    </row>
    <row r="590" customFormat="false" ht="15" hidden="false" customHeight="false" outlineLevel="0" collapsed="false">
      <c r="A590" s="15" t="str">
        <f aca="false">IF(B590="","",ROW()-1)</f>
        <v/>
      </c>
      <c r="B590" s="16"/>
      <c r="C590" s="16"/>
      <c r="D590" s="16"/>
      <c r="E590" s="16"/>
      <c r="F590" s="17"/>
      <c r="G590" s="16"/>
      <c r="H590" s="16"/>
      <c r="I590" s="16"/>
      <c r="J590" s="16"/>
      <c r="K590" s="16"/>
      <c r="L590" s="16"/>
      <c r="M590" s="18" t="str">
        <f aca="false">IF(OR(C590="",D590=""),"",IF(MOD(COUNTIFS($C$2:C590,C590,$D$2:D590,D590)*7,10)&lt;3,"teste","treino"))</f>
        <v/>
      </c>
      <c r="N590" s="16"/>
      <c r="O590" s="16"/>
      <c r="P590" s="16"/>
      <c r="Q590" s="17"/>
    </row>
    <row r="591" customFormat="false" ht="15" hidden="false" customHeight="false" outlineLevel="0" collapsed="false">
      <c r="A591" s="15" t="str">
        <f aca="false">IF(B591="","",ROW()-1)</f>
        <v/>
      </c>
      <c r="B591" s="16"/>
      <c r="C591" s="16"/>
      <c r="D591" s="16"/>
      <c r="E591" s="16"/>
      <c r="F591" s="17"/>
      <c r="G591" s="16"/>
      <c r="H591" s="16"/>
      <c r="I591" s="16"/>
      <c r="J591" s="16"/>
      <c r="K591" s="16"/>
      <c r="L591" s="16"/>
      <c r="M591" s="18" t="str">
        <f aca="false">IF(OR(C591="",D591=""),"",IF(MOD(COUNTIFS($C$2:C591,C591,$D$2:D591,D591)*7,10)&lt;3,"teste","treino"))</f>
        <v/>
      </c>
      <c r="N591" s="16"/>
      <c r="O591" s="16"/>
      <c r="P591" s="16"/>
      <c r="Q591" s="17"/>
    </row>
    <row r="592" customFormat="false" ht="15" hidden="false" customHeight="false" outlineLevel="0" collapsed="false">
      <c r="A592" s="15" t="str">
        <f aca="false">IF(B592="","",ROW()-1)</f>
        <v/>
      </c>
      <c r="B592" s="16"/>
      <c r="C592" s="16"/>
      <c r="D592" s="16"/>
      <c r="E592" s="16"/>
      <c r="F592" s="17"/>
      <c r="G592" s="16"/>
      <c r="H592" s="16"/>
      <c r="I592" s="16"/>
      <c r="J592" s="16"/>
      <c r="K592" s="16"/>
      <c r="L592" s="16"/>
      <c r="M592" s="18" t="str">
        <f aca="false">IF(OR(C592="",D592=""),"",IF(MOD(COUNTIFS($C$2:C592,C592,$D$2:D592,D592)*7,10)&lt;3,"teste","treino"))</f>
        <v/>
      </c>
      <c r="N592" s="16"/>
      <c r="O592" s="16"/>
      <c r="P592" s="16"/>
      <c r="Q592" s="17"/>
    </row>
    <row r="593" customFormat="false" ht="15" hidden="false" customHeight="false" outlineLevel="0" collapsed="false">
      <c r="A593" s="15" t="str">
        <f aca="false">IF(B593="","",ROW()-1)</f>
        <v/>
      </c>
      <c r="B593" s="16"/>
      <c r="C593" s="16"/>
      <c r="D593" s="16"/>
      <c r="E593" s="16"/>
      <c r="F593" s="17"/>
      <c r="G593" s="16"/>
      <c r="H593" s="16"/>
      <c r="I593" s="16"/>
      <c r="J593" s="16"/>
      <c r="K593" s="16"/>
      <c r="L593" s="16"/>
      <c r="M593" s="18" t="str">
        <f aca="false">IF(OR(C593="",D593=""),"",IF(MOD(COUNTIFS($C$2:C593,C593,$D$2:D593,D593)*7,10)&lt;3,"teste","treino"))</f>
        <v/>
      </c>
      <c r="N593" s="16"/>
      <c r="O593" s="16"/>
      <c r="P593" s="16"/>
      <c r="Q593" s="17"/>
    </row>
    <row r="594" customFormat="false" ht="15" hidden="false" customHeight="false" outlineLevel="0" collapsed="false">
      <c r="A594" s="15" t="str">
        <f aca="false">IF(B594="","",ROW()-1)</f>
        <v/>
      </c>
      <c r="B594" s="16"/>
      <c r="C594" s="16"/>
      <c r="D594" s="16"/>
      <c r="E594" s="16"/>
      <c r="F594" s="17"/>
      <c r="G594" s="16"/>
      <c r="H594" s="16"/>
      <c r="I594" s="16"/>
      <c r="J594" s="16"/>
      <c r="K594" s="16"/>
      <c r="L594" s="16"/>
      <c r="M594" s="18" t="str">
        <f aca="false">IF(OR(C594="",D594=""),"",IF(MOD(COUNTIFS($C$2:C594,C594,$D$2:D594,D594)*7,10)&lt;3,"teste","treino"))</f>
        <v/>
      </c>
      <c r="N594" s="16"/>
      <c r="O594" s="16"/>
      <c r="P594" s="16"/>
      <c r="Q594" s="17"/>
    </row>
    <row r="595" customFormat="false" ht="15" hidden="false" customHeight="false" outlineLevel="0" collapsed="false">
      <c r="A595" s="15" t="str">
        <f aca="false">IF(B595="","",ROW()-1)</f>
        <v/>
      </c>
      <c r="B595" s="16"/>
      <c r="C595" s="16"/>
      <c r="D595" s="16"/>
      <c r="E595" s="16"/>
      <c r="F595" s="17"/>
      <c r="G595" s="16"/>
      <c r="H595" s="16"/>
      <c r="I595" s="16"/>
      <c r="J595" s="16"/>
      <c r="K595" s="16"/>
      <c r="L595" s="16"/>
      <c r="M595" s="18" t="str">
        <f aca="false">IF(OR(C595="",D595=""),"",IF(MOD(COUNTIFS($C$2:C595,C595,$D$2:D595,D595)*7,10)&lt;3,"teste","treino"))</f>
        <v/>
      </c>
      <c r="N595" s="16"/>
      <c r="O595" s="16"/>
      <c r="P595" s="16"/>
      <c r="Q595" s="17"/>
    </row>
    <row r="596" customFormat="false" ht="15" hidden="false" customHeight="false" outlineLevel="0" collapsed="false">
      <c r="A596" s="15" t="str">
        <f aca="false">IF(B596="","",ROW()-1)</f>
        <v/>
      </c>
      <c r="B596" s="16"/>
      <c r="C596" s="16"/>
      <c r="D596" s="16"/>
      <c r="E596" s="16"/>
      <c r="F596" s="17"/>
      <c r="G596" s="16"/>
      <c r="H596" s="16"/>
      <c r="I596" s="16"/>
      <c r="J596" s="16"/>
      <c r="K596" s="16"/>
      <c r="L596" s="16"/>
      <c r="M596" s="18" t="str">
        <f aca="false">IF(OR(C596="",D596=""),"",IF(MOD(COUNTIFS($C$2:C596,C596,$D$2:D596,D596)*7,10)&lt;3,"teste","treino"))</f>
        <v/>
      </c>
      <c r="N596" s="16"/>
      <c r="O596" s="16"/>
      <c r="P596" s="16"/>
      <c r="Q596" s="17"/>
    </row>
    <row r="597" customFormat="false" ht="15" hidden="false" customHeight="false" outlineLevel="0" collapsed="false">
      <c r="A597" s="15" t="str">
        <f aca="false">IF(B597="","",ROW()-1)</f>
        <v/>
      </c>
      <c r="B597" s="16"/>
      <c r="C597" s="16"/>
      <c r="D597" s="16"/>
      <c r="E597" s="16"/>
      <c r="F597" s="17"/>
      <c r="G597" s="16"/>
      <c r="H597" s="16"/>
      <c r="I597" s="16"/>
      <c r="J597" s="16"/>
      <c r="K597" s="16"/>
      <c r="L597" s="16"/>
      <c r="M597" s="18" t="str">
        <f aca="false">IF(OR(C597="",D597=""),"",IF(MOD(COUNTIFS($C$2:C597,C597,$D$2:D597,D597)*7,10)&lt;3,"teste","treino"))</f>
        <v/>
      </c>
      <c r="N597" s="16"/>
      <c r="O597" s="16"/>
      <c r="P597" s="16"/>
      <c r="Q597" s="17"/>
    </row>
    <row r="598" customFormat="false" ht="15" hidden="false" customHeight="false" outlineLevel="0" collapsed="false">
      <c r="A598" s="15" t="str">
        <f aca="false">IF(B598="","",ROW()-1)</f>
        <v/>
      </c>
      <c r="B598" s="16"/>
      <c r="C598" s="16"/>
      <c r="D598" s="16"/>
      <c r="E598" s="16"/>
      <c r="F598" s="17"/>
      <c r="G598" s="16"/>
      <c r="H598" s="16"/>
      <c r="I598" s="16"/>
      <c r="J598" s="16"/>
      <c r="K598" s="16"/>
      <c r="L598" s="16"/>
      <c r="M598" s="18" t="str">
        <f aca="false">IF(OR(C598="",D598=""),"",IF(MOD(COUNTIFS($C$2:C598,C598,$D$2:D598,D598)*7,10)&lt;3,"teste","treino"))</f>
        <v/>
      </c>
      <c r="N598" s="16"/>
      <c r="O598" s="16"/>
      <c r="P598" s="16"/>
      <c r="Q598" s="17"/>
    </row>
    <row r="599" customFormat="false" ht="15" hidden="false" customHeight="false" outlineLevel="0" collapsed="false">
      <c r="A599" s="15" t="str">
        <f aca="false">IF(B599="","",ROW()-1)</f>
        <v/>
      </c>
      <c r="B599" s="16"/>
      <c r="C599" s="16"/>
      <c r="D599" s="16"/>
      <c r="E599" s="16"/>
      <c r="F599" s="17"/>
      <c r="G599" s="16"/>
      <c r="H599" s="16"/>
      <c r="I599" s="16"/>
      <c r="J599" s="16"/>
      <c r="K599" s="16"/>
      <c r="L599" s="16"/>
      <c r="M599" s="18" t="str">
        <f aca="false">IF(OR(C599="",D599=""),"",IF(MOD(COUNTIFS($C$2:C599,C599,$D$2:D599,D599)*7,10)&lt;3,"teste","treino"))</f>
        <v/>
      </c>
      <c r="N599" s="16"/>
      <c r="O599" s="16"/>
      <c r="P599" s="16"/>
      <c r="Q599" s="17"/>
    </row>
    <row r="600" customFormat="false" ht="15" hidden="false" customHeight="false" outlineLevel="0" collapsed="false">
      <c r="A600" s="15" t="str">
        <f aca="false">IF(B600="","",ROW()-1)</f>
        <v/>
      </c>
      <c r="B600" s="16"/>
      <c r="C600" s="16"/>
      <c r="D600" s="16"/>
      <c r="E600" s="16"/>
      <c r="F600" s="17"/>
      <c r="G600" s="16"/>
      <c r="H600" s="16"/>
      <c r="I600" s="16"/>
      <c r="J600" s="16"/>
      <c r="K600" s="16"/>
      <c r="L600" s="16"/>
      <c r="M600" s="18" t="str">
        <f aca="false">IF(OR(C600="",D600=""),"",IF(MOD(COUNTIFS($C$2:C600,C600,$D$2:D600,D600)*7,10)&lt;3,"teste","treino"))</f>
        <v/>
      </c>
      <c r="N600" s="16"/>
      <c r="O600" s="16"/>
      <c r="P600" s="16"/>
      <c r="Q600" s="17"/>
    </row>
    <row r="601" customFormat="false" ht="15" hidden="false" customHeight="false" outlineLevel="0" collapsed="false">
      <c r="A601" s="15" t="str">
        <f aca="false">IF(B601="","",ROW()-1)</f>
        <v/>
      </c>
      <c r="B601" s="16"/>
      <c r="C601" s="16"/>
      <c r="D601" s="16"/>
      <c r="E601" s="16"/>
      <c r="F601" s="17"/>
      <c r="G601" s="16"/>
      <c r="H601" s="16"/>
      <c r="I601" s="16"/>
      <c r="J601" s="16"/>
      <c r="K601" s="16"/>
      <c r="L601" s="16"/>
      <c r="M601" s="18" t="str">
        <f aca="false">IF(OR(C601="",D601=""),"",IF(MOD(COUNTIFS($C$2:C601,C601,$D$2:D601,D601)*7,10)&lt;3,"teste","treino"))</f>
        <v/>
      </c>
      <c r="N601" s="16"/>
      <c r="O601" s="16"/>
      <c r="P601" s="16"/>
      <c r="Q601" s="17"/>
    </row>
    <row r="602" customFormat="false" ht="15" hidden="false" customHeight="false" outlineLevel="0" collapsed="false">
      <c r="A602" s="15" t="str">
        <f aca="false">IF(B602="","",ROW()-1)</f>
        <v/>
      </c>
      <c r="B602" s="16"/>
      <c r="C602" s="16"/>
      <c r="D602" s="16"/>
      <c r="E602" s="16"/>
      <c r="F602" s="17"/>
      <c r="G602" s="16"/>
      <c r="H602" s="16"/>
      <c r="I602" s="16"/>
      <c r="J602" s="16"/>
      <c r="K602" s="16"/>
      <c r="L602" s="16"/>
      <c r="M602" s="18" t="str">
        <f aca="false">IF(OR(C602="",D602=""),"",IF(MOD(COUNTIFS($C$2:C602,C602,$D$2:D602,D602)*7,10)&lt;3,"teste","treino"))</f>
        <v/>
      </c>
      <c r="N602" s="16"/>
      <c r="O602" s="16"/>
      <c r="P602" s="16"/>
      <c r="Q602" s="17"/>
    </row>
    <row r="603" customFormat="false" ht="15" hidden="false" customHeight="false" outlineLevel="0" collapsed="false">
      <c r="A603" s="15" t="str">
        <f aca="false">IF(B603="","",ROW()-1)</f>
        <v/>
      </c>
      <c r="B603" s="16"/>
      <c r="C603" s="16"/>
      <c r="D603" s="16"/>
      <c r="E603" s="16"/>
      <c r="F603" s="17"/>
      <c r="G603" s="16"/>
      <c r="H603" s="16"/>
      <c r="I603" s="16"/>
      <c r="J603" s="16"/>
      <c r="K603" s="16"/>
      <c r="L603" s="16"/>
      <c r="M603" s="18" t="str">
        <f aca="false">IF(OR(C603="",D603=""),"",IF(MOD(COUNTIFS($C$2:C603,C603,$D$2:D603,D603)*7,10)&lt;3,"teste","treino"))</f>
        <v/>
      </c>
      <c r="N603" s="16"/>
      <c r="O603" s="16"/>
      <c r="P603" s="16"/>
      <c r="Q603" s="17"/>
    </row>
    <row r="604" customFormat="false" ht="15" hidden="false" customHeight="false" outlineLevel="0" collapsed="false">
      <c r="A604" s="15" t="str">
        <f aca="false">IF(B604="","",ROW()-1)</f>
        <v/>
      </c>
      <c r="B604" s="16"/>
      <c r="C604" s="16"/>
      <c r="D604" s="16"/>
      <c r="E604" s="16"/>
      <c r="F604" s="17"/>
      <c r="G604" s="16"/>
      <c r="H604" s="16"/>
      <c r="I604" s="16"/>
      <c r="J604" s="16"/>
      <c r="K604" s="16"/>
      <c r="L604" s="16"/>
      <c r="M604" s="18" t="str">
        <f aca="false">IF(OR(C604="",D604=""),"",IF(MOD(COUNTIFS($C$2:C604,C604,$D$2:D604,D604)*7,10)&lt;3,"teste","treino"))</f>
        <v/>
      </c>
      <c r="N604" s="16"/>
      <c r="O604" s="16"/>
      <c r="P604" s="16"/>
      <c r="Q604" s="17"/>
    </row>
    <row r="605" customFormat="false" ht="15" hidden="false" customHeight="false" outlineLevel="0" collapsed="false">
      <c r="A605" s="15" t="str">
        <f aca="false">IF(B605="","",ROW()-1)</f>
        <v/>
      </c>
      <c r="B605" s="16"/>
      <c r="C605" s="16"/>
      <c r="D605" s="16"/>
      <c r="E605" s="16"/>
      <c r="F605" s="17"/>
      <c r="G605" s="16"/>
      <c r="H605" s="16"/>
      <c r="I605" s="16"/>
      <c r="J605" s="16"/>
      <c r="K605" s="16"/>
      <c r="L605" s="16"/>
      <c r="M605" s="18" t="str">
        <f aca="false">IF(OR(C605="",D605=""),"",IF(MOD(COUNTIFS($C$2:C605,C605,$D$2:D605,D605)*7,10)&lt;3,"teste","treino"))</f>
        <v/>
      </c>
      <c r="N605" s="16"/>
      <c r="O605" s="16"/>
      <c r="P605" s="16"/>
      <c r="Q605" s="17"/>
    </row>
    <row r="606" customFormat="false" ht="15" hidden="false" customHeight="false" outlineLevel="0" collapsed="false">
      <c r="A606" s="15" t="str">
        <f aca="false">IF(B606="","",ROW()-1)</f>
        <v/>
      </c>
      <c r="B606" s="16"/>
      <c r="C606" s="16"/>
      <c r="D606" s="16"/>
      <c r="E606" s="16"/>
      <c r="F606" s="17"/>
      <c r="G606" s="16"/>
      <c r="H606" s="16"/>
      <c r="I606" s="16"/>
      <c r="J606" s="16"/>
      <c r="K606" s="16"/>
      <c r="L606" s="16"/>
      <c r="M606" s="18" t="str">
        <f aca="false">IF(OR(C606="",D606=""),"",IF(MOD(COUNTIFS($C$2:C606,C606,$D$2:D606,D606)*7,10)&lt;3,"teste","treino"))</f>
        <v/>
      </c>
      <c r="N606" s="16"/>
      <c r="O606" s="16"/>
      <c r="P606" s="16"/>
      <c r="Q606" s="17"/>
    </row>
    <row r="607" customFormat="false" ht="15" hidden="false" customHeight="false" outlineLevel="0" collapsed="false">
      <c r="A607" s="15" t="str">
        <f aca="false">IF(B607="","",ROW()-1)</f>
        <v/>
      </c>
      <c r="B607" s="16"/>
      <c r="C607" s="16"/>
      <c r="D607" s="16"/>
      <c r="E607" s="16"/>
      <c r="F607" s="17"/>
      <c r="G607" s="16"/>
      <c r="H607" s="16"/>
      <c r="I607" s="16"/>
      <c r="J607" s="16"/>
      <c r="K607" s="16"/>
      <c r="L607" s="16"/>
      <c r="M607" s="18" t="str">
        <f aca="false">IF(OR(C607="",D607=""),"",IF(MOD(COUNTIFS($C$2:C607,C607,$D$2:D607,D607)*7,10)&lt;3,"teste","treino"))</f>
        <v/>
      </c>
      <c r="N607" s="16"/>
      <c r="O607" s="16"/>
      <c r="P607" s="16"/>
      <c r="Q607" s="17"/>
    </row>
    <row r="608" customFormat="false" ht="15" hidden="false" customHeight="false" outlineLevel="0" collapsed="false">
      <c r="A608" s="15" t="str">
        <f aca="false">IF(B608="","",ROW()-1)</f>
        <v/>
      </c>
      <c r="B608" s="16"/>
      <c r="C608" s="16"/>
      <c r="D608" s="16"/>
      <c r="E608" s="16"/>
      <c r="F608" s="17"/>
      <c r="G608" s="16"/>
      <c r="H608" s="16"/>
      <c r="I608" s="16"/>
      <c r="J608" s="16"/>
      <c r="K608" s="16"/>
      <c r="L608" s="16"/>
      <c r="M608" s="18" t="str">
        <f aca="false">IF(OR(C608="",D608=""),"",IF(MOD(COUNTIFS($C$2:C608,C608,$D$2:D608,D608)*7,10)&lt;3,"teste","treino"))</f>
        <v/>
      </c>
      <c r="N608" s="16"/>
      <c r="O608" s="16"/>
      <c r="P608" s="16"/>
      <c r="Q608" s="17"/>
    </row>
    <row r="609" customFormat="false" ht="15" hidden="false" customHeight="false" outlineLevel="0" collapsed="false">
      <c r="A609" s="15" t="str">
        <f aca="false">IF(B609="","",ROW()-1)</f>
        <v/>
      </c>
      <c r="B609" s="16"/>
      <c r="C609" s="16"/>
      <c r="D609" s="16"/>
      <c r="E609" s="16"/>
      <c r="F609" s="17"/>
      <c r="G609" s="16"/>
      <c r="H609" s="16"/>
      <c r="I609" s="16"/>
      <c r="J609" s="16"/>
      <c r="K609" s="16"/>
      <c r="L609" s="16"/>
      <c r="M609" s="18" t="str">
        <f aca="false">IF(OR(C609="",D609=""),"",IF(MOD(COUNTIFS($C$2:C609,C609,$D$2:D609,D609)*7,10)&lt;3,"teste","treino"))</f>
        <v/>
      </c>
      <c r="N609" s="16"/>
      <c r="O609" s="16"/>
      <c r="P609" s="16"/>
      <c r="Q609" s="17"/>
    </row>
    <row r="610" customFormat="false" ht="15" hidden="false" customHeight="false" outlineLevel="0" collapsed="false">
      <c r="A610" s="15" t="str">
        <f aca="false">IF(B610="","",ROW()-1)</f>
        <v/>
      </c>
      <c r="B610" s="16"/>
      <c r="C610" s="16"/>
      <c r="D610" s="16"/>
      <c r="E610" s="16"/>
      <c r="F610" s="17"/>
      <c r="G610" s="16"/>
      <c r="H610" s="16"/>
      <c r="I610" s="16"/>
      <c r="J610" s="16"/>
      <c r="K610" s="16"/>
      <c r="L610" s="16"/>
      <c r="M610" s="18" t="str">
        <f aca="false">IF(OR(C610="",D610=""),"",IF(MOD(COUNTIFS($C$2:C610,C610,$D$2:D610,D610)*7,10)&lt;3,"teste","treino"))</f>
        <v/>
      </c>
      <c r="N610" s="16"/>
      <c r="O610" s="16"/>
      <c r="P610" s="16"/>
      <c r="Q610" s="17"/>
    </row>
    <row r="611" customFormat="false" ht="15" hidden="false" customHeight="false" outlineLevel="0" collapsed="false">
      <c r="A611" s="15" t="str">
        <f aca="false">IF(B611="","",ROW()-1)</f>
        <v/>
      </c>
      <c r="B611" s="16"/>
      <c r="C611" s="16"/>
      <c r="D611" s="16"/>
      <c r="E611" s="16"/>
      <c r="F611" s="17"/>
      <c r="G611" s="16"/>
      <c r="H611" s="16"/>
      <c r="I611" s="16"/>
      <c r="J611" s="16"/>
      <c r="K611" s="16"/>
      <c r="L611" s="16"/>
      <c r="M611" s="18" t="str">
        <f aca="false">IF(OR(C611="",D611=""),"",IF(MOD(COUNTIFS($C$2:C611,C611,$D$2:D611,D611)*7,10)&lt;3,"teste","treino"))</f>
        <v/>
      </c>
      <c r="N611" s="16"/>
      <c r="O611" s="16"/>
      <c r="P611" s="16"/>
      <c r="Q611" s="17"/>
    </row>
    <row r="612" customFormat="false" ht="15" hidden="false" customHeight="false" outlineLevel="0" collapsed="false">
      <c r="A612" s="15" t="str">
        <f aca="false">IF(B612="","",ROW()-1)</f>
        <v/>
      </c>
      <c r="B612" s="16"/>
      <c r="C612" s="16"/>
      <c r="D612" s="16"/>
      <c r="E612" s="16"/>
      <c r="F612" s="17"/>
      <c r="G612" s="16"/>
      <c r="H612" s="16"/>
      <c r="I612" s="16"/>
      <c r="J612" s="16"/>
      <c r="K612" s="16"/>
      <c r="L612" s="16"/>
      <c r="M612" s="18" t="str">
        <f aca="false">IF(OR(C612="",D612=""),"",IF(MOD(COUNTIFS($C$2:C612,C612,$D$2:D612,D612)*7,10)&lt;3,"teste","treino"))</f>
        <v/>
      </c>
      <c r="N612" s="16"/>
      <c r="O612" s="16"/>
      <c r="P612" s="16"/>
      <c r="Q612" s="17"/>
    </row>
    <row r="613" customFormat="false" ht="15" hidden="false" customHeight="false" outlineLevel="0" collapsed="false">
      <c r="A613" s="15" t="str">
        <f aca="false">IF(B613="","",ROW()-1)</f>
        <v/>
      </c>
      <c r="B613" s="16"/>
      <c r="C613" s="16"/>
      <c r="D613" s="16"/>
      <c r="E613" s="16"/>
      <c r="F613" s="17"/>
      <c r="G613" s="16"/>
      <c r="H613" s="16"/>
      <c r="I613" s="16"/>
      <c r="J613" s="16"/>
      <c r="K613" s="16"/>
      <c r="L613" s="16"/>
      <c r="M613" s="18" t="str">
        <f aca="false">IF(OR(C613="",D613=""),"",IF(MOD(COUNTIFS($C$2:C613,C613,$D$2:D613,D613)*7,10)&lt;3,"teste","treino"))</f>
        <v/>
      </c>
      <c r="N613" s="16"/>
      <c r="O613" s="16"/>
      <c r="P613" s="16"/>
      <c r="Q613" s="17"/>
    </row>
    <row r="614" customFormat="false" ht="15" hidden="false" customHeight="false" outlineLevel="0" collapsed="false">
      <c r="A614" s="15" t="str">
        <f aca="false">IF(B614="","",ROW()-1)</f>
        <v/>
      </c>
      <c r="B614" s="16"/>
      <c r="C614" s="16"/>
      <c r="D614" s="16"/>
      <c r="E614" s="16"/>
      <c r="F614" s="17"/>
      <c r="G614" s="16"/>
      <c r="H614" s="16"/>
      <c r="I614" s="16"/>
      <c r="J614" s="16"/>
      <c r="K614" s="16"/>
      <c r="L614" s="16"/>
      <c r="M614" s="18" t="str">
        <f aca="false">IF(OR(C614="",D614=""),"",IF(MOD(COUNTIFS($C$2:C614,C614,$D$2:D614,D614)*7,10)&lt;3,"teste","treino"))</f>
        <v/>
      </c>
      <c r="N614" s="16"/>
      <c r="O614" s="16"/>
      <c r="P614" s="16"/>
      <c r="Q614" s="17"/>
    </row>
    <row r="615" customFormat="false" ht="15" hidden="false" customHeight="false" outlineLevel="0" collapsed="false">
      <c r="A615" s="15" t="str">
        <f aca="false">IF(B615="","",ROW()-1)</f>
        <v/>
      </c>
      <c r="B615" s="16"/>
      <c r="C615" s="16"/>
      <c r="D615" s="16"/>
      <c r="E615" s="16"/>
      <c r="F615" s="17"/>
      <c r="G615" s="16"/>
      <c r="H615" s="16"/>
      <c r="I615" s="16"/>
      <c r="J615" s="16"/>
      <c r="K615" s="16"/>
      <c r="L615" s="16"/>
      <c r="M615" s="18" t="str">
        <f aca="false">IF(OR(C615="",D615=""),"",IF(MOD(COUNTIFS($C$2:C615,C615,$D$2:D615,D615)*7,10)&lt;3,"teste","treino"))</f>
        <v/>
      </c>
      <c r="N615" s="16"/>
      <c r="O615" s="16"/>
      <c r="P615" s="16"/>
      <c r="Q615" s="17"/>
    </row>
    <row r="616" customFormat="false" ht="15" hidden="false" customHeight="false" outlineLevel="0" collapsed="false">
      <c r="A616" s="15" t="str">
        <f aca="false">IF(B616="","",ROW()-1)</f>
        <v/>
      </c>
      <c r="B616" s="16"/>
      <c r="C616" s="16"/>
      <c r="D616" s="16"/>
      <c r="E616" s="16"/>
      <c r="F616" s="17"/>
      <c r="G616" s="16"/>
      <c r="H616" s="16"/>
      <c r="I616" s="16"/>
      <c r="J616" s="16"/>
      <c r="K616" s="16"/>
      <c r="L616" s="16"/>
      <c r="M616" s="18" t="str">
        <f aca="false">IF(OR(C616="",D616=""),"",IF(MOD(COUNTIFS($C$2:C616,C616,$D$2:D616,D616)*7,10)&lt;3,"teste","treino"))</f>
        <v/>
      </c>
      <c r="N616" s="16"/>
      <c r="O616" s="16"/>
      <c r="P616" s="16"/>
      <c r="Q616" s="17"/>
    </row>
    <row r="617" customFormat="false" ht="15" hidden="false" customHeight="false" outlineLevel="0" collapsed="false">
      <c r="A617" s="15" t="str">
        <f aca="false">IF(B617="","",ROW()-1)</f>
        <v/>
      </c>
      <c r="B617" s="16"/>
      <c r="C617" s="16"/>
      <c r="D617" s="16"/>
      <c r="E617" s="16"/>
      <c r="F617" s="17"/>
      <c r="G617" s="16"/>
      <c r="H617" s="16"/>
      <c r="I617" s="16"/>
      <c r="J617" s="16"/>
      <c r="K617" s="16"/>
      <c r="L617" s="16"/>
      <c r="M617" s="18" t="str">
        <f aca="false">IF(OR(C617="",D617=""),"",IF(MOD(COUNTIFS($C$2:C617,C617,$D$2:D617,D617)*7,10)&lt;3,"teste","treino"))</f>
        <v/>
      </c>
      <c r="N617" s="16"/>
      <c r="O617" s="16"/>
      <c r="P617" s="16"/>
      <c r="Q617" s="17"/>
    </row>
    <row r="618" customFormat="false" ht="15" hidden="false" customHeight="false" outlineLevel="0" collapsed="false">
      <c r="A618" s="15" t="str">
        <f aca="false">IF(B618="","",ROW()-1)</f>
        <v/>
      </c>
      <c r="B618" s="16"/>
      <c r="C618" s="16"/>
      <c r="D618" s="16"/>
      <c r="E618" s="16"/>
      <c r="F618" s="17"/>
      <c r="G618" s="16"/>
      <c r="H618" s="16"/>
      <c r="I618" s="16"/>
      <c r="J618" s="16"/>
      <c r="K618" s="16"/>
      <c r="L618" s="16"/>
      <c r="M618" s="18" t="str">
        <f aca="false">IF(OR(C618="",D618=""),"",IF(MOD(COUNTIFS($C$2:C618,C618,$D$2:D618,D618)*7,10)&lt;3,"teste","treino"))</f>
        <v/>
      </c>
      <c r="N618" s="16"/>
      <c r="O618" s="16"/>
      <c r="P618" s="16"/>
      <c r="Q618" s="17"/>
    </row>
    <row r="619" customFormat="false" ht="15" hidden="false" customHeight="false" outlineLevel="0" collapsed="false">
      <c r="A619" s="15" t="str">
        <f aca="false">IF(B619="","",ROW()-1)</f>
        <v/>
      </c>
      <c r="B619" s="16"/>
      <c r="C619" s="16"/>
      <c r="D619" s="16"/>
      <c r="E619" s="16"/>
      <c r="F619" s="17"/>
      <c r="G619" s="16"/>
      <c r="H619" s="16"/>
      <c r="I619" s="16"/>
      <c r="J619" s="16"/>
      <c r="K619" s="16"/>
      <c r="L619" s="16"/>
      <c r="M619" s="18" t="str">
        <f aca="false">IF(OR(C619="",D619=""),"",IF(MOD(COUNTIFS($C$2:C619,C619,$D$2:D619,D619)*7,10)&lt;3,"teste","treino"))</f>
        <v/>
      </c>
      <c r="N619" s="16"/>
      <c r="O619" s="16"/>
      <c r="P619" s="16"/>
      <c r="Q619" s="17"/>
    </row>
    <row r="620" customFormat="false" ht="15" hidden="false" customHeight="false" outlineLevel="0" collapsed="false">
      <c r="A620" s="15" t="str">
        <f aca="false">IF(B620="","",ROW()-1)</f>
        <v/>
      </c>
      <c r="B620" s="16"/>
      <c r="C620" s="16"/>
      <c r="D620" s="16"/>
      <c r="E620" s="16"/>
      <c r="F620" s="17"/>
      <c r="G620" s="16"/>
      <c r="H620" s="16"/>
      <c r="I620" s="16"/>
      <c r="J620" s="16"/>
      <c r="K620" s="16"/>
      <c r="L620" s="16"/>
      <c r="M620" s="18" t="str">
        <f aca="false">IF(OR(C620="",D620=""),"",IF(MOD(COUNTIFS($C$2:C620,C620,$D$2:D620,D620)*7,10)&lt;3,"teste","treino"))</f>
        <v/>
      </c>
      <c r="N620" s="16"/>
      <c r="O620" s="16"/>
      <c r="P620" s="16"/>
      <c r="Q620" s="17"/>
    </row>
    <row r="621" customFormat="false" ht="15" hidden="false" customHeight="false" outlineLevel="0" collapsed="false">
      <c r="A621" s="15" t="str">
        <f aca="false">IF(B621="","",ROW()-1)</f>
        <v/>
      </c>
      <c r="B621" s="16"/>
      <c r="C621" s="16"/>
      <c r="D621" s="16"/>
      <c r="E621" s="16"/>
      <c r="F621" s="17"/>
      <c r="G621" s="16"/>
      <c r="H621" s="16"/>
      <c r="I621" s="16"/>
      <c r="J621" s="16"/>
      <c r="K621" s="16"/>
      <c r="L621" s="16"/>
      <c r="M621" s="18" t="str">
        <f aca="false">IF(OR(C621="",D621=""),"",IF(MOD(COUNTIFS($C$2:C621,C621,$D$2:D621,D621)*7,10)&lt;3,"teste","treino"))</f>
        <v/>
      </c>
      <c r="N621" s="16"/>
      <c r="O621" s="16"/>
      <c r="P621" s="16"/>
      <c r="Q621" s="17"/>
    </row>
    <row r="622" customFormat="false" ht="15" hidden="false" customHeight="false" outlineLevel="0" collapsed="false">
      <c r="A622" s="15" t="str">
        <f aca="false">IF(B622="","",ROW()-1)</f>
        <v/>
      </c>
      <c r="B622" s="16"/>
      <c r="C622" s="16"/>
      <c r="D622" s="16"/>
      <c r="E622" s="16"/>
      <c r="F622" s="17"/>
      <c r="G622" s="16"/>
      <c r="H622" s="16"/>
      <c r="I622" s="16"/>
      <c r="J622" s="16"/>
      <c r="K622" s="16"/>
      <c r="L622" s="16"/>
      <c r="M622" s="18" t="str">
        <f aca="false">IF(OR(C622="",D622=""),"",IF(MOD(COUNTIFS($C$2:C622,C622,$D$2:D622,D622)*7,10)&lt;3,"teste","treino"))</f>
        <v/>
      </c>
      <c r="N622" s="16"/>
      <c r="O622" s="16"/>
      <c r="P622" s="16"/>
      <c r="Q622" s="17"/>
    </row>
    <row r="623" customFormat="false" ht="15" hidden="false" customHeight="false" outlineLevel="0" collapsed="false">
      <c r="A623" s="15" t="str">
        <f aca="false">IF(B623="","",ROW()-1)</f>
        <v/>
      </c>
      <c r="B623" s="16"/>
      <c r="C623" s="16"/>
      <c r="D623" s="16"/>
      <c r="E623" s="16"/>
      <c r="F623" s="17"/>
      <c r="G623" s="16"/>
      <c r="H623" s="16"/>
      <c r="I623" s="16"/>
      <c r="J623" s="16"/>
      <c r="K623" s="16"/>
      <c r="L623" s="16"/>
      <c r="M623" s="18" t="str">
        <f aca="false">IF(OR(C623="",D623=""),"",IF(MOD(COUNTIFS($C$2:C623,C623,$D$2:D623,D623)*7,10)&lt;3,"teste","treino"))</f>
        <v/>
      </c>
      <c r="N623" s="16"/>
      <c r="O623" s="16"/>
      <c r="P623" s="16"/>
      <c r="Q623" s="17"/>
    </row>
    <row r="624" customFormat="false" ht="15" hidden="false" customHeight="false" outlineLevel="0" collapsed="false">
      <c r="A624" s="15" t="str">
        <f aca="false">IF(B624="","",ROW()-1)</f>
        <v/>
      </c>
      <c r="B624" s="16"/>
      <c r="C624" s="16"/>
      <c r="D624" s="16"/>
      <c r="E624" s="16"/>
      <c r="F624" s="17"/>
      <c r="G624" s="16"/>
      <c r="H624" s="16"/>
      <c r="I624" s="16"/>
      <c r="J624" s="16"/>
      <c r="K624" s="16"/>
      <c r="L624" s="16"/>
      <c r="M624" s="18" t="str">
        <f aca="false">IF(OR(C624="",D624=""),"",IF(MOD(COUNTIFS($C$2:C624,C624,$D$2:D624,D624)*7,10)&lt;3,"teste","treino"))</f>
        <v/>
      </c>
      <c r="N624" s="16"/>
      <c r="O624" s="16"/>
      <c r="P624" s="16"/>
      <c r="Q624" s="17"/>
    </row>
    <row r="625" customFormat="false" ht="15" hidden="false" customHeight="false" outlineLevel="0" collapsed="false">
      <c r="A625" s="15" t="str">
        <f aca="false">IF(B625="","",ROW()-1)</f>
        <v/>
      </c>
      <c r="B625" s="16"/>
      <c r="C625" s="16"/>
      <c r="D625" s="16"/>
      <c r="E625" s="16"/>
      <c r="F625" s="17"/>
      <c r="G625" s="16"/>
      <c r="H625" s="16"/>
      <c r="I625" s="16"/>
      <c r="J625" s="16"/>
      <c r="K625" s="16"/>
      <c r="L625" s="16"/>
      <c r="M625" s="18" t="str">
        <f aca="false">IF(OR(C625="",D625=""),"",IF(MOD(COUNTIFS($C$2:C625,C625,$D$2:D625,D625)*7,10)&lt;3,"teste","treino"))</f>
        <v/>
      </c>
      <c r="N625" s="16"/>
      <c r="O625" s="16"/>
      <c r="P625" s="16"/>
      <c r="Q625" s="17"/>
    </row>
    <row r="626" customFormat="false" ht="15" hidden="false" customHeight="false" outlineLevel="0" collapsed="false">
      <c r="A626" s="15" t="str">
        <f aca="false">IF(B626="","",ROW()-1)</f>
        <v/>
      </c>
      <c r="B626" s="16"/>
      <c r="C626" s="16"/>
      <c r="D626" s="16"/>
      <c r="E626" s="16"/>
      <c r="F626" s="17"/>
      <c r="G626" s="16"/>
      <c r="H626" s="16"/>
      <c r="I626" s="16"/>
      <c r="J626" s="16"/>
      <c r="K626" s="16"/>
      <c r="L626" s="16"/>
      <c r="M626" s="18" t="str">
        <f aca="false">IF(OR(C626="",D626=""),"",IF(MOD(COUNTIFS($C$2:C626,C626,$D$2:D626,D626)*7,10)&lt;3,"teste","treino"))</f>
        <v/>
      </c>
      <c r="N626" s="16"/>
      <c r="O626" s="16"/>
      <c r="P626" s="16"/>
      <c r="Q626" s="17"/>
    </row>
    <row r="627" customFormat="false" ht="15" hidden="false" customHeight="false" outlineLevel="0" collapsed="false">
      <c r="A627" s="15" t="str">
        <f aca="false">IF(B627="","",ROW()-1)</f>
        <v/>
      </c>
      <c r="B627" s="16"/>
      <c r="C627" s="16"/>
      <c r="D627" s="16"/>
      <c r="E627" s="16"/>
      <c r="F627" s="17"/>
      <c r="G627" s="16"/>
      <c r="H627" s="16"/>
      <c r="I627" s="16"/>
      <c r="J627" s="16"/>
      <c r="K627" s="16"/>
      <c r="L627" s="16"/>
      <c r="M627" s="18" t="str">
        <f aca="false">IF(OR(C627="",D627=""),"",IF(MOD(COUNTIFS($C$2:C627,C627,$D$2:D627,D627)*7,10)&lt;3,"teste","treino"))</f>
        <v/>
      </c>
      <c r="N627" s="16"/>
      <c r="O627" s="16"/>
      <c r="P627" s="16"/>
      <c r="Q627" s="17"/>
    </row>
    <row r="628" customFormat="false" ht="15" hidden="false" customHeight="false" outlineLevel="0" collapsed="false">
      <c r="A628" s="15" t="str">
        <f aca="false">IF(B628="","",ROW()-1)</f>
        <v/>
      </c>
      <c r="B628" s="16"/>
      <c r="C628" s="16"/>
      <c r="D628" s="16"/>
      <c r="E628" s="16"/>
      <c r="F628" s="17"/>
      <c r="G628" s="16"/>
      <c r="H628" s="16"/>
      <c r="I628" s="16"/>
      <c r="J628" s="16"/>
      <c r="K628" s="16"/>
      <c r="L628" s="16"/>
      <c r="M628" s="18" t="str">
        <f aca="false">IF(OR(C628="",D628=""),"",IF(MOD(COUNTIFS($C$2:C628,C628,$D$2:D628,D628)*7,10)&lt;3,"teste","treino"))</f>
        <v/>
      </c>
      <c r="N628" s="16"/>
      <c r="O628" s="16"/>
      <c r="P628" s="16"/>
      <c r="Q628" s="17"/>
    </row>
    <row r="629" customFormat="false" ht="15" hidden="false" customHeight="false" outlineLevel="0" collapsed="false">
      <c r="A629" s="15" t="str">
        <f aca="false">IF(B629="","",ROW()-1)</f>
        <v/>
      </c>
      <c r="B629" s="16"/>
      <c r="C629" s="16"/>
      <c r="D629" s="16"/>
      <c r="E629" s="16"/>
      <c r="F629" s="17"/>
      <c r="G629" s="16"/>
      <c r="H629" s="16"/>
      <c r="I629" s="16"/>
      <c r="J629" s="16"/>
      <c r="K629" s="16"/>
      <c r="L629" s="16"/>
      <c r="M629" s="18" t="str">
        <f aca="false">IF(OR(C629="",D629=""),"",IF(MOD(COUNTIFS($C$2:C629,C629,$D$2:D629,D629)*7,10)&lt;3,"teste","treino"))</f>
        <v/>
      </c>
      <c r="N629" s="16"/>
      <c r="O629" s="16"/>
      <c r="P629" s="16"/>
      <c r="Q629" s="17"/>
    </row>
    <row r="630" customFormat="false" ht="15" hidden="false" customHeight="false" outlineLevel="0" collapsed="false">
      <c r="A630" s="15" t="str">
        <f aca="false">IF(B630="","",ROW()-1)</f>
        <v/>
      </c>
      <c r="B630" s="16"/>
      <c r="C630" s="16"/>
      <c r="D630" s="16"/>
      <c r="E630" s="16"/>
      <c r="F630" s="17"/>
      <c r="G630" s="16"/>
      <c r="H630" s="16"/>
      <c r="I630" s="16"/>
      <c r="J630" s="16"/>
      <c r="K630" s="16"/>
      <c r="L630" s="16"/>
      <c r="M630" s="18" t="str">
        <f aca="false">IF(OR(C630="",D630=""),"",IF(MOD(COUNTIFS($C$2:C630,C630,$D$2:D630,D630)*7,10)&lt;3,"teste","treino"))</f>
        <v/>
      </c>
      <c r="N630" s="16"/>
      <c r="O630" s="16"/>
      <c r="P630" s="16"/>
      <c r="Q630" s="17"/>
    </row>
    <row r="631" customFormat="false" ht="15" hidden="false" customHeight="false" outlineLevel="0" collapsed="false">
      <c r="A631" s="15" t="str">
        <f aca="false">IF(B631="","",ROW()-1)</f>
        <v/>
      </c>
      <c r="B631" s="16"/>
      <c r="C631" s="16"/>
      <c r="D631" s="16"/>
      <c r="E631" s="16"/>
      <c r="F631" s="17"/>
      <c r="G631" s="16"/>
      <c r="H631" s="16"/>
      <c r="I631" s="16"/>
      <c r="J631" s="16"/>
      <c r="K631" s="16"/>
      <c r="L631" s="16"/>
      <c r="M631" s="18" t="str">
        <f aca="false">IF(OR(C631="",D631=""),"",IF(MOD(COUNTIFS($C$2:C631,C631,$D$2:D631,D631)*7,10)&lt;3,"teste","treino"))</f>
        <v/>
      </c>
      <c r="N631" s="16"/>
      <c r="O631" s="16"/>
      <c r="P631" s="16"/>
      <c r="Q631" s="17"/>
    </row>
    <row r="632" customFormat="false" ht="15" hidden="false" customHeight="false" outlineLevel="0" collapsed="false">
      <c r="A632" s="15" t="str">
        <f aca="false">IF(B632="","",ROW()-1)</f>
        <v/>
      </c>
      <c r="B632" s="16"/>
      <c r="C632" s="16"/>
      <c r="D632" s="16"/>
      <c r="E632" s="16"/>
      <c r="F632" s="17"/>
      <c r="G632" s="16"/>
      <c r="H632" s="16"/>
      <c r="I632" s="16"/>
      <c r="J632" s="16"/>
      <c r="K632" s="16"/>
      <c r="L632" s="16"/>
      <c r="M632" s="18" t="str">
        <f aca="false">IF(OR(C632="",D632=""),"",IF(MOD(COUNTIFS($C$2:C632,C632,$D$2:D632,D632)*7,10)&lt;3,"teste","treino"))</f>
        <v/>
      </c>
      <c r="N632" s="16"/>
      <c r="O632" s="16"/>
      <c r="P632" s="16"/>
      <c r="Q632" s="17"/>
    </row>
    <row r="633" customFormat="false" ht="15" hidden="false" customHeight="false" outlineLevel="0" collapsed="false">
      <c r="A633" s="15" t="str">
        <f aca="false">IF(B633="","",ROW()-1)</f>
        <v/>
      </c>
      <c r="B633" s="16"/>
      <c r="C633" s="16"/>
      <c r="D633" s="16"/>
      <c r="E633" s="16"/>
      <c r="F633" s="17"/>
      <c r="G633" s="16"/>
      <c r="H633" s="16"/>
      <c r="I633" s="16"/>
      <c r="J633" s="16"/>
      <c r="K633" s="16"/>
      <c r="L633" s="16"/>
      <c r="M633" s="18" t="str">
        <f aca="false">IF(OR(C633="",D633=""),"",IF(MOD(COUNTIFS($C$2:C633,C633,$D$2:D633,D633)*7,10)&lt;3,"teste","treino"))</f>
        <v/>
      </c>
      <c r="N633" s="16"/>
      <c r="O633" s="16"/>
      <c r="P633" s="16"/>
      <c r="Q633" s="17"/>
    </row>
    <row r="634" customFormat="false" ht="15" hidden="false" customHeight="false" outlineLevel="0" collapsed="false">
      <c r="A634" s="15" t="str">
        <f aca="false">IF(B634="","",ROW()-1)</f>
        <v/>
      </c>
      <c r="B634" s="16"/>
      <c r="C634" s="16"/>
      <c r="D634" s="16"/>
      <c r="E634" s="16"/>
      <c r="F634" s="17"/>
      <c r="G634" s="16"/>
      <c r="H634" s="16"/>
      <c r="I634" s="16"/>
      <c r="J634" s="16"/>
      <c r="K634" s="16"/>
      <c r="L634" s="16"/>
      <c r="M634" s="18" t="str">
        <f aca="false">IF(OR(C634="",D634=""),"",IF(MOD(COUNTIFS($C$2:C634,C634,$D$2:D634,D634)*7,10)&lt;3,"teste","treino"))</f>
        <v/>
      </c>
      <c r="N634" s="16"/>
      <c r="O634" s="16"/>
      <c r="P634" s="16"/>
      <c r="Q634" s="17"/>
    </row>
    <row r="635" customFormat="false" ht="15" hidden="false" customHeight="false" outlineLevel="0" collapsed="false">
      <c r="A635" s="15" t="str">
        <f aca="false">IF(B635="","",ROW()-1)</f>
        <v/>
      </c>
      <c r="B635" s="16"/>
      <c r="C635" s="16"/>
      <c r="D635" s="16"/>
      <c r="E635" s="16"/>
      <c r="F635" s="17"/>
      <c r="G635" s="16"/>
      <c r="H635" s="16"/>
      <c r="I635" s="16"/>
      <c r="J635" s="16"/>
      <c r="K635" s="16"/>
      <c r="L635" s="16"/>
      <c r="M635" s="18" t="str">
        <f aca="false">IF(OR(C635="",D635=""),"",IF(MOD(COUNTIFS($C$2:C635,C635,$D$2:D635,D635)*7,10)&lt;3,"teste","treino"))</f>
        <v/>
      </c>
      <c r="N635" s="16"/>
      <c r="O635" s="16"/>
      <c r="P635" s="16"/>
      <c r="Q635" s="17"/>
    </row>
    <row r="636" customFormat="false" ht="15" hidden="false" customHeight="false" outlineLevel="0" collapsed="false">
      <c r="A636" s="15" t="str">
        <f aca="false">IF(B636="","",ROW()-1)</f>
        <v/>
      </c>
      <c r="B636" s="16"/>
      <c r="C636" s="16"/>
      <c r="D636" s="16"/>
      <c r="E636" s="16"/>
      <c r="F636" s="17"/>
      <c r="G636" s="16"/>
      <c r="H636" s="16"/>
      <c r="I636" s="16"/>
      <c r="J636" s="16"/>
      <c r="K636" s="16"/>
      <c r="L636" s="16"/>
      <c r="M636" s="18" t="str">
        <f aca="false">IF(OR(C636="",D636=""),"",IF(MOD(COUNTIFS($C$2:C636,C636,$D$2:D636,D636)*7,10)&lt;3,"teste","treino"))</f>
        <v/>
      </c>
      <c r="N636" s="16"/>
      <c r="O636" s="16"/>
      <c r="P636" s="16"/>
      <c r="Q636" s="17"/>
    </row>
    <row r="637" customFormat="false" ht="15" hidden="false" customHeight="false" outlineLevel="0" collapsed="false">
      <c r="A637" s="15" t="str">
        <f aca="false">IF(B637="","",ROW()-1)</f>
        <v/>
      </c>
      <c r="B637" s="16"/>
      <c r="C637" s="16"/>
      <c r="D637" s="16"/>
      <c r="E637" s="16"/>
      <c r="F637" s="17"/>
      <c r="G637" s="16"/>
      <c r="H637" s="16"/>
      <c r="I637" s="16"/>
      <c r="J637" s="16"/>
      <c r="K637" s="16"/>
      <c r="L637" s="16"/>
      <c r="M637" s="18" t="str">
        <f aca="false">IF(OR(C637="",D637=""),"",IF(MOD(COUNTIFS($C$2:C637,C637,$D$2:D637,D637)*7,10)&lt;3,"teste","treino"))</f>
        <v/>
      </c>
      <c r="N637" s="16"/>
      <c r="O637" s="16"/>
      <c r="P637" s="16"/>
      <c r="Q637" s="17"/>
    </row>
    <row r="638" customFormat="false" ht="15" hidden="false" customHeight="false" outlineLevel="0" collapsed="false">
      <c r="A638" s="15" t="str">
        <f aca="false">IF(B638="","",ROW()-1)</f>
        <v/>
      </c>
      <c r="B638" s="16"/>
      <c r="C638" s="16"/>
      <c r="D638" s="16"/>
      <c r="E638" s="16"/>
      <c r="F638" s="17"/>
      <c r="G638" s="16"/>
      <c r="H638" s="16"/>
      <c r="I638" s="16"/>
      <c r="J638" s="16"/>
      <c r="K638" s="16"/>
      <c r="L638" s="16"/>
      <c r="M638" s="18" t="str">
        <f aca="false">IF(OR(C638="",D638=""),"",IF(MOD(COUNTIFS($C$2:C638,C638,$D$2:D638,D638)*7,10)&lt;3,"teste","treino"))</f>
        <v/>
      </c>
      <c r="N638" s="16"/>
      <c r="O638" s="16"/>
      <c r="P638" s="16"/>
      <c r="Q638" s="17"/>
    </row>
    <row r="639" customFormat="false" ht="15" hidden="false" customHeight="false" outlineLevel="0" collapsed="false">
      <c r="A639" s="15" t="str">
        <f aca="false">IF(B639="","",ROW()-1)</f>
        <v/>
      </c>
      <c r="B639" s="16"/>
      <c r="C639" s="16"/>
      <c r="D639" s="16"/>
      <c r="E639" s="16"/>
      <c r="F639" s="17"/>
      <c r="G639" s="16"/>
      <c r="H639" s="16"/>
      <c r="I639" s="16"/>
      <c r="J639" s="16"/>
      <c r="K639" s="16"/>
      <c r="L639" s="16"/>
      <c r="M639" s="18" t="str">
        <f aca="false">IF(OR(C639="",D639=""),"",IF(MOD(COUNTIFS($C$2:C639,C639,$D$2:D639,D639)*7,10)&lt;3,"teste","treino"))</f>
        <v/>
      </c>
      <c r="N639" s="16"/>
      <c r="O639" s="16"/>
      <c r="P639" s="16"/>
      <c r="Q639" s="17"/>
    </row>
    <row r="640" customFormat="false" ht="15" hidden="false" customHeight="false" outlineLevel="0" collapsed="false">
      <c r="A640" s="15" t="str">
        <f aca="false">IF(B640="","",ROW()-1)</f>
        <v/>
      </c>
      <c r="B640" s="16"/>
      <c r="C640" s="16"/>
      <c r="D640" s="16"/>
      <c r="E640" s="16"/>
      <c r="F640" s="17"/>
      <c r="G640" s="16"/>
      <c r="H640" s="16"/>
      <c r="I640" s="16"/>
      <c r="J640" s="16"/>
      <c r="K640" s="16"/>
      <c r="L640" s="16"/>
      <c r="M640" s="18" t="str">
        <f aca="false">IF(OR(C640="",D640=""),"",IF(MOD(COUNTIFS($C$2:C640,C640,$D$2:D640,D640)*7,10)&lt;3,"teste","treino"))</f>
        <v/>
      </c>
      <c r="N640" s="16"/>
      <c r="O640" s="16"/>
      <c r="P640" s="16"/>
      <c r="Q640" s="17"/>
    </row>
    <row r="641" customFormat="false" ht="15" hidden="false" customHeight="false" outlineLevel="0" collapsed="false">
      <c r="A641" s="15" t="str">
        <f aca="false">IF(B641="","",ROW()-1)</f>
        <v/>
      </c>
      <c r="B641" s="16"/>
      <c r="C641" s="16"/>
      <c r="D641" s="16"/>
      <c r="E641" s="16"/>
      <c r="F641" s="17"/>
      <c r="G641" s="16"/>
      <c r="H641" s="16"/>
      <c r="I641" s="16"/>
      <c r="J641" s="16"/>
      <c r="K641" s="16"/>
      <c r="L641" s="16"/>
      <c r="M641" s="18" t="str">
        <f aca="false">IF(OR(C641="",D641=""),"",IF(MOD(COUNTIFS($C$2:C641,C641,$D$2:D641,D641)*7,10)&lt;3,"teste","treino"))</f>
        <v/>
      </c>
      <c r="N641" s="16"/>
      <c r="O641" s="16"/>
      <c r="P641" s="16"/>
      <c r="Q641" s="17"/>
    </row>
    <row r="642" customFormat="false" ht="15" hidden="false" customHeight="false" outlineLevel="0" collapsed="false">
      <c r="A642" s="15" t="str">
        <f aca="false">IF(B642="","",ROW()-1)</f>
        <v/>
      </c>
      <c r="B642" s="16"/>
      <c r="C642" s="16"/>
      <c r="D642" s="16"/>
      <c r="E642" s="16"/>
      <c r="F642" s="17"/>
      <c r="G642" s="16"/>
      <c r="H642" s="16"/>
      <c r="I642" s="16"/>
      <c r="J642" s="16"/>
      <c r="K642" s="16"/>
      <c r="L642" s="16"/>
      <c r="M642" s="18" t="str">
        <f aca="false">IF(OR(C642="",D642=""),"",IF(MOD(COUNTIFS($C$2:C642,C642,$D$2:D642,D642)*7,10)&lt;3,"teste","treino"))</f>
        <v/>
      </c>
      <c r="N642" s="16"/>
      <c r="O642" s="16"/>
      <c r="P642" s="16"/>
      <c r="Q642" s="17"/>
    </row>
    <row r="643" customFormat="false" ht="15" hidden="false" customHeight="false" outlineLevel="0" collapsed="false">
      <c r="A643" s="15" t="str">
        <f aca="false">IF(B643="","",ROW()-1)</f>
        <v/>
      </c>
      <c r="B643" s="16"/>
      <c r="C643" s="16"/>
      <c r="D643" s="16"/>
      <c r="E643" s="16"/>
      <c r="F643" s="17"/>
      <c r="G643" s="16"/>
      <c r="H643" s="16"/>
      <c r="I643" s="16"/>
      <c r="J643" s="16"/>
      <c r="K643" s="16"/>
      <c r="L643" s="16"/>
      <c r="M643" s="18" t="str">
        <f aca="false">IF(OR(C643="",D643=""),"",IF(MOD(COUNTIFS($C$2:C643,C643,$D$2:D643,D643)*7,10)&lt;3,"teste","treino"))</f>
        <v/>
      </c>
      <c r="N643" s="16"/>
      <c r="O643" s="16"/>
      <c r="P643" s="16"/>
      <c r="Q643" s="17"/>
    </row>
    <row r="644" customFormat="false" ht="15" hidden="false" customHeight="false" outlineLevel="0" collapsed="false">
      <c r="A644" s="15" t="str">
        <f aca="false">IF(B644="","",ROW()-1)</f>
        <v/>
      </c>
      <c r="B644" s="16"/>
      <c r="C644" s="16"/>
      <c r="D644" s="16"/>
      <c r="E644" s="16"/>
      <c r="F644" s="17"/>
      <c r="G644" s="16"/>
      <c r="H644" s="16"/>
      <c r="I644" s="16"/>
      <c r="J644" s="16"/>
      <c r="K644" s="16"/>
      <c r="L644" s="16"/>
      <c r="M644" s="18" t="str">
        <f aca="false">IF(OR(C644="",D644=""),"",IF(MOD(COUNTIFS($C$2:C644,C644,$D$2:D644,D644)*7,10)&lt;3,"teste","treino"))</f>
        <v/>
      </c>
      <c r="N644" s="16"/>
      <c r="O644" s="16"/>
      <c r="P644" s="16"/>
      <c r="Q644" s="17"/>
    </row>
    <row r="645" customFormat="false" ht="15" hidden="false" customHeight="false" outlineLevel="0" collapsed="false">
      <c r="A645" s="15" t="str">
        <f aca="false">IF(B645="","",ROW()-1)</f>
        <v/>
      </c>
      <c r="B645" s="16"/>
      <c r="C645" s="16"/>
      <c r="D645" s="16"/>
      <c r="E645" s="16"/>
      <c r="F645" s="17"/>
      <c r="G645" s="16"/>
      <c r="H645" s="16"/>
      <c r="I645" s="16"/>
      <c r="J645" s="16"/>
      <c r="K645" s="16"/>
      <c r="L645" s="16"/>
      <c r="M645" s="18" t="str">
        <f aca="false">IF(OR(C645="",D645=""),"",IF(MOD(COUNTIFS($C$2:C645,C645,$D$2:D645,D645)*7,10)&lt;3,"teste","treino"))</f>
        <v/>
      </c>
      <c r="N645" s="16"/>
      <c r="O645" s="16"/>
      <c r="P645" s="16"/>
      <c r="Q645" s="17"/>
    </row>
    <row r="646" customFormat="false" ht="15" hidden="false" customHeight="false" outlineLevel="0" collapsed="false">
      <c r="A646" s="15" t="str">
        <f aca="false">IF(B646="","",ROW()-1)</f>
        <v/>
      </c>
      <c r="B646" s="16"/>
      <c r="C646" s="16"/>
      <c r="D646" s="16"/>
      <c r="E646" s="16"/>
      <c r="F646" s="17"/>
      <c r="G646" s="16"/>
      <c r="H646" s="16"/>
      <c r="I646" s="16"/>
      <c r="J646" s="16"/>
      <c r="K646" s="16"/>
      <c r="L646" s="16"/>
      <c r="M646" s="18" t="str">
        <f aca="false">IF(OR(C646="",D646=""),"",IF(MOD(COUNTIFS($C$2:C646,C646,$D$2:D646,D646)*7,10)&lt;3,"teste","treino"))</f>
        <v/>
      </c>
      <c r="N646" s="16"/>
      <c r="O646" s="16"/>
      <c r="P646" s="16"/>
      <c r="Q646" s="17"/>
    </row>
    <row r="647" customFormat="false" ht="15" hidden="false" customHeight="false" outlineLevel="0" collapsed="false">
      <c r="A647" s="15" t="str">
        <f aca="false">IF(B647="","",ROW()-1)</f>
        <v/>
      </c>
      <c r="B647" s="16"/>
      <c r="C647" s="16"/>
      <c r="D647" s="16"/>
      <c r="E647" s="16"/>
      <c r="F647" s="17"/>
      <c r="G647" s="16"/>
      <c r="H647" s="16"/>
      <c r="I647" s="16"/>
      <c r="J647" s="16"/>
      <c r="K647" s="16"/>
      <c r="L647" s="16"/>
      <c r="M647" s="18" t="str">
        <f aca="false">IF(OR(C647="",D647=""),"",IF(MOD(COUNTIFS($C$2:C647,C647,$D$2:D647,D647)*7,10)&lt;3,"teste","treino"))</f>
        <v/>
      </c>
      <c r="N647" s="16"/>
      <c r="O647" s="16"/>
      <c r="P647" s="16"/>
      <c r="Q647" s="17"/>
    </row>
    <row r="648" customFormat="false" ht="15" hidden="false" customHeight="false" outlineLevel="0" collapsed="false">
      <c r="A648" s="15" t="str">
        <f aca="false">IF(B648="","",ROW()-1)</f>
        <v/>
      </c>
      <c r="B648" s="16"/>
      <c r="C648" s="16"/>
      <c r="D648" s="16"/>
      <c r="E648" s="16"/>
      <c r="F648" s="17"/>
      <c r="G648" s="16"/>
      <c r="H648" s="16"/>
      <c r="I648" s="16"/>
      <c r="J648" s="16"/>
      <c r="K648" s="16"/>
      <c r="L648" s="16"/>
      <c r="M648" s="18" t="str">
        <f aca="false">IF(OR(C648="",D648=""),"",IF(MOD(COUNTIFS($C$2:C648,C648,$D$2:D648,D648)*7,10)&lt;3,"teste","treino"))</f>
        <v/>
      </c>
      <c r="N648" s="16"/>
      <c r="O648" s="16"/>
      <c r="P648" s="16"/>
      <c r="Q648" s="17"/>
    </row>
    <row r="649" customFormat="false" ht="15" hidden="false" customHeight="false" outlineLevel="0" collapsed="false">
      <c r="A649" s="15" t="str">
        <f aca="false">IF(B649="","",ROW()-1)</f>
        <v/>
      </c>
      <c r="B649" s="16"/>
      <c r="C649" s="16"/>
      <c r="D649" s="16"/>
      <c r="E649" s="16"/>
      <c r="F649" s="17"/>
      <c r="G649" s="16"/>
      <c r="H649" s="16"/>
      <c r="I649" s="16"/>
      <c r="J649" s="16"/>
      <c r="K649" s="16"/>
      <c r="L649" s="16"/>
      <c r="M649" s="18" t="str">
        <f aca="false">IF(OR(C649="",D649=""),"",IF(MOD(COUNTIFS($C$2:C649,C649,$D$2:D649,D649)*7,10)&lt;3,"teste","treino"))</f>
        <v/>
      </c>
      <c r="N649" s="16"/>
      <c r="O649" s="16"/>
      <c r="P649" s="16"/>
      <c r="Q649" s="17"/>
    </row>
    <row r="650" customFormat="false" ht="15" hidden="false" customHeight="false" outlineLevel="0" collapsed="false">
      <c r="A650" s="15" t="str">
        <f aca="false">IF(B650="","",ROW()-1)</f>
        <v/>
      </c>
      <c r="B650" s="16"/>
      <c r="C650" s="16"/>
      <c r="D650" s="16"/>
      <c r="E650" s="16"/>
      <c r="F650" s="17"/>
      <c r="G650" s="16"/>
      <c r="H650" s="16"/>
      <c r="I650" s="16"/>
      <c r="J650" s="16"/>
      <c r="K650" s="16"/>
      <c r="L650" s="16"/>
      <c r="M650" s="18" t="str">
        <f aca="false">IF(OR(C650="",D650=""),"",IF(MOD(COUNTIFS($C$2:C650,C650,$D$2:D650,D650)*7,10)&lt;3,"teste","treino"))</f>
        <v/>
      </c>
      <c r="N650" s="16"/>
      <c r="O650" s="16"/>
      <c r="P650" s="16"/>
      <c r="Q650" s="17"/>
    </row>
    <row r="651" customFormat="false" ht="15" hidden="false" customHeight="false" outlineLevel="0" collapsed="false">
      <c r="A651" s="15" t="str">
        <f aca="false">IF(B651="","",ROW()-1)</f>
        <v/>
      </c>
      <c r="B651" s="16"/>
      <c r="C651" s="16"/>
      <c r="D651" s="16"/>
      <c r="E651" s="16"/>
      <c r="F651" s="17"/>
      <c r="G651" s="16"/>
      <c r="H651" s="16"/>
      <c r="I651" s="16"/>
      <c r="J651" s="16"/>
      <c r="K651" s="16"/>
      <c r="L651" s="16"/>
      <c r="M651" s="18" t="str">
        <f aca="false">IF(OR(C651="",D651=""),"",IF(MOD(COUNTIFS($C$2:C651,C651,$D$2:D651,D651)*7,10)&lt;3,"teste","treino"))</f>
        <v/>
      </c>
      <c r="N651" s="16"/>
      <c r="O651" s="16"/>
      <c r="P651" s="16"/>
      <c r="Q651" s="17"/>
    </row>
    <row r="652" customFormat="false" ht="15" hidden="false" customHeight="false" outlineLevel="0" collapsed="false">
      <c r="A652" s="15" t="str">
        <f aca="false">IF(B652="","",ROW()-1)</f>
        <v/>
      </c>
      <c r="B652" s="16"/>
      <c r="C652" s="16"/>
      <c r="D652" s="16"/>
      <c r="E652" s="16"/>
      <c r="F652" s="17"/>
      <c r="G652" s="16"/>
      <c r="H652" s="16"/>
      <c r="I652" s="16"/>
      <c r="J652" s="16"/>
      <c r="K652" s="16"/>
      <c r="L652" s="16"/>
      <c r="M652" s="18" t="str">
        <f aca="false">IF(OR(C652="",D652=""),"",IF(MOD(COUNTIFS($C$2:C652,C652,$D$2:D652,D652)*7,10)&lt;3,"teste","treino"))</f>
        <v/>
      </c>
      <c r="N652" s="16"/>
      <c r="O652" s="16"/>
      <c r="P652" s="16"/>
      <c r="Q652" s="17"/>
    </row>
    <row r="653" customFormat="false" ht="15" hidden="false" customHeight="false" outlineLevel="0" collapsed="false">
      <c r="A653" s="15" t="str">
        <f aca="false">IF(B653="","",ROW()-1)</f>
        <v/>
      </c>
      <c r="B653" s="16"/>
      <c r="C653" s="16"/>
      <c r="D653" s="16"/>
      <c r="E653" s="16"/>
      <c r="F653" s="17"/>
      <c r="G653" s="16"/>
      <c r="H653" s="16"/>
      <c r="I653" s="16"/>
      <c r="J653" s="16"/>
      <c r="K653" s="16"/>
      <c r="L653" s="16"/>
      <c r="M653" s="18" t="str">
        <f aca="false">IF(OR(C653="",D653=""),"",IF(MOD(COUNTIFS($C$2:C653,C653,$D$2:D653,D653)*7,10)&lt;3,"teste","treino"))</f>
        <v/>
      </c>
      <c r="N653" s="16"/>
      <c r="O653" s="16"/>
      <c r="P653" s="16"/>
      <c r="Q653" s="17"/>
    </row>
    <row r="654" customFormat="false" ht="15" hidden="false" customHeight="false" outlineLevel="0" collapsed="false">
      <c r="A654" s="15" t="str">
        <f aca="false">IF(B654="","",ROW()-1)</f>
        <v/>
      </c>
      <c r="B654" s="16"/>
      <c r="C654" s="16"/>
      <c r="D654" s="16"/>
      <c r="E654" s="16"/>
      <c r="F654" s="17"/>
      <c r="G654" s="16"/>
      <c r="H654" s="16"/>
      <c r="I654" s="16"/>
      <c r="J654" s="16"/>
      <c r="K654" s="16"/>
      <c r="L654" s="16"/>
      <c r="M654" s="18" t="str">
        <f aca="false">IF(OR(C654="",D654=""),"",IF(MOD(COUNTIFS($C$2:C654,C654,$D$2:D654,D654)*7,10)&lt;3,"teste","treino"))</f>
        <v/>
      </c>
      <c r="N654" s="16"/>
      <c r="O654" s="16"/>
      <c r="P654" s="16"/>
      <c r="Q654" s="17"/>
    </row>
    <row r="655" customFormat="false" ht="15" hidden="false" customHeight="false" outlineLevel="0" collapsed="false">
      <c r="A655" s="15" t="str">
        <f aca="false">IF(B655="","",ROW()-1)</f>
        <v/>
      </c>
      <c r="B655" s="16"/>
      <c r="C655" s="16"/>
      <c r="D655" s="16"/>
      <c r="E655" s="16"/>
      <c r="F655" s="17"/>
      <c r="G655" s="16"/>
      <c r="H655" s="16"/>
      <c r="I655" s="16"/>
      <c r="J655" s="16"/>
      <c r="K655" s="16"/>
      <c r="L655" s="16"/>
      <c r="M655" s="18" t="str">
        <f aca="false">IF(OR(C655="",D655=""),"",IF(MOD(COUNTIFS($C$2:C655,C655,$D$2:D655,D655)*7,10)&lt;3,"teste","treino"))</f>
        <v/>
      </c>
      <c r="N655" s="16"/>
      <c r="O655" s="16"/>
      <c r="P655" s="16"/>
      <c r="Q655" s="17"/>
    </row>
    <row r="656" customFormat="false" ht="15" hidden="false" customHeight="false" outlineLevel="0" collapsed="false">
      <c r="A656" s="15" t="str">
        <f aca="false">IF(B656="","",ROW()-1)</f>
        <v/>
      </c>
      <c r="B656" s="16"/>
      <c r="C656" s="16"/>
      <c r="D656" s="16"/>
      <c r="E656" s="16"/>
      <c r="F656" s="17"/>
      <c r="G656" s="16"/>
      <c r="H656" s="16"/>
      <c r="I656" s="16"/>
      <c r="J656" s="16"/>
      <c r="K656" s="16"/>
      <c r="L656" s="16"/>
      <c r="M656" s="18" t="str">
        <f aca="false">IF(OR(C656="",D656=""),"",IF(MOD(COUNTIFS($C$2:C656,C656,$D$2:D656,D656)*7,10)&lt;3,"teste","treino"))</f>
        <v/>
      </c>
      <c r="N656" s="16"/>
      <c r="O656" s="16"/>
      <c r="P656" s="16"/>
      <c r="Q656" s="17"/>
    </row>
    <row r="657" customFormat="false" ht="15" hidden="false" customHeight="false" outlineLevel="0" collapsed="false">
      <c r="A657" s="15" t="str">
        <f aca="false">IF(B657="","",ROW()-1)</f>
        <v/>
      </c>
      <c r="B657" s="16"/>
      <c r="C657" s="16"/>
      <c r="D657" s="16"/>
      <c r="E657" s="16"/>
      <c r="F657" s="17"/>
      <c r="G657" s="16"/>
      <c r="H657" s="16"/>
      <c r="I657" s="16"/>
      <c r="J657" s="16"/>
      <c r="K657" s="16"/>
      <c r="L657" s="16"/>
      <c r="M657" s="18" t="str">
        <f aca="false">IF(OR(C657="",D657=""),"",IF(MOD(COUNTIFS($C$2:C657,C657,$D$2:D657,D657)*7,10)&lt;3,"teste","treino"))</f>
        <v/>
      </c>
      <c r="N657" s="16"/>
      <c r="O657" s="16"/>
      <c r="P657" s="16"/>
      <c r="Q657" s="17"/>
    </row>
    <row r="658" customFormat="false" ht="15" hidden="false" customHeight="false" outlineLevel="0" collapsed="false">
      <c r="A658" s="15" t="str">
        <f aca="false">IF(B658="","",ROW()-1)</f>
        <v/>
      </c>
      <c r="B658" s="16"/>
      <c r="C658" s="16"/>
      <c r="D658" s="16"/>
      <c r="E658" s="16"/>
      <c r="F658" s="17"/>
      <c r="G658" s="16"/>
      <c r="H658" s="16"/>
      <c r="I658" s="16"/>
      <c r="J658" s="16"/>
      <c r="K658" s="16"/>
      <c r="L658" s="16"/>
      <c r="M658" s="18" t="str">
        <f aca="false">IF(OR(C658="",D658=""),"",IF(MOD(COUNTIFS($C$2:C658,C658,$D$2:D658,D658)*7,10)&lt;3,"teste","treino"))</f>
        <v/>
      </c>
      <c r="N658" s="16"/>
      <c r="O658" s="16"/>
      <c r="P658" s="16"/>
      <c r="Q658" s="17"/>
    </row>
    <row r="659" customFormat="false" ht="15" hidden="false" customHeight="false" outlineLevel="0" collapsed="false">
      <c r="A659" s="15" t="str">
        <f aca="false">IF(B659="","",ROW()-1)</f>
        <v/>
      </c>
      <c r="B659" s="16"/>
      <c r="C659" s="16"/>
      <c r="D659" s="16"/>
      <c r="E659" s="16"/>
      <c r="F659" s="17"/>
      <c r="G659" s="16"/>
      <c r="H659" s="16"/>
      <c r="I659" s="16"/>
      <c r="J659" s="16"/>
      <c r="K659" s="16"/>
      <c r="L659" s="16"/>
      <c r="M659" s="18" t="str">
        <f aca="false">IF(OR(C659="",D659=""),"",IF(MOD(COUNTIFS($C$2:C659,C659,$D$2:D659,D659)*7,10)&lt;3,"teste","treino"))</f>
        <v/>
      </c>
      <c r="N659" s="16"/>
      <c r="O659" s="16"/>
      <c r="P659" s="16"/>
      <c r="Q659" s="17"/>
    </row>
    <row r="660" customFormat="false" ht="15" hidden="false" customHeight="false" outlineLevel="0" collapsed="false">
      <c r="A660" s="15" t="str">
        <f aca="false">IF(B660="","",ROW()-1)</f>
        <v/>
      </c>
      <c r="B660" s="16"/>
      <c r="C660" s="16"/>
      <c r="D660" s="16"/>
      <c r="E660" s="16"/>
      <c r="F660" s="17"/>
      <c r="G660" s="16"/>
      <c r="H660" s="16"/>
      <c r="I660" s="16"/>
      <c r="J660" s="16"/>
      <c r="K660" s="16"/>
      <c r="L660" s="16"/>
      <c r="M660" s="18" t="str">
        <f aca="false">IF(OR(C660="",D660=""),"",IF(MOD(COUNTIFS($C$2:C660,C660,$D$2:D660,D660)*7,10)&lt;3,"teste","treino"))</f>
        <v/>
      </c>
      <c r="N660" s="16"/>
      <c r="O660" s="16"/>
      <c r="P660" s="16"/>
      <c r="Q660" s="17"/>
    </row>
    <row r="661" customFormat="false" ht="15" hidden="false" customHeight="false" outlineLevel="0" collapsed="false">
      <c r="A661" s="15" t="str">
        <f aca="false">IF(B661="","",ROW()-1)</f>
        <v/>
      </c>
      <c r="B661" s="16"/>
      <c r="C661" s="16"/>
      <c r="D661" s="16"/>
      <c r="E661" s="16"/>
      <c r="F661" s="17"/>
      <c r="G661" s="16"/>
      <c r="H661" s="16"/>
      <c r="I661" s="16"/>
      <c r="J661" s="16"/>
      <c r="K661" s="16"/>
      <c r="L661" s="16"/>
      <c r="M661" s="18" t="str">
        <f aca="false">IF(OR(C661="",D661=""),"",IF(MOD(COUNTIFS($C$2:C661,C661,$D$2:D661,D661)*7,10)&lt;3,"teste","treino"))</f>
        <v/>
      </c>
      <c r="N661" s="16"/>
      <c r="O661" s="16"/>
      <c r="P661" s="16"/>
      <c r="Q661" s="17"/>
    </row>
    <row r="662" customFormat="false" ht="15" hidden="false" customHeight="false" outlineLevel="0" collapsed="false">
      <c r="A662" s="15" t="str">
        <f aca="false">IF(B662="","",ROW()-1)</f>
        <v/>
      </c>
      <c r="B662" s="16"/>
      <c r="C662" s="16"/>
      <c r="D662" s="16"/>
      <c r="E662" s="16"/>
      <c r="F662" s="17"/>
      <c r="G662" s="16"/>
      <c r="H662" s="16"/>
      <c r="I662" s="16"/>
      <c r="J662" s="16"/>
      <c r="K662" s="16"/>
      <c r="L662" s="16"/>
      <c r="M662" s="18" t="str">
        <f aca="false">IF(OR(C662="",D662=""),"",IF(MOD(COUNTIFS($C$2:C662,C662,$D$2:D662,D662)*7,10)&lt;3,"teste","treino"))</f>
        <v/>
      </c>
      <c r="N662" s="16"/>
      <c r="O662" s="16"/>
      <c r="P662" s="16"/>
      <c r="Q662" s="17"/>
    </row>
    <row r="663" customFormat="false" ht="15" hidden="false" customHeight="false" outlineLevel="0" collapsed="false">
      <c r="A663" s="15" t="str">
        <f aca="false">IF(B663="","",ROW()-1)</f>
        <v/>
      </c>
      <c r="B663" s="16"/>
      <c r="C663" s="16"/>
      <c r="D663" s="16"/>
      <c r="E663" s="16"/>
      <c r="F663" s="17"/>
      <c r="G663" s="16"/>
      <c r="H663" s="16"/>
      <c r="I663" s="16"/>
      <c r="J663" s="16"/>
      <c r="K663" s="16"/>
      <c r="L663" s="16"/>
      <c r="M663" s="18" t="str">
        <f aca="false">IF(OR(C663="",D663=""),"",IF(MOD(COUNTIFS($C$2:C663,C663,$D$2:D663,D663)*7,10)&lt;3,"teste","treino"))</f>
        <v/>
      </c>
      <c r="N663" s="16"/>
      <c r="O663" s="16"/>
      <c r="P663" s="16"/>
      <c r="Q663" s="17"/>
    </row>
    <row r="664" customFormat="false" ht="15" hidden="false" customHeight="false" outlineLevel="0" collapsed="false">
      <c r="A664" s="15" t="str">
        <f aca="false">IF(B664="","",ROW()-1)</f>
        <v/>
      </c>
      <c r="B664" s="16"/>
      <c r="C664" s="16"/>
      <c r="D664" s="16"/>
      <c r="E664" s="16"/>
      <c r="F664" s="17"/>
      <c r="G664" s="16"/>
      <c r="H664" s="16"/>
      <c r="I664" s="16"/>
      <c r="J664" s="16"/>
      <c r="K664" s="16"/>
      <c r="L664" s="16"/>
      <c r="M664" s="18" t="str">
        <f aca="false">IF(OR(C664="",D664=""),"",IF(MOD(COUNTIFS($C$2:C664,C664,$D$2:D664,D664)*7,10)&lt;3,"teste","treino"))</f>
        <v/>
      </c>
      <c r="N664" s="16"/>
      <c r="O664" s="16"/>
      <c r="P664" s="16"/>
      <c r="Q664" s="17"/>
    </row>
    <row r="665" customFormat="false" ht="15" hidden="false" customHeight="false" outlineLevel="0" collapsed="false">
      <c r="A665" s="15" t="str">
        <f aca="false">IF(B665="","",ROW()-1)</f>
        <v/>
      </c>
      <c r="B665" s="16"/>
      <c r="C665" s="16"/>
      <c r="D665" s="16"/>
      <c r="E665" s="16"/>
      <c r="F665" s="17"/>
      <c r="G665" s="16"/>
      <c r="H665" s="16"/>
      <c r="I665" s="16"/>
      <c r="J665" s="16"/>
      <c r="K665" s="16"/>
      <c r="L665" s="16"/>
      <c r="M665" s="18" t="str">
        <f aca="false">IF(OR(C665="",D665=""),"",IF(MOD(COUNTIFS($C$2:C665,C665,$D$2:D665,D665)*7,10)&lt;3,"teste","treino"))</f>
        <v/>
      </c>
      <c r="N665" s="16"/>
      <c r="O665" s="16"/>
      <c r="P665" s="16"/>
      <c r="Q665" s="17"/>
    </row>
    <row r="666" customFormat="false" ht="15" hidden="false" customHeight="false" outlineLevel="0" collapsed="false">
      <c r="A666" s="15" t="str">
        <f aca="false">IF(B666="","",ROW()-1)</f>
        <v/>
      </c>
      <c r="B666" s="16"/>
      <c r="C666" s="16"/>
      <c r="D666" s="16"/>
      <c r="E666" s="16"/>
      <c r="F666" s="17"/>
      <c r="G666" s="16"/>
      <c r="H666" s="16"/>
      <c r="I666" s="16"/>
      <c r="J666" s="16"/>
      <c r="K666" s="16"/>
      <c r="L666" s="16"/>
      <c r="M666" s="18" t="str">
        <f aca="false">IF(OR(C666="",D666=""),"",IF(MOD(COUNTIFS($C$2:C666,C666,$D$2:D666,D666)*7,10)&lt;3,"teste","treino"))</f>
        <v/>
      </c>
      <c r="N666" s="16"/>
      <c r="O666" s="16"/>
      <c r="P666" s="16"/>
      <c r="Q666" s="17"/>
    </row>
    <row r="667" customFormat="false" ht="15" hidden="false" customHeight="false" outlineLevel="0" collapsed="false">
      <c r="A667" s="15" t="str">
        <f aca="false">IF(B667="","",ROW()-1)</f>
        <v/>
      </c>
      <c r="B667" s="16"/>
      <c r="C667" s="16"/>
      <c r="D667" s="16"/>
      <c r="E667" s="16"/>
      <c r="F667" s="17"/>
      <c r="G667" s="16"/>
      <c r="H667" s="16"/>
      <c r="I667" s="16"/>
      <c r="J667" s="16"/>
      <c r="K667" s="16"/>
      <c r="L667" s="16"/>
      <c r="M667" s="18" t="str">
        <f aca="false">IF(OR(C667="",D667=""),"",IF(MOD(COUNTIFS($C$2:C667,C667,$D$2:D667,D667)*7,10)&lt;3,"teste","treino"))</f>
        <v/>
      </c>
      <c r="N667" s="16"/>
      <c r="O667" s="16"/>
      <c r="P667" s="16"/>
      <c r="Q667" s="17"/>
    </row>
    <row r="668" customFormat="false" ht="15" hidden="false" customHeight="false" outlineLevel="0" collapsed="false">
      <c r="A668" s="15" t="str">
        <f aca="false">IF(B668="","",ROW()-1)</f>
        <v/>
      </c>
      <c r="B668" s="16"/>
      <c r="C668" s="16"/>
      <c r="D668" s="16"/>
      <c r="E668" s="16"/>
      <c r="F668" s="17"/>
      <c r="G668" s="16"/>
      <c r="H668" s="16"/>
      <c r="I668" s="16"/>
      <c r="J668" s="16"/>
      <c r="K668" s="16"/>
      <c r="L668" s="16"/>
      <c r="M668" s="18" t="str">
        <f aca="false">IF(OR(C668="",D668=""),"",IF(MOD(COUNTIFS($C$2:C668,C668,$D$2:D668,D668)*7,10)&lt;3,"teste","treino"))</f>
        <v/>
      </c>
      <c r="N668" s="16"/>
      <c r="O668" s="16"/>
      <c r="P668" s="16"/>
      <c r="Q668" s="17"/>
    </row>
    <row r="669" customFormat="false" ht="15" hidden="false" customHeight="false" outlineLevel="0" collapsed="false">
      <c r="A669" s="15" t="str">
        <f aca="false">IF(B669="","",ROW()-1)</f>
        <v/>
      </c>
      <c r="B669" s="16"/>
      <c r="C669" s="16"/>
      <c r="D669" s="16"/>
      <c r="E669" s="16"/>
      <c r="F669" s="17"/>
      <c r="G669" s="16"/>
      <c r="H669" s="16"/>
      <c r="I669" s="16"/>
      <c r="J669" s="16"/>
      <c r="K669" s="16"/>
      <c r="L669" s="16"/>
      <c r="M669" s="18" t="str">
        <f aca="false">IF(OR(C669="",D669=""),"",IF(MOD(COUNTIFS($C$2:C669,C669,$D$2:D669,D669)*7,10)&lt;3,"teste","treino"))</f>
        <v/>
      </c>
      <c r="N669" s="16"/>
      <c r="O669" s="16"/>
      <c r="P669" s="16"/>
      <c r="Q669" s="17"/>
    </row>
    <row r="670" customFormat="false" ht="15" hidden="false" customHeight="false" outlineLevel="0" collapsed="false">
      <c r="A670" s="15" t="str">
        <f aca="false">IF(B670="","",ROW()-1)</f>
        <v/>
      </c>
      <c r="B670" s="16"/>
      <c r="C670" s="16"/>
      <c r="D670" s="16"/>
      <c r="E670" s="16"/>
      <c r="F670" s="17"/>
      <c r="G670" s="16"/>
      <c r="H670" s="16"/>
      <c r="I670" s="16"/>
      <c r="J670" s="16"/>
      <c r="K670" s="16"/>
      <c r="L670" s="16"/>
      <c r="M670" s="18" t="str">
        <f aca="false">IF(OR(C670="",D670=""),"",IF(MOD(COUNTIFS($C$2:C670,C670,$D$2:D670,D670)*7,10)&lt;3,"teste","treino"))</f>
        <v/>
      </c>
      <c r="N670" s="16"/>
      <c r="O670" s="16"/>
      <c r="P670" s="16"/>
      <c r="Q670" s="17"/>
    </row>
    <row r="671" customFormat="false" ht="15" hidden="false" customHeight="false" outlineLevel="0" collapsed="false">
      <c r="A671" s="15" t="str">
        <f aca="false">IF(B671="","",ROW()-1)</f>
        <v/>
      </c>
      <c r="B671" s="16"/>
      <c r="C671" s="16"/>
      <c r="D671" s="16"/>
      <c r="E671" s="16"/>
      <c r="F671" s="17"/>
      <c r="G671" s="16"/>
      <c r="H671" s="16"/>
      <c r="I671" s="16"/>
      <c r="J671" s="16"/>
      <c r="K671" s="16"/>
      <c r="L671" s="16"/>
      <c r="M671" s="18" t="str">
        <f aca="false">IF(OR(C671="",D671=""),"",IF(MOD(COUNTIFS($C$2:C671,C671,$D$2:D671,D671)*7,10)&lt;3,"teste","treino"))</f>
        <v/>
      </c>
      <c r="N671" s="16"/>
      <c r="O671" s="16"/>
      <c r="P671" s="16"/>
      <c r="Q671" s="17"/>
    </row>
    <row r="672" customFormat="false" ht="15" hidden="false" customHeight="false" outlineLevel="0" collapsed="false">
      <c r="A672" s="15" t="str">
        <f aca="false">IF(B672="","",ROW()-1)</f>
        <v/>
      </c>
      <c r="B672" s="16"/>
      <c r="C672" s="16"/>
      <c r="D672" s="16"/>
      <c r="E672" s="16"/>
      <c r="F672" s="17"/>
      <c r="G672" s="16"/>
      <c r="H672" s="16"/>
      <c r="I672" s="16"/>
      <c r="J672" s="16"/>
      <c r="K672" s="16"/>
      <c r="L672" s="16"/>
      <c r="M672" s="18" t="str">
        <f aca="false">IF(OR(C672="",D672=""),"",IF(MOD(COUNTIFS($C$2:C672,C672,$D$2:D672,D672)*7,10)&lt;3,"teste","treino"))</f>
        <v/>
      </c>
      <c r="N672" s="16"/>
      <c r="O672" s="16"/>
      <c r="P672" s="16"/>
      <c r="Q672" s="17"/>
    </row>
    <row r="673" customFormat="false" ht="15" hidden="false" customHeight="false" outlineLevel="0" collapsed="false">
      <c r="A673" s="15" t="str">
        <f aca="false">IF(B673="","",ROW()-1)</f>
        <v/>
      </c>
      <c r="B673" s="16"/>
      <c r="C673" s="16"/>
      <c r="D673" s="16"/>
      <c r="E673" s="16"/>
      <c r="F673" s="17"/>
      <c r="G673" s="16"/>
      <c r="H673" s="16"/>
      <c r="I673" s="16"/>
      <c r="J673" s="16"/>
      <c r="K673" s="16"/>
      <c r="L673" s="16"/>
      <c r="M673" s="18" t="str">
        <f aca="false">IF(OR(C673="",D673=""),"",IF(MOD(COUNTIFS($C$2:C673,C673,$D$2:D673,D673)*7,10)&lt;3,"teste","treino"))</f>
        <v/>
      </c>
      <c r="N673" s="16"/>
      <c r="O673" s="16"/>
      <c r="P673" s="16"/>
      <c r="Q673" s="17"/>
    </row>
    <row r="674" customFormat="false" ht="15" hidden="false" customHeight="false" outlineLevel="0" collapsed="false">
      <c r="A674" s="15" t="str">
        <f aca="false">IF(B674="","",ROW()-1)</f>
        <v/>
      </c>
      <c r="B674" s="16"/>
      <c r="C674" s="16"/>
      <c r="D674" s="16"/>
      <c r="E674" s="16"/>
      <c r="F674" s="17"/>
      <c r="G674" s="16"/>
      <c r="H674" s="16"/>
      <c r="I674" s="16"/>
      <c r="J674" s="16"/>
      <c r="K674" s="16"/>
      <c r="L674" s="16"/>
      <c r="M674" s="18" t="str">
        <f aca="false">IF(OR(C674="",D674=""),"",IF(MOD(COUNTIFS($C$2:C674,C674,$D$2:D674,D674)*7,10)&lt;3,"teste","treino"))</f>
        <v/>
      </c>
      <c r="N674" s="16"/>
      <c r="O674" s="16"/>
      <c r="P674" s="16"/>
      <c r="Q674" s="17"/>
    </row>
    <row r="675" customFormat="false" ht="15" hidden="false" customHeight="false" outlineLevel="0" collapsed="false">
      <c r="A675" s="15" t="str">
        <f aca="false">IF(B675="","",ROW()-1)</f>
        <v/>
      </c>
      <c r="B675" s="16"/>
      <c r="C675" s="16"/>
      <c r="D675" s="16"/>
      <c r="E675" s="16"/>
      <c r="F675" s="17"/>
      <c r="G675" s="16"/>
      <c r="H675" s="16"/>
      <c r="I675" s="16"/>
      <c r="J675" s="16"/>
      <c r="K675" s="16"/>
      <c r="L675" s="16"/>
      <c r="M675" s="18" t="str">
        <f aca="false">IF(OR(C675="",D675=""),"",IF(MOD(COUNTIFS($C$2:C675,C675,$D$2:D675,D675)*7,10)&lt;3,"teste","treino"))</f>
        <v/>
      </c>
      <c r="N675" s="16"/>
      <c r="O675" s="16"/>
      <c r="P675" s="16"/>
      <c r="Q675" s="17"/>
    </row>
    <row r="676" customFormat="false" ht="15" hidden="false" customHeight="false" outlineLevel="0" collapsed="false">
      <c r="A676" s="15" t="str">
        <f aca="false">IF(B676="","",ROW()-1)</f>
        <v/>
      </c>
      <c r="B676" s="16"/>
      <c r="C676" s="16"/>
      <c r="D676" s="16"/>
      <c r="E676" s="16"/>
      <c r="F676" s="17"/>
      <c r="G676" s="16"/>
      <c r="H676" s="16"/>
      <c r="I676" s="16"/>
      <c r="J676" s="16"/>
      <c r="K676" s="16"/>
      <c r="L676" s="16"/>
      <c r="M676" s="18" t="str">
        <f aca="false">IF(OR(C676="",D676=""),"",IF(MOD(COUNTIFS($C$2:C676,C676,$D$2:D676,D676)*7,10)&lt;3,"teste","treino"))</f>
        <v/>
      </c>
      <c r="N676" s="16"/>
      <c r="O676" s="16"/>
      <c r="P676" s="16"/>
      <c r="Q676" s="17"/>
    </row>
    <row r="677" customFormat="false" ht="15" hidden="false" customHeight="false" outlineLevel="0" collapsed="false">
      <c r="A677" s="15" t="str">
        <f aca="false">IF(B677="","",ROW()-1)</f>
        <v/>
      </c>
      <c r="B677" s="16"/>
      <c r="C677" s="16"/>
      <c r="D677" s="16"/>
      <c r="E677" s="16"/>
      <c r="F677" s="17"/>
      <c r="G677" s="16"/>
      <c r="H677" s="16"/>
      <c r="I677" s="16"/>
      <c r="J677" s="16"/>
      <c r="K677" s="16"/>
      <c r="L677" s="16"/>
      <c r="M677" s="18" t="str">
        <f aca="false">IF(OR(C677="",D677=""),"",IF(MOD(COUNTIFS($C$2:C677,C677,$D$2:D677,D677)*7,10)&lt;3,"teste","treino"))</f>
        <v/>
      </c>
      <c r="N677" s="16"/>
      <c r="O677" s="16"/>
      <c r="P677" s="16"/>
      <c r="Q677" s="17"/>
    </row>
    <row r="678" customFormat="false" ht="15" hidden="false" customHeight="false" outlineLevel="0" collapsed="false">
      <c r="A678" s="15" t="str">
        <f aca="false">IF(B678="","",ROW()-1)</f>
        <v/>
      </c>
      <c r="B678" s="16"/>
      <c r="C678" s="16"/>
      <c r="D678" s="16"/>
      <c r="E678" s="16"/>
      <c r="F678" s="17"/>
      <c r="G678" s="16"/>
      <c r="H678" s="16"/>
      <c r="I678" s="16"/>
      <c r="J678" s="16"/>
      <c r="K678" s="16"/>
      <c r="L678" s="16"/>
      <c r="M678" s="18" t="str">
        <f aca="false">IF(OR(C678="",D678=""),"",IF(MOD(COUNTIFS($C$2:C678,C678,$D$2:D678,D678)*7,10)&lt;3,"teste","treino"))</f>
        <v/>
      </c>
      <c r="N678" s="16"/>
      <c r="O678" s="16"/>
      <c r="P678" s="16"/>
      <c r="Q678" s="17"/>
    </row>
    <row r="679" customFormat="false" ht="15" hidden="false" customHeight="false" outlineLevel="0" collapsed="false">
      <c r="A679" s="15" t="str">
        <f aca="false">IF(B679="","",ROW()-1)</f>
        <v/>
      </c>
      <c r="B679" s="16"/>
      <c r="C679" s="16"/>
      <c r="D679" s="16"/>
      <c r="E679" s="16"/>
      <c r="F679" s="17"/>
      <c r="G679" s="16"/>
      <c r="H679" s="16"/>
      <c r="I679" s="16"/>
      <c r="J679" s="16"/>
      <c r="K679" s="16"/>
      <c r="L679" s="16"/>
      <c r="M679" s="18" t="str">
        <f aca="false">IF(OR(C679="",D679=""),"",IF(MOD(COUNTIFS($C$2:C679,C679,$D$2:D679,D679)*7,10)&lt;3,"teste","treino"))</f>
        <v/>
      </c>
      <c r="N679" s="16"/>
      <c r="O679" s="16"/>
      <c r="P679" s="16"/>
      <c r="Q679" s="17"/>
    </row>
    <row r="680" customFormat="false" ht="15" hidden="false" customHeight="false" outlineLevel="0" collapsed="false">
      <c r="A680" s="15" t="str">
        <f aca="false">IF(B680="","",ROW()-1)</f>
        <v/>
      </c>
      <c r="B680" s="16"/>
      <c r="C680" s="16"/>
      <c r="D680" s="16"/>
      <c r="E680" s="16"/>
      <c r="F680" s="17"/>
      <c r="G680" s="16"/>
      <c r="H680" s="16"/>
      <c r="I680" s="16"/>
      <c r="J680" s="16"/>
      <c r="K680" s="16"/>
      <c r="L680" s="16"/>
      <c r="M680" s="18" t="str">
        <f aca="false">IF(OR(C680="",D680=""),"",IF(MOD(COUNTIFS($C$2:C680,C680,$D$2:D680,D680)*7,10)&lt;3,"teste","treino"))</f>
        <v/>
      </c>
      <c r="N680" s="16"/>
      <c r="O680" s="16"/>
      <c r="P680" s="16"/>
      <c r="Q680" s="17"/>
    </row>
    <row r="681" customFormat="false" ht="15" hidden="false" customHeight="false" outlineLevel="0" collapsed="false">
      <c r="A681" s="15" t="str">
        <f aca="false">IF(B681="","",ROW()-1)</f>
        <v/>
      </c>
      <c r="B681" s="16"/>
      <c r="C681" s="16"/>
      <c r="D681" s="16"/>
      <c r="E681" s="16"/>
      <c r="F681" s="17"/>
      <c r="G681" s="16"/>
      <c r="H681" s="16"/>
      <c r="I681" s="16"/>
      <c r="J681" s="16"/>
      <c r="K681" s="16"/>
      <c r="L681" s="16"/>
      <c r="M681" s="18" t="str">
        <f aca="false">IF(OR(C681="",D681=""),"",IF(MOD(COUNTIFS($C$2:C681,C681,$D$2:D681,D681)*7,10)&lt;3,"teste","treino"))</f>
        <v/>
      </c>
      <c r="N681" s="16"/>
      <c r="O681" s="16"/>
      <c r="P681" s="16"/>
      <c r="Q681" s="17"/>
    </row>
    <row r="682" customFormat="false" ht="15" hidden="false" customHeight="false" outlineLevel="0" collapsed="false">
      <c r="A682" s="15" t="str">
        <f aca="false">IF(B682="","",ROW()-1)</f>
        <v/>
      </c>
      <c r="B682" s="16"/>
      <c r="C682" s="16"/>
      <c r="D682" s="16"/>
      <c r="E682" s="16"/>
      <c r="F682" s="17"/>
      <c r="G682" s="16"/>
      <c r="H682" s="16"/>
      <c r="I682" s="16"/>
      <c r="J682" s="16"/>
      <c r="K682" s="16"/>
      <c r="L682" s="16"/>
      <c r="M682" s="18" t="str">
        <f aca="false">IF(OR(C682="",D682=""),"",IF(MOD(COUNTIFS($C$2:C682,C682,$D$2:D682,D682)*7,10)&lt;3,"teste","treino"))</f>
        <v/>
      </c>
      <c r="N682" s="16"/>
      <c r="O682" s="16"/>
      <c r="P682" s="16"/>
      <c r="Q682" s="17"/>
    </row>
    <row r="683" customFormat="false" ht="15" hidden="false" customHeight="false" outlineLevel="0" collapsed="false">
      <c r="A683" s="15" t="str">
        <f aca="false">IF(B683="","",ROW()-1)</f>
        <v/>
      </c>
      <c r="B683" s="16"/>
      <c r="C683" s="16"/>
      <c r="D683" s="16"/>
      <c r="E683" s="16"/>
      <c r="F683" s="17"/>
      <c r="G683" s="16"/>
      <c r="H683" s="16"/>
      <c r="I683" s="16"/>
      <c r="J683" s="16"/>
      <c r="K683" s="16"/>
      <c r="L683" s="16"/>
      <c r="M683" s="18" t="str">
        <f aca="false">IF(OR(C683="",D683=""),"",IF(MOD(COUNTIFS($C$2:C683,C683,$D$2:D683,D683)*7,10)&lt;3,"teste","treino"))</f>
        <v/>
      </c>
      <c r="N683" s="16"/>
      <c r="O683" s="16"/>
      <c r="P683" s="16"/>
      <c r="Q683" s="17"/>
    </row>
    <row r="684" customFormat="false" ht="15" hidden="false" customHeight="false" outlineLevel="0" collapsed="false">
      <c r="A684" s="15" t="str">
        <f aca="false">IF(B684="","",ROW()-1)</f>
        <v/>
      </c>
      <c r="B684" s="16"/>
      <c r="C684" s="16"/>
      <c r="D684" s="16"/>
      <c r="E684" s="16"/>
      <c r="F684" s="17"/>
      <c r="G684" s="16"/>
      <c r="H684" s="16"/>
      <c r="I684" s="16"/>
      <c r="J684" s="16"/>
      <c r="K684" s="16"/>
      <c r="L684" s="16"/>
      <c r="M684" s="18" t="str">
        <f aca="false">IF(OR(C684="",D684=""),"",IF(MOD(COUNTIFS($C$2:C684,C684,$D$2:D684,D684)*7,10)&lt;3,"teste","treino"))</f>
        <v/>
      </c>
      <c r="N684" s="16"/>
      <c r="O684" s="16"/>
      <c r="P684" s="16"/>
      <c r="Q684" s="17"/>
    </row>
    <row r="685" customFormat="false" ht="15" hidden="false" customHeight="false" outlineLevel="0" collapsed="false">
      <c r="A685" s="15" t="str">
        <f aca="false">IF(B685="","",ROW()-1)</f>
        <v/>
      </c>
      <c r="B685" s="16"/>
      <c r="C685" s="16"/>
      <c r="D685" s="16"/>
      <c r="E685" s="16"/>
      <c r="F685" s="17"/>
      <c r="G685" s="16"/>
      <c r="H685" s="16"/>
      <c r="I685" s="16"/>
      <c r="J685" s="16"/>
      <c r="K685" s="16"/>
      <c r="L685" s="16"/>
      <c r="M685" s="18" t="str">
        <f aca="false">IF(OR(C685="",D685=""),"",IF(MOD(COUNTIFS($C$2:C685,C685,$D$2:D685,D685)*7,10)&lt;3,"teste","treino"))</f>
        <v/>
      </c>
      <c r="N685" s="16"/>
      <c r="O685" s="16"/>
      <c r="P685" s="16"/>
      <c r="Q685" s="17"/>
    </row>
    <row r="686" customFormat="false" ht="15" hidden="false" customHeight="false" outlineLevel="0" collapsed="false">
      <c r="A686" s="15" t="str">
        <f aca="false">IF(B686="","",ROW()-1)</f>
        <v/>
      </c>
      <c r="B686" s="16"/>
      <c r="C686" s="16"/>
      <c r="D686" s="16"/>
      <c r="E686" s="16"/>
      <c r="F686" s="17"/>
      <c r="G686" s="16"/>
      <c r="H686" s="16"/>
      <c r="I686" s="16"/>
      <c r="J686" s="16"/>
      <c r="K686" s="16"/>
      <c r="L686" s="16"/>
      <c r="M686" s="18" t="str">
        <f aca="false">IF(OR(C686="",D686=""),"",IF(MOD(COUNTIFS($C$2:C686,C686,$D$2:D686,D686)*7,10)&lt;3,"teste","treino"))</f>
        <v/>
      </c>
      <c r="N686" s="16"/>
      <c r="O686" s="16"/>
      <c r="P686" s="16"/>
      <c r="Q686" s="17"/>
    </row>
    <row r="687" customFormat="false" ht="15" hidden="false" customHeight="false" outlineLevel="0" collapsed="false">
      <c r="A687" s="15" t="str">
        <f aca="false">IF(B687="","",ROW()-1)</f>
        <v/>
      </c>
      <c r="B687" s="16"/>
      <c r="C687" s="16"/>
      <c r="D687" s="16"/>
      <c r="E687" s="16"/>
      <c r="F687" s="17"/>
      <c r="G687" s="16"/>
      <c r="H687" s="16"/>
      <c r="I687" s="16"/>
      <c r="J687" s="16"/>
      <c r="K687" s="16"/>
      <c r="L687" s="16"/>
      <c r="M687" s="18" t="str">
        <f aca="false">IF(OR(C687="",D687=""),"",IF(MOD(COUNTIFS($C$2:C687,C687,$D$2:D687,D687)*7,10)&lt;3,"teste","treino"))</f>
        <v/>
      </c>
      <c r="N687" s="16"/>
      <c r="O687" s="16"/>
      <c r="P687" s="16"/>
      <c r="Q687" s="17"/>
    </row>
    <row r="688" customFormat="false" ht="15" hidden="false" customHeight="false" outlineLevel="0" collapsed="false">
      <c r="A688" s="15" t="str">
        <f aca="false">IF(B688="","",ROW()-1)</f>
        <v/>
      </c>
      <c r="B688" s="16"/>
      <c r="C688" s="16"/>
      <c r="D688" s="16"/>
      <c r="E688" s="16"/>
      <c r="F688" s="17"/>
      <c r="G688" s="16"/>
      <c r="H688" s="16"/>
      <c r="I688" s="16"/>
      <c r="J688" s="16"/>
      <c r="K688" s="16"/>
      <c r="L688" s="16"/>
      <c r="M688" s="18" t="str">
        <f aca="false">IF(OR(C688="",D688=""),"",IF(MOD(COUNTIFS($C$2:C688,C688,$D$2:D688,D688)*7,10)&lt;3,"teste","treino"))</f>
        <v/>
      </c>
      <c r="N688" s="16"/>
      <c r="O688" s="16"/>
      <c r="P688" s="16"/>
      <c r="Q688" s="17"/>
    </row>
    <row r="689" customFormat="false" ht="15" hidden="false" customHeight="false" outlineLevel="0" collapsed="false">
      <c r="A689" s="15" t="str">
        <f aca="false">IF(B689="","",ROW()-1)</f>
        <v/>
      </c>
      <c r="B689" s="16"/>
      <c r="C689" s="16"/>
      <c r="D689" s="16"/>
      <c r="E689" s="16"/>
      <c r="F689" s="17"/>
      <c r="G689" s="16"/>
      <c r="H689" s="16"/>
      <c r="I689" s="16"/>
      <c r="J689" s="16"/>
      <c r="K689" s="16"/>
      <c r="L689" s="16"/>
      <c r="M689" s="18" t="str">
        <f aca="false">IF(OR(C689="",D689=""),"",IF(MOD(COUNTIFS($C$2:C689,C689,$D$2:D689,D689)*7,10)&lt;3,"teste","treino"))</f>
        <v/>
      </c>
      <c r="N689" s="16"/>
      <c r="O689" s="16"/>
      <c r="P689" s="16"/>
      <c r="Q689" s="17"/>
    </row>
    <row r="690" customFormat="false" ht="15" hidden="false" customHeight="false" outlineLevel="0" collapsed="false">
      <c r="A690" s="15" t="str">
        <f aca="false">IF(B690="","",ROW()-1)</f>
        <v/>
      </c>
      <c r="B690" s="16"/>
      <c r="C690" s="16"/>
      <c r="D690" s="16"/>
      <c r="E690" s="16"/>
      <c r="F690" s="17"/>
      <c r="G690" s="16"/>
      <c r="H690" s="16"/>
      <c r="I690" s="16"/>
      <c r="J690" s="16"/>
      <c r="K690" s="16"/>
      <c r="L690" s="16"/>
      <c r="M690" s="18" t="str">
        <f aca="false">IF(OR(C690="",D690=""),"",IF(MOD(COUNTIFS($C$2:C690,C690,$D$2:D690,D690)*7,10)&lt;3,"teste","treino"))</f>
        <v/>
      </c>
      <c r="N690" s="16"/>
      <c r="O690" s="16"/>
      <c r="P690" s="16"/>
      <c r="Q690" s="17"/>
    </row>
    <row r="691" customFormat="false" ht="15" hidden="false" customHeight="false" outlineLevel="0" collapsed="false">
      <c r="A691" s="15" t="str">
        <f aca="false">IF(B691="","",ROW()-1)</f>
        <v/>
      </c>
      <c r="B691" s="16"/>
      <c r="C691" s="16"/>
      <c r="D691" s="16"/>
      <c r="E691" s="16"/>
      <c r="F691" s="17"/>
      <c r="G691" s="16"/>
      <c r="H691" s="16"/>
      <c r="I691" s="16"/>
      <c r="J691" s="16"/>
      <c r="K691" s="16"/>
      <c r="L691" s="16"/>
      <c r="M691" s="18" t="str">
        <f aca="false">IF(OR(C691="",D691=""),"",IF(MOD(COUNTIFS($C$2:C691,C691,$D$2:D691,D691)*7,10)&lt;3,"teste","treino"))</f>
        <v/>
      </c>
      <c r="N691" s="16"/>
      <c r="O691" s="16"/>
      <c r="P691" s="16"/>
      <c r="Q691" s="17"/>
    </row>
    <row r="692" customFormat="false" ht="15" hidden="false" customHeight="false" outlineLevel="0" collapsed="false">
      <c r="A692" s="15" t="str">
        <f aca="false">IF(B692="","",ROW()-1)</f>
        <v/>
      </c>
      <c r="B692" s="16"/>
      <c r="C692" s="16"/>
      <c r="D692" s="16"/>
      <c r="E692" s="16"/>
      <c r="F692" s="17"/>
      <c r="G692" s="16"/>
      <c r="H692" s="16"/>
      <c r="I692" s="16"/>
      <c r="J692" s="16"/>
      <c r="K692" s="16"/>
      <c r="L692" s="16"/>
      <c r="M692" s="18" t="str">
        <f aca="false">IF(OR(C692="",D692=""),"",IF(MOD(COUNTIFS($C$2:C692,C692,$D$2:D692,D692)*7,10)&lt;3,"teste","treino"))</f>
        <v/>
      </c>
      <c r="N692" s="16"/>
      <c r="O692" s="16"/>
      <c r="P692" s="16"/>
      <c r="Q692" s="17"/>
    </row>
    <row r="693" customFormat="false" ht="15" hidden="false" customHeight="false" outlineLevel="0" collapsed="false">
      <c r="A693" s="15" t="str">
        <f aca="false">IF(B693="","",ROW()-1)</f>
        <v/>
      </c>
      <c r="B693" s="16"/>
      <c r="C693" s="16"/>
      <c r="D693" s="16"/>
      <c r="E693" s="16"/>
      <c r="F693" s="17"/>
      <c r="G693" s="16"/>
      <c r="H693" s="16"/>
      <c r="I693" s="16"/>
      <c r="J693" s="16"/>
      <c r="K693" s="16"/>
      <c r="L693" s="16"/>
      <c r="M693" s="18" t="str">
        <f aca="false">IF(OR(C693="",D693=""),"",IF(MOD(COUNTIFS($C$2:C693,C693,$D$2:D693,D693)*7,10)&lt;3,"teste","treino"))</f>
        <v/>
      </c>
      <c r="N693" s="16"/>
      <c r="O693" s="16"/>
      <c r="P693" s="16"/>
      <c r="Q693" s="17"/>
    </row>
    <row r="694" customFormat="false" ht="15" hidden="false" customHeight="false" outlineLevel="0" collapsed="false">
      <c r="A694" s="15" t="str">
        <f aca="false">IF(B694="","",ROW()-1)</f>
        <v/>
      </c>
      <c r="B694" s="16"/>
      <c r="C694" s="16"/>
      <c r="D694" s="16"/>
      <c r="E694" s="16"/>
      <c r="F694" s="17"/>
      <c r="G694" s="16"/>
      <c r="H694" s="16"/>
      <c r="I694" s="16"/>
      <c r="J694" s="16"/>
      <c r="K694" s="16"/>
      <c r="L694" s="16"/>
      <c r="M694" s="18" t="str">
        <f aca="false">IF(OR(C694="",D694=""),"",IF(MOD(COUNTIFS($C$2:C694,C694,$D$2:D694,D694)*7,10)&lt;3,"teste","treino"))</f>
        <v/>
      </c>
      <c r="N694" s="16"/>
      <c r="O694" s="16"/>
      <c r="P694" s="16"/>
      <c r="Q694" s="17"/>
    </row>
    <row r="695" customFormat="false" ht="15" hidden="false" customHeight="false" outlineLevel="0" collapsed="false">
      <c r="A695" s="15" t="str">
        <f aca="false">IF(B695="","",ROW()-1)</f>
        <v/>
      </c>
      <c r="B695" s="16"/>
      <c r="C695" s="16"/>
      <c r="D695" s="16"/>
      <c r="E695" s="16"/>
      <c r="F695" s="17"/>
      <c r="G695" s="16"/>
      <c r="H695" s="16"/>
      <c r="I695" s="16"/>
      <c r="J695" s="16"/>
      <c r="K695" s="16"/>
      <c r="L695" s="16"/>
      <c r="M695" s="18" t="str">
        <f aca="false">IF(OR(C695="",D695=""),"",IF(MOD(COUNTIFS($C$2:C695,C695,$D$2:D695,D695)*7,10)&lt;3,"teste","treino"))</f>
        <v/>
      </c>
      <c r="N695" s="16"/>
      <c r="O695" s="16"/>
      <c r="P695" s="16"/>
      <c r="Q695" s="17"/>
    </row>
    <row r="696" customFormat="false" ht="15" hidden="false" customHeight="false" outlineLevel="0" collapsed="false">
      <c r="A696" s="15" t="str">
        <f aca="false">IF(B696="","",ROW()-1)</f>
        <v/>
      </c>
      <c r="B696" s="16"/>
      <c r="C696" s="16"/>
      <c r="D696" s="16"/>
      <c r="E696" s="16"/>
      <c r="F696" s="17"/>
      <c r="G696" s="16"/>
      <c r="H696" s="16"/>
      <c r="I696" s="16"/>
      <c r="J696" s="16"/>
      <c r="K696" s="16"/>
      <c r="L696" s="16"/>
      <c r="M696" s="18" t="str">
        <f aca="false">IF(OR(C696="",D696=""),"",IF(MOD(COUNTIFS($C$2:C696,C696,$D$2:D696,D696)*7,10)&lt;3,"teste","treino"))</f>
        <v/>
      </c>
      <c r="N696" s="16"/>
      <c r="O696" s="16"/>
      <c r="P696" s="16"/>
      <c r="Q696" s="17"/>
    </row>
    <row r="697" customFormat="false" ht="15" hidden="false" customHeight="false" outlineLevel="0" collapsed="false">
      <c r="A697" s="15" t="str">
        <f aca="false">IF(B697="","",ROW()-1)</f>
        <v/>
      </c>
      <c r="B697" s="16"/>
      <c r="C697" s="16"/>
      <c r="D697" s="16"/>
      <c r="E697" s="16"/>
      <c r="F697" s="17"/>
      <c r="G697" s="16"/>
      <c r="H697" s="16"/>
      <c r="I697" s="16"/>
      <c r="J697" s="16"/>
      <c r="K697" s="16"/>
      <c r="L697" s="16"/>
      <c r="M697" s="18" t="str">
        <f aca="false">IF(OR(C697="",D697=""),"",IF(MOD(COUNTIFS($C$2:C697,C697,$D$2:D697,D697)*7,10)&lt;3,"teste","treino"))</f>
        <v/>
      </c>
      <c r="N697" s="16"/>
      <c r="O697" s="16"/>
      <c r="P697" s="16"/>
      <c r="Q697" s="17"/>
    </row>
    <row r="698" customFormat="false" ht="15" hidden="false" customHeight="false" outlineLevel="0" collapsed="false">
      <c r="A698" s="15" t="str">
        <f aca="false">IF(B698="","",ROW()-1)</f>
        <v/>
      </c>
      <c r="B698" s="16"/>
      <c r="C698" s="16"/>
      <c r="D698" s="16"/>
      <c r="E698" s="16"/>
      <c r="F698" s="17"/>
      <c r="G698" s="16"/>
      <c r="H698" s="16"/>
      <c r="I698" s="16"/>
      <c r="J698" s="16"/>
      <c r="K698" s="16"/>
      <c r="L698" s="16"/>
      <c r="M698" s="18" t="str">
        <f aca="false">IF(OR(C698="",D698=""),"",IF(MOD(COUNTIFS($C$2:C698,C698,$D$2:D698,D698)*7,10)&lt;3,"teste","treino"))</f>
        <v/>
      </c>
      <c r="N698" s="16"/>
      <c r="O698" s="16"/>
      <c r="P698" s="16"/>
      <c r="Q698" s="17"/>
    </row>
    <row r="699" customFormat="false" ht="15" hidden="false" customHeight="false" outlineLevel="0" collapsed="false">
      <c r="A699" s="15" t="str">
        <f aca="false">IF(B699="","",ROW()-1)</f>
        <v/>
      </c>
      <c r="B699" s="16"/>
      <c r="C699" s="16"/>
      <c r="D699" s="16"/>
      <c r="E699" s="16"/>
      <c r="F699" s="17"/>
      <c r="G699" s="16"/>
      <c r="H699" s="16"/>
      <c r="I699" s="16"/>
      <c r="J699" s="16"/>
      <c r="K699" s="16"/>
      <c r="L699" s="16"/>
      <c r="M699" s="18" t="str">
        <f aca="false">IF(OR(C699="",D699=""),"",IF(MOD(COUNTIFS($C$2:C699,C699,$D$2:D699,D699)*7,10)&lt;3,"teste","treino"))</f>
        <v/>
      </c>
      <c r="N699" s="16"/>
      <c r="O699" s="16"/>
      <c r="P699" s="16"/>
      <c r="Q699" s="17"/>
    </row>
    <row r="700" customFormat="false" ht="15" hidden="false" customHeight="false" outlineLevel="0" collapsed="false">
      <c r="A700" s="15" t="str">
        <f aca="false">IF(B700="","",ROW()-1)</f>
        <v/>
      </c>
      <c r="B700" s="16"/>
      <c r="C700" s="16"/>
      <c r="D700" s="16"/>
      <c r="E700" s="16"/>
      <c r="F700" s="17"/>
      <c r="G700" s="16"/>
      <c r="H700" s="16"/>
      <c r="I700" s="16"/>
      <c r="J700" s="16"/>
      <c r="K700" s="16"/>
      <c r="L700" s="16"/>
      <c r="M700" s="18" t="str">
        <f aca="false">IF(OR(C700="",D700=""),"",IF(MOD(COUNTIFS($C$2:C700,C700,$D$2:D700,D700)*7,10)&lt;3,"teste","treino"))</f>
        <v/>
      </c>
      <c r="N700" s="16"/>
      <c r="O700" s="16"/>
      <c r="P700" s="16"/>
      <c r="Q700" s="17"/>
    </row>
    <row r="701" customFormat="false" ht="15" hidden="false" customHeight="false" outlineLevel="0" collapsed="false">
      <c r="A701" s="15" t="str">
        <f aca="false">IF(B701="","",ROW()-1)</f>
        <v/>
      </c>
      <c r="B701" s="16"/>
      <c r="C701" s="16"/>
      <c r="D701" s="16"/>
      <c r="E701" s="16"/>
      <c r="F701" s="17"/>
      <c r="G701" s="16"/>
      <c r="H701" s="16"/>
      <c r="I701" s="16"/>
      <c r="J701" s="16"/>
      <c r="K701" s="16"/>
      <c r="L701" s="16"/>
      <c r="M701" s="18" t="str">
        <f aca="false">IF(OR(C701="",D701=""),"",IF(MOD(COUNTIFS($C$2:C701,C701,$D$2:D701,D701)*7,10)&lt;3,"teste","treino"))</f>
        <v/>
      </c>
      <c r="N701" s="16"/>
      <c r="O701" s="16"/>
      <c r="P701" s="16"/>
      <c r="Q701" s="17"/>
    </row>
    <row r="702" customFormat="false" ht="15" hidden="false" customHeight="false" outlineLevel="0" collapsed="false">
      <c r="A702" s="15" t="str">
        <f aca="false">IF(B702="","",ROW()-1)</f>
        <v/>
      </c>
      <c r="B702" s="16"/>
      <c r="C702" s="16"/>
      <c r="D702" s="16"/>
      <c r="E702" s="16"/>
      <c r="F702" s="17"/>
      <c r="G702" s="16"/>
      <c r="H702" s="16"/>
      <c r="I702" s="16"/>
      <c r="J702" s="16"/>
      <c r="K702" s="16"/>
      <c r="L702" s="16"/>
      <c r="M702" s="18" t="str">
        <f aca="false">IF(OR(C702="",D702=""),"",IF(MOD(COUNTIFS($C$2:C702,C702,$D$2:D702,D702)*7,10)&lt;3,"teste","treino"))</f>
        <v/>
      </c>
      <c r="N702" s="16"/>
      <c r="O702" s="16"/>
      <c r="P702" s="16"/>
      <c r="Q702" s="17"/>
    </row>
    <row r="703" customFormat="false" ht="15" hidden="false" customHeight="false" outlineLevel="0" collapsed="false">
      <c r="A703" s="15" t="str">
        <f aca="false">IF(B703="","",ROW()-1)</f>
        <v/>
      </c>
      <c r="B703" s="16"/>
      <c r="C703" s="16"/>
      <c r="D703" s="16"/>
      <c r="E703" s="16"/>
      <c r="F703" s="17"/>
      <c r="G703" s="16"/>
      <c r="H703" s="16"/>
      <c r="I703" s="16"/>
      <c r="J703" s="16"/>
      <c r="K703" s="16"/>
      <c r="L703" s="16"/>
      <c r="M703" s="18" t="str">
        <f aca="false">IF(OR(C703="",D703=""),"",IF(MOD(COUNTIFS($C$2:C703,C703,$D$2:D703,D703)*7,10)&lt;3,"teste","treino"))</f>
        <v/>
      </c>
      <c r="N703" s="16"/>
      <c r="O703" s="16"/>
      <c r="P703" s="16"/>
      <c r="Q703" s="17"/>
    </row>
    <row r="704" customFormat="false" ht="15" hidden="false" customHeight="false" outlineLevel="0" collapsed="false">
      <c r="A704" s="15" t="str">
        <f aca="false">IF(B704="","",ROW()-1)</f>
        <v/>
      </c>
      <c r="B704" s="16"/>
      <c r="C704" s="16"/>
      <c r="D704" s="16"/>
      <c r="E704" s="16"/>
      <c r="F704" s="17"/>
      <c r="G704" s="16"/>
      <c r="H704" s="16"/>
      <c r="I704" s="16"/>
      <c r="J704" s="16"/>
      <c r="K704" s="16"/>
      <c r="L704" s="16"/>
      <c r="M704" s="18" t="str">
        <f aca="false">IF(OR(C704="",D704=""),"",IF(MOD(COUNTIFS($C$2:C704,C704,$D$2:D704,D704)*7,10)&lt;3,"teste","treino"))</f>
        <v/>
      </c>
      <c r="N704" s="16"/>
      <c r="O704" s="16"/>
      <c r="P704" s="16"/>
      <c r="Q704" s="17"/>
    </row>
    <row r="705" customFormat="false" ht="15" hidden="false" customHeight="false" outlineLevel="0" collapsed="false">
      <c r="A705" s="15" t="str">
        <f aca="false">IF(B705="","",ROW()-1)</f>
        <v/>
      </c>
      <c r="B705" s="16"/>
      <c r="C705" s="16"/>
      <c r="D705" s="16"/>
      <c r="E705" s="16"/>
      <c r="F705" s="17"/>
      <c r="G705" s="16"/>
      <c r="H705" s="16"/>
      <c r="I705" s="16"/>
      <c r="J705" s="16"/>
      <c r="K705" s="16"/>
      <c r="L705" s="16"/>
      <c r="M705" s="18" t="str">
        <f aca="false">IF(OR(C705="",D705=""),"",IF(MOD(COUNTIFS($C$2:C705,C705,$D$2:D705,D705)*7,10)&lt;3,"teste","treino"))</f>
        <v/>
      </c>
      <c r="N705" s="16"/>
      <c r="O705" s="16"/>
      <c r="P705" s="16"/>
      <c r="Q705" s="17"/>
    </row>
    <row r="706" customFormat="false" ht="15" hidden="false" customHeight="false" outlineLevel="0" collapsed="false">
      <c r="A706" s="15" t="str">
        <f aca="false">IF(B706="","",ROW()-1)</f>
        <v/>
      </c>
      <c r="B706" s="16"/>
      <c r="C706" s="16"/>
      <c r="D706" s="16"/>
      <c r="E706" s="16"/>
      <c r="F706" s="17"/>
      <c r="G706" s="16"/>
      <c r="H706" s="16"/>
      <c r="I706" s="16"/>
      <c r="J706" s="16"/>
      <c r="K706" s="16"/>
      <c r="L706" s="16"/>
      <c r="M706" s="18" t="str">
        <f aca="false">IF(OR(C706="",D706=""),"",IF(MOD(COUNTIFS($C$2:C706,C706,$D$2:D706,D706)*7,10)&lt;3,"teste","treino"))</f>
        <v/>
      </c>
      <c r="N706" s="16"/>
      <c r="O706" s="16"/>
      <c r="P706" s="16"/>
      <c r="Q706" s="17"/>
    </row>
    <row r="707" customFormat="false" ht="15" hidden="false" customHeight="false" outlineLevel="0" collapsed="false">
      <c r="A707" s="15" t="str">
        <f aca="false">IF(B707="","",ROW()-1)</f>
        <v/>
      </c>
      <c r="B707" s="16"/>
      <c r="C707" s="16"/>
      <c r="D707" s="16"/>
      <c r="E707" s="16"/>
      <c r="F707" s="17"/>
      <c r="G707" s="16"/>
      <c r="H707" s="16"/>
      <c r="I707" s="16"/>
      <c r="J707" s="16"/>
      <c r="K707" s="16"/>
      <c r="L707" s="16"/>
      <c r="M707" s="18" t="str">
        <f aca="false">IF(OR(C707="",D707=""),"",IF(MOD(COUNTIFS($C$2:C707,C707,$D$2:D707,D707)*7,10)&lt;3,"teste","treino"))</f>
        <v/>
      </c>
      <c r="N707" s="16"/>
      <c r="O707" s="16"/>
      <c r="P707" s="16"/>
      <c r="Q707" s="17"/>
    </row>
    <row r="708" customFormat="false" ht="15" hidden="false" customHeight="false" outlineLevel="0" collapsed="false">
      <c r="A708" s="15" t="str">
        <f aca="false">IF(B708="","",ROW()-1)</f>
        <v/>
      </c>
      <c r="B708" s="16"/>
      <c r="C708" s="16"/>
      <c r="D708" s="16"/>
      <c r="E708" s="16"/>
      <c r="F708" s="17"/>
      <c r="G708" s="16"/>
      <c r="H708" s="16"/>
      <c r="I708" s="16"/>
      <c r="J708" s="16"/>
      <c r="K708" s="16"/>
      <c r="L708" s="16"/>
      <c r="M708" s="18" t="str">
        <f aca="false">IF(OR(C708="",D708=""),"",IF(MOD(COUNTIFS($C$2:C708,C708,$D$2:D708,D708)*7,10)&lt;3,"teste","treino"))</f>
        <v/>
      </c>
      <c r="N708" s="16"/>
      <c r="O708" s="16"/>
      <c r="P708" s="16"/>
      <c r="Q708" s="17"/>
    </row>
    <row r="709" customFormat="false" ht="15" hidden="false" customHeight="false" outlineLevel="0" collapsed="false">
      <c r="A709" s="15" t="str">
        <f aca="false">IF(B709="","",ROW()-1)</f>
        <v/>
      </c>
      <c r="B709" s="16"/>
      <c r="C709" s="16"/>
      <c r="D709" s="16"/>
      <c r="E709" s="16"/>
      <c r="F709" s="17"/>
      <c r="G709" s="16"/>
      <c r="H709" s="16"/>
      <c r="I709" s="16"/>
      <c r="J709" s="16"/>
      <c r="K709" s="16"/>
      <c r="L709" s="16"/>
      <c r="M709" s="18" t="str">
        <f aca="false">IF(OR(C709="",D709=""),"",IF(MOD(COUNTIFS($C$2:C709,C709,$D$2:D709,D709)*7,10)&lt;3,"teste","treino"))</f>
        <v/>
      </c>
      <c r="N709" s="16"/>
      <c r="O709" s="16"/>
      <c r="P709" s="16"/>
      <c r="Q709" s="17"/>
    </row>
    <row r="710" customFormat="false" ht="15" hidden="false" customHeight="false" outlineLevel="0" collapsed="false">
      <c r="A710" s="15" t="str">
        <f aca="false">IF(B710="","",ROW()-1)</f>
        <v/>
      </c>
      <c r="B710" s="16"/>
      <c r="C710" s="16"/>
      <c r="D710" s="16"/>
      <c r="E710" s="16"/>
      <c r="F710" s="17"/>
      <c r="G710" s="16"/>
      <c r="H710" s="16"/>
      <c r="I710" s="16"/>
      <c r="J710" s="16"/>
      <c r="K710" s="16"/>
      <c r="L710" s="16"/>
      <c r="M710" s="18" t="str">
        <f aca="false">IF(OR(C710="",D710=""),"",IF(MOD(COUNTIFS($C$2:C710,C710,$D$2:D710,D710)*7,10)&lt;3,"teste","treino"))</f>
        <v/>
      </c>
      <c r="N710" s="16"/>
      <c r="O710" s="16"/>
      <c r="P710" s="16"/>
      <c r="Q710" s="17"/>
    </row>
    <row r="711" customFormat="false" ht="15" hidden="false" customHeight="false" outlineLevel="0" collapsed="false">
      <c r="A711" s="15" t="str">
        <f aca="false">IF(B711="","",ROW()-1)</f>
        <v/>
      </c>
      <c r="B711" s="16"/>
      <c r="C711" s="16"/>
      <c r="D711" s="16"/>
      <c r="E711" s="16"/>
      <c r="F711" s="17"/>
      <c r="G711" s="16"/>
      <c r="H711" s="16"/>
      <c r="I711" s="16"/>
      <c r="J711" s="16"/>
      <c r="K711" s="16"/>
      <c r="L711" s="16"/>
      <c r="M711" s="18" t="str">
        <f aca="false">IF(OR(C711="",D711=""),"",IF(MOD(COUNTIFS($C$2:C711,C711,$D$2:D711,D711)*7,10)&lt;3,"teste","treino"))</f>
        <v/>
      </c>
      <c r="N711" s="16"/>
      <c r="O711" s="16"/>
      <c r="P711" s="16"/>
      <c r="Q711" s="17"/>
    </row>
    <row r="712" customFormat="false" ht="15" hidden="false" customHeight="false" outlineLevel="0" collapsed="false">
      <c r="A712" s="15" t="str">
        <f aca="false">IF(B712="","",ROW()-1)</f>
        <v/>
      </c>
      <c r="B712" s="16"/>
      <c r="C712" s="16"/>
      <c r="D712" s="16"/>
      <c r="E712" s="16"/>
      <c r="F712" s="17"/>
      <c r="G712" s="16"/>
      <c r="H712" s="16"/>
      <c r="I712" s="16"/>
      <c r="J712" s="16"/>
      <c r="K712" s="16"/>
      <c r="L712" s="16"/>
      <c r="M712" s="18" t="str">
        <f aca="false">IF(OR(C712="",D712=""),"",IF(MOD(COUNTIFS($C$2:C712,C712,$D$2:D712,D712)*7,10)&lt;3,"teste","treino"))</f>
        <v/>
      </c>
      <c r="N712" s="16"/>
      <c r="O712" s="16"/>
      <c r="P712" s="16"/>
      <c r="Q712" s="17"/>
    </row>
    <row r="713" customFormat="false" ht="15" hidden="false" customHeight="false" outlineLevel="0" collapsed="false">
      <c r="A713" s="15" t="str">
        <f aca="false">IF(B713="","",ROW()-1)</f>
        <v/>
      </c>
      <c r="B713" s="16"/>
      <c r="C713" s="16"/>
      <c r="D713" s="16"/>
      <c r="E713" s="16"/>
      <c r="F713" s="17"/>
      <c r="G713" s="16"/>
      <c r="H713" s="16"/>
      <c r="I713" s="16"/>
      <c r="J713" s="16"/>
      <c r="K713" s="16"/>
      <c r="L713" s="16"/>
      <c r="M713" s="18" t="str">
        <f aca="false">IF(OR(C713="",D713=""),"",IF(MOD(COUNTIFS($C$2:C713,C713,$D$2:D713,D713)*7,10)&lt;3,"teste","treino"))</f>
        <v/>
      </c>
      <c r="N713" s="16"/>
      <c r="O713" s="16"/>
      <c r="P713" s="16"/>
      <c r="Q713" s="17"/>
    </row>
    <row r="714" customFormat="false" ht="15" hidden="false" customHeight="false" outlineLevel="0" collapsed="false">
      <c r="A714" s="15" t="str">
        <f aca="false">IF(B714="","",ROW()-1)</f>
        <v/>
      </c>
      <c r="B714" s="16"/>
      <c r="C714" s="16"/>
      <c r="D714" s="16"/>
      <c r="E714" s="16"/>
      <c r="F714" s="17"/>
      <c r="G714" s="16"/>
      <c r="H714" s="16"/>
      <c r="I714" s="16"/>
      <c r="J714" s="16"/>
      <c r="K714" s="16"/>
      <c r="L714" s="16"/>
      <c r="M714" s="18" t="str">
        <f aca="false">IF(OR(C714="",D714=""),"",IF(MOD(COUNTIFS($C$2:C714,C714,$D$2:D714,D714)*7,10)&lt;3,"teste","treino"))</f>
        <v/>
      </c>
      <c r="N714" s="16"/>
      <c r="O714" s="16"/>
      <c r="P714" s="16"/>
      <c r="Q714" s="17"/>
    </row>
    <row r="715" customFormat="false" ht="15" hidden="false" customHeight="false" outlineLevel="0" collapsed="false">
      <c r="A715" s="15" t="str">
        <f aca="false">IF(B715="","",ROW()-1)</f>
        <v/>
      </c>
      <c r="B715" s="16"/>
      <c r="C715" s="16"/>
      <c r="D715" s="16"/>
      <c r="E715" s="16"/>
      <c r="F715" s="17"/>
      <c r="G715" s="16"/>
      <c r="H715" s="16"/>
      <c r="I715" s="16"/>
      <c r="J715" s="16"/>
      <c r="K715" s="16"/>
      <c r="L715" s="16"/>
      <c r="M715" s="18" t="str">
        <f aca="false">IF(OR(C715="",D715=""),"",IF(MOD(COUNTIFS($C$2:C715,C715,$D$2:D715,D715)*7,10)&lt;3,"teste","treino"))</f>
        <v/>
      </c>
      <c r="N715" s="16"/>
      <c r="O715" s="16"/>
      <c r="P715" s="16"/>
      <c r="Q715" s="17"/>
    </row>
    <row r="716" customFormat="false" ht="15" hidden="false" customHeight="false" outlineLevel="0" collapsed="false">
      <c r="A716" s="15" t="str">
        <f aca="false">IF(B716="","",ROW()-1)</f>
        <v/>
      </c>
      <c r="B716" s="16"/>
      <c r="C716" s="16"/>
      <c r="D716" s="16"/>
      <c r="E716" s="16"/>
      <c r="F716" s="17"/>
      <c r="G716" s="16"/>
      <c r="H716" s="16"/>
      <c r="I716" s="16"/>
      <c r="J716" s="16"/>
      <c r="K716" s="16"/>
      <c r="L716" s="16"/>
      <c r="M716" s="18" t="str">
        <f aca="false">IF(OR(C716="",D716=""),"",IF(MOD(COUNTIFS($C$2:C716,C716,$D$2:D716,D716)*7,10)&lt;3,"teste","treino"))</f>
        <v/>
      </c>
      <c r="N716" s="16"/>
      <c r="O716" s="16"/>
      <c r="P716" s="16"/>
      <c r="Q716" s="17"/>
    </row>
    <row r="717" customFormat="false" ht="15" hidden="false" customHeight="false" outlineLevel="0" collapsed="false">
      <c r="A717" s="15" t="str">
        <f aca="false">IF(B717="","",ROW()-1)</f>
        <v/>
      </c>
      <c r="B717" s="16"/>
      <c r="C717" s="16"/>
      <c r="D717" s="16"/>
      <c r="E717" s="16"/>
      <c r="F717" s="17"/>
      <c r="G717" s="16"/>
      <c r="H717" s="16"/>
      <c r="I717" s="16"/>
      <c r="J717" s="16"/>
      <c r="K717" s="16"/>
      <c r="L717" s="16"/>
      <c r="M717" s="18" t="str">
        <f aca="false">IF(OR(C717="",D717=""),"",IF(MOD(COUNTIFS($C$2:C717,C717,$D$2:D717,D717)*7,10)&lt;3,"teste","treino"))</f>
        <v/>
      </c>
      <c r="N717" s="16"/>
      <c r="O717" s="16"/>
      <c r="P717" s="16"/>
      <c r="Q717" s="17"/>
    </row>
    <row r="718" customFormat="false" ht="15" hidden="false" customHeight="false" outlineLevel="0" collapsed="false">
      <c r="A718" s="15" t="str">
        <f aca="false">IF(B718="","",ROW()-1)</f>
        <v/>
      </c>
      <c r="B718" s="16"/>
      <c r="C718" s="16"/>
      <c r="D718" s="16"/>
      <c r="E718" s="16"/>
      <c r="F718" s="17"/>
      <c r="G718" s="16"/>
      <c r="H718" s="16"/>
      <c r="I718" s="16"/>
      <c r="J718" s="16"/>
      <c r="K718" s="16"/>
      <c r="L718" s="16"/>
      <c r="M718" s="18" t="str">
        <f aca="false">IF(OR(C718="",D718=""),"",IF(MOD(COUNTIFS($C$2:C718,C718,$D$2:D718,D718)*7,10)&lt;3,"teste","treino"))</f>
        <v/>
      </c>
      <c r="N718" s="16"/>
      <c r="O718" s="16"/>
      <c r="P718" s="16"/>
      <c r="Q718" s="17"/>
    </row>
    <row r="719" customFormat="false" ht="15" hidden="false" customHeight="false" outlineLevel="0" collapsed="false">
      <c r="A719" s="15" t="str">
        <f aca="false">IF(B719="","",ROW()-1)</f>
        <v/>
      </c>
      <c r="B719" s="16"/>
      <c r="C719" s="16"/>
      <c r="D719" s="16"/>
      <c r="E719" s="16"/>
      <c r="F719" s="17"/>
      <c r="G719" s="16"/>
      <c r="H719" s="16"/>
      <c r="I719" s="16"/>
      <c r="J719" s="16"/>
      <c r="K719" s="16"/>
      <c r="L719" s="16"/>
      <c r="M719" s="18" t="str">
        <f aca="false">IF(OR(C719="",D719=""),"",IF(MOD(COUNTIFS($C$2:C719,C719,$D$2:D719,D719)*7,10)&lt;3,"teste","treino"))</f>
        <v/>
      </c>
      <c r="N719" s="16"/>
      <c r="O719" s="16"/>
      <c r="P719" s="16"/>
      <c r="Q719" s="17"/>
    </row>
    <row r="720" customFormat="false" ht="15" hidden="false" customHeight="false" outlineLevel="0" collapsed="false">
      <c r="A720" s="15" t="str">
        <f aca="false">IF(B720="","",ROW()-1)</f>
        <v/>
      </c>
      <c r="B720" s="16"/>
      <c r="C720" s="16"/>
      <c r="D720" s="16"/>
      <c r="E720" s="16"/>
      <c r="F720" s="17"/>
      <c r="G720" s="16"/>
      <c r="H720" s="16"/>
      <c r="I720" s="16"/>
      <c r="J720" s="16"/>
      <c r="K720" s="16"/>
      <c r="L720" s="16"/>
      <c r="M720" s="18" t="str">
        <f aca="false">IF(OR(C720="",D720=""),"",IF(MOD(COUNTIFS($C$2:C720,C720,$D$2:D720,D720)*7,10)&lt;3,"teste","treino"))</f>
        <v/>
      </c>
      <c r="N720" s="16"/>
      <c r="O720" s="16"/>
      <c r="P720" s="16"/>
      <c r="Q720" s="17"/>
    </row>
    <row r="721" customFormat="false" ht="15" hidden="false" customHeight="false" outlineLevel="0" collapsed="false">
      <c r="A721" s="15" t="str">
        <f aca="false">IF(B721="","",ROW()-1)</f>
        <v/>
      </c>
      <c r="B721" s="16"/>
      <c r="C721" s="16"/>
      <c r="D721" s="16"/>
      <c r="E721" s="16"/>
      <c r="F721" s="17"/>
      <c r="G721" s="16"/>
      <c r="H721" s="16"/>
      <c r="I721" s="16"/>
      <c r="J721" s="16"/>
      <c r="K721" s="16"/>
      <c r="L721" s="16"/>
      <c r="M721" s="18" t="str">
        <f aca="false">IF(OR(C721="",D721=""),"",IF(MOD(COUNTIFS($C$2:C721,C721,$D$2:D721,D721)*7,10)&lt;3,"teste","treino"))</f>
        <v/>
      </c>
      <c r="N721" s="16"/>
      <c r="O721" s="16"/>
      <c r="P721" s="16"/>
      <c r="Q721" s="17"/>
    </row>
    <row r="722" customFormat="false" ht="15" hidden="false" customHeight="false" outlineLevel="0" collapsed="false">
      <c r="A722" s="15" t="str">
        <f aca="false">IF(B722="","",ROW()-1)</f>
        <v/>
      </c>
      <c r="B722" s="16"/>
      <c r="C722" s="16"/>
      <c r="D722" s="16"/>
      <c r="E722" s="16"/>
      <c r="F722" s="17"/>
      <c r="G722" s="16"/>
      <c r="H722" s="16"/>
      <c r="I722" s="16"/>
      <c r="J722" s="16"/>
      <c r="K722" s="16"/>
      <c r="L722" s="16"/>
      <c r="M722" s="18" t="str">
        <f aca="false">IF(OR(C722="",D722=""),"",IF(MOD(COUNTIFS($C$2:C722,C722,$D$2:D722,D722)*7,10)&lt;3,"teste","treino"))</f>
        <v/>
      </c>
      <c r="N722" s="16"/>
      <c r="O722" s="16"/>
      <c r="P722" s="16"/>
      <c r="Q722" s="17"/>
    </row>
    <row r="723" customFormat="false" ht="15" hidden="false" customHeight="false" outlineLevel="0" collapsed="false">
      <c r="A723" s="15" t="str">
        <f aca="false">IF(B723="","",ROW()-1)</f>
        <v/>
      </c>
      <c r="B723" s="16"/>
      <c r="C723" s="16"/>
      <c r="D723" s="16"/>
      <c r="E723" s="16"/>
      <c r="F723" s="17"/>
      <c r="G723" s="16"/>
      <c r="H723" s="16"/>
      <c r="I723" s="16"/>
      <c r="J723" s="16"/>
      <c r="K723" s="16"/>
      <c r="L723" s="16"/>
      <c r="M723" s="18" t="str">
        <f aca="false">IF(OR(C723="",D723=""),"",IF(MOD(COUNTIFS($C$2:C723,C723,$D$2:D723,D723)*7,10)&lt;3,"teste","treino"))</f>
        <v/>
      </c>
      <c r="N723" s="16"/>
      <c r="O723" s="16"/>
      <c r="P723" s="16"/>
      <c r="Q723" s="17"/>
    </row>
    <row r="724" customFormat="false" ht="15" hidden="false" customHeight="false" outlineLevel="0" collapsed="false">
      <c r="A724" s="15" t="str">
        <f aca="false">IF(B724="","",ROW()-1)</f>
        <v/>
      </c>
      <c r="B724" s="16"/>
      <c r="C724" s="16"/>
      <c r="D724" s="16"/>
      <c r="E724" s="16"/>
      <c r="F724" s="17"/>
      <c r="G724" s="16"/>
      <c r="H724" s="16"/>
      <c r="I724" s="16"/>
      <c r="J724" s="16"/>
      <c r="K724" s="16"/>
      <c r="L724" s="16"/>
      <c r="M724" s="18" t="str">
        <f aca="false">IF(OR(C724="",D724=""),"",IF(MOD(COUNTIFS($C$2:C724,C724,$D$2:D724,D724)*7,10)&lt;3,"teste","treino"))</f>
        <v/>
      </c>
      <c r="N724" s="16"/>
      <c r="O724" s="16"/>
      <c r="P724" s="16"/>
      <c r="Q724" s="17"/>
    </row>
    <row r="725" customFormat="false" ht="15" hidden="false" customHeight="false" outlineLevel="0" collapsed="false">
      <c r="A725" s="15" t="str">
        <f aca="false">IF(B725="","",ROW()-1)</f>
        <v/>
      </c>
      <c r="B725" s="16"/>
      <c r="C725" s="16"/>
      <c r="D725" s="16"/>
      <c r="E725" s="16"/>
      <c r="F725" s="17"/>
      <c r="G725" s="16"/>
      <c r="H725" s="16"/>
      <c r="I725" s="16"/>
      <c r="J725" s="16"/>
      <c r="K725" s="16"/>
      <c r="L725" s="16"/>
      <c r="M725" s="18" t="str">
        <f aca="false">IF(OR(C725="",D725=""),"",IF(MOD(COUNTIFS($C$2:C725,C725,$D$2:D725,D725)*7,10)&lt;3,"teste","treino"))</f>
        <v/>
      </c>
      <c r="N725" s="16"/>
      <c r="O725" s="16"/>
      <c r="P725" s="16"/>
      <c r="Q725" s="17"/>
    </row>
    <row r="726" customFormat="false" ht="15" hidden="false" customHeight="false" outlineLevel="0" collapsed="false">
      <c r="A726" s="15" t="str">
        <f aca="false">IF(B726="","",ROW()-1)</f>
        <v/>
      </c>
      <c r="B726" s="16"/>
      <c r="C726" s="16"/>
      <c r="D726" s="16"/>
      <c r="E726" s="16"/>
      <c r="F726" s="17"/>
      <c r="G726" s="16"/>
      <c r="H726" s="16"/>
      <c r="I726" s="16"/>
      <c r="J726" s="16"/>
      <c r="K726" s="16"/>
      <c r="L726" s="16"/>
      <c r="M726" s="18" t="str">
        <f aca="false">IF(OR(C726="",D726=""),"",IF(MOD(COUNTIFS($C$2:C726,C726,$D$2:D726,D726)*7,10)&lt;3,"teste","treino"))</f>
        <v/>
      </c>
      <c r="N726" s="16"/>
      <c r="O726" s="16"/>
      <c r="P726" s="16"/>
      <c r="Q726" s="17"/>
    </row>
    <row r="727" customFormat="false" ht="15" hidden="false" customHeight="false" outlineLevel="0" collapsed="false">
      <c r="A727" s="15" t="str">
        <f aca="false">IF(B727="","",ROW()-1)</f>
        <v/>
      </c>
      <c r="B727" s="16"/>
      <c r="C727" s="16"/>
      <c r="D727" s="16"/>
      <c r="E727" s="16"/>
      <c r="F727" s="17"/>
      <c r="G727" s="16"/>
      <c r="H727" s="16"/>
      <c r="I727" s="16"/>
      <c r="J727" s="16"/>
      <c r="K727" s="16"/>
      <c r="L727" s="16"/>
      <c r="M727" s="18" t="str">
        <f aca="false">IF(OR(C727="",D727=""),"",IF(MOD(COUNTIFS($C$2:C727,C727,$D$2:D727,D727)*7,10)&lt;3,"teste","treino"))</f>
        <v/>
      </c>
      <c r="N727" s="16"/>
      <c r="O727" s="16"/>
      <c r="P727" s="16"/>
      <c r="Q727" s="17"/>
    </row>
    <row r="728" customFormat="false" ht="15" hidden="false" customHeight="false" outlineLevel="0" collapsed="false">
      <c r="A728" s="15" t="str">
        <f aca="false">IF(B728="","",ROW()-1)</f>
        <v/>
      </c>
      <c r="B728" s="16"/>
      <c r="C728" s="16"/>
      <c r="D728" s="16"/>
      <c r="E728" s="16"/>
      <c r="F728" s="17"/>
      <c r="G728" s="16"/>
      <c r="H728" s="16"/>
      <c r="I728" s="16"/>
      <c r="J728" s="16"/>
      <c r="K728" s="16"/>
      <c r="L728" s="16"/>
      <c r="M728" s="18" t="str">
        <f aca="false">IF(OR(C728="",D728=""),"",IF(MOD(COUNTIFS($C$2:C728,C728,$D$2:D728,D728)*7,10)&lt;3,"teste","treino"))</f>
        <v/>
      </c>
      <c r="N728" s="16"/>
      <c r="O728" s="16"/>
      <c r="P728" s="16"/>
      <c r="Q728" s="17"/>
    </row>
    <row r="729" customFormat="false" ht="15" hidden="false" customHeight="false" outlineLevel="0" collapsed="false">
      <c r="A729" s="15" t="str">
        <f aca="false">IF(B729="","",ROW()-1)</f>
        <v/>
      </c>
      <c r="B729" s="16"/>
      <c r="C729" s="16"/>
      <c r="D729" s="16"/>
      <c r="E729" s="16"/>
      <c r="F729" s="17"/>
      <c r="G729" s="16"/>
      <c r="H729" s="16"/>
      <c r="I729" s="16"/>
      <c r="J729" s="16"/>
      <c r="K729" s="16"/>
      <c r="L729" s="16"/>
      <c r="M729" s="18" t="str">
        <f aca="false">IF(OR(C729="",D729=""),"",IF(MOD(COUNTIFS($C$2:C729,C729,$D$2:D729,D729)*7,10)&lt;3,"teste","treino"))</f>
        <v/>
      </c>
      <c r="N729" s="16"/>
      <c r="O729" s="16"/>
      <c r="P729" s="16"/>
      <c r="Q729" s="17"/>
    </row>
    <row r="730" customFormat="false" ht="15" hidden="false" customHeight="false" outlineLevel="0" collapsed="false">
      <c r="A730" s="15" t="str">
        <f aca="false">IF(B730="","",ROW()-1)</f>
        <v/>
      </c>
      <c r="B730" s="16"/>
      <c r="C730" s="16"/>
      <c r="D730" s="16"/>
      <c r="E730" s="16"/>
      <c r="F730" s="17"/>
      <c r="G730" s="16"/>
      <c r="H730" s="16"/>
      <c r="I730" s="16"/>
      <c r="J730" s="16"/>
      <c r="K730" s="16"/>
      <c r="L730" s="16"/>
      <c r="M730" s="18" t="str">
        <f aca="false">IF(OR(C730="",D730=""),"",IF(MOD(COUNTIFS($C$2:C730,C730,$D$2:D730,D730)*7,10)&lt;3,"teste","treino"))</f>
        <v/>
      </c>
      <c r="N730" s="16"/>
      <c r="O730" s="16"/>
      <c r="P730" s="16"/>
      <c r="Q730" s="17"/>
    </row>
    <row r="731" customFormat="false" ht="15" hidden="false" customHeight="false" outlineLevel="0" collapsed="false">
      <c r="A731" s="15" t="str">
        <f aca="false">IF(B731="","",ROW()-1)</f>
        <v/>
      </c>
      <c r="B731" s="16"/>
      <c r="C731" s="16"/>
      <c r="D731" s="16"/>
      <c r="E731" s="16"/>
      <c r="F731" s="17"/>
      <c r="G731" s="16"/>
      <c r="H731" s="16"/>
      <c r="I731" s="16"/>
      <c r="J731" s="16"/>
      <c r="K731" s="16"/>
      <c r="L731" s="16"/>
      <c r="M731" s="18" t="str">
        <f aca="false">IF(OR(C731="",D731=""),"",IF(MOD(COUNTIFS($C$2:C731,C731,$D$2:D731,D731)*7,10)&lt;3,"teste","treino"))</f>
        <v/>
      </c>
      <c r="N731" s="16"/>
      <c r="O731" s="16"/>
      <c r="P731" s="16"/>
      <c r="Q731" s="17"/>
    </row>
    <row r="732" customFormat="false" ht="15" hidden="false" customHeight="false" outlineLevel="0" collapsed="false">
      <c r="A732" s="15" t="str">
        <f aca="false">IF(B732="","",ROW()-1)</f>
        <v/>
      </c>
      <c r="B732" s="16"/>
      <c r="C732" s="16"/>
      <c r="D732" s="16"/>
      <c r="E732" s="16"/>
      <c r="F732" s="17"/>
      <c r="G732" s="16"/>
      <c r="H732" s="16"/>
      <c r="I732" s="16"/>
      <c r="J732" s="16"/>
      <c r="K732" s="16"/>
      <c r="L732" s="16"/>
      <c r="M732" s="18" t="str">
        <f aca="false">IF(OR(C732="",D732=""),"",IF(MOD(COUNTIFS($C$2:C732,C732,$D$2:D732,D732)*7,10)&lt;3,"teste","treino"))</f>
        <v/>
      </c>
      <c r="N732" s="16"/>
      <c r="O732" s="16"/>
      <c r="P732" s="16"/>
      <c r="Q732" s="17"/>
    </row>
    <row r="733" customFormat="false" ht="15" hidden="false" customHeight="false" outlineLevel="0" collapsed="false">
      <c r="A733" s="15" t="str">
        <f aca="false">IF(B733="","",ROW()-1)</f>
        <v/>
      </c>
      <c r="B733" s="16"/>
      <c r="C733" s="16"/>
      <c r="D733" s="16"/>
      <c r="E733" s="16"/>
      <c r="F733" s="17"/>
      <c r="G733" s="16"/>
      <c r="H733" s="16"/>
      <c r="I733" s="16"/>
      <c r="J733" s="16"/>
      <c r="K733" s="16"/>
      <c r="L733" s="16"/>
      <c r="M733" s="18" t="str">
        <f aca="false">IF(OR(C733="",D733=""),"",IF(MOD(COUNTIFS($C$2:C733,C733,$D$2:D733,D733)*7,10)&lt;3,"teste","treino"))</f>
        <v/>
      </c>
      <c r="N733" s="16"/>
      <c r="O733" s="16"/>
      <c r="P733" s="16"/>
      <c r="Q733" s="17"/>
    </row>
    <row r="734" customFormat="false" ht="15" hidden="false" customHeight="false" outlineLevel="0" collapsed="false">
      <c r="A734" s="15" t="str">
        <f aca="false">IF(B734="","",ROW()-1)</f>
        <v/>
      </c>
      <c r="B734" s="16"/>
      <c r="C734" s="16"/>
      <c r="D734" s="16"/>
      <c r="E734" s="16"/>
      <c r="F734" s="17"/>
      <c r="G734" s="16"/>
      <c r="H734" s="16"/>
      <c r="I734" s="16"/>
      <c r="J734" s="16"/>
      <c r="K734" s="16"/>
      <c r="L734" s="16"/>
      <c r="M734" s="18" t="str">
        <f aca="false">IF(OR(C734="",D734=""),"",IF(MOD(COUNTIFS($C$2:C734,C734,$D$2:D734,D734)*7,10)&lt;3,"teste","treino"))</f>
        <v/>
      </c>
      <c r="N734" s="16"/>
      <c r="O734" s="16"/>
      <c r="P734" s="16"/>
      <c r="Q734" s="17"/>
    </row>
    <row r="735" customFormat="false" ht="15" hidden="false" customHeight="false" outlineLevel="0" collapsed="false">
      <c r="A735" s="15" t="str">
        <f aca="false">IF(B735="","",ROW()-1)</f>
        <v/>
      </c>
      <c r="B735" s="16"/>
      <c r="C735" s="16"/>
      <c r="D735" s="16"/>
      <c r="E735" s="16"/>
      <c r="F735" s="17"/>
      <c r="G735" s="16"/>
      <c r="H735" s="16"/>
      <c r="I735" s="16"/>
      <c r="J735" s="16"/>
      <c r="K735" s="16"/>
      <c r="L735" s="16"/>
      <c r="M735" s="18" t="str">
        <f aca="false">IF(OR(C735="",D735=""),"",IF(MOD(COUNTIFS($C$2:C735,C735,$D$2:D735,D735)*7,10)&lt;3,"teste","treino"))</f>
        <v/>
      </c>
      <c r="N735" s="16"/>
      <c r="O735" s="16"/>
      <c r="P735" s="16"/>
      <c r="Q735" s="17"/>
    </row>
    <row r="736" customFormat="false" ht="15" hidden="false" customHeight="false" outlineLevel="0" collapsed="false">
      <c r="A736" s="15" t="str">
        <f aca="false">IF(B736="","",ROW()-1)</f>
        <v/>
      </c>
      <c r="B736" s="16"/>
      <c r="C736" s="16"/>
      <c r="D736" s="16"/>
      <c r="E736" s="16"/>
      <c r="F736" s="17"/>
      <c r="G736" s="16"/>
      <c r="H736" s="16"/>
      <c r="I736" s="16"/>
      <c r="J736" s="16"/>
      <c r="K736" s="16"/>
      <c r="L736" s="16"/>
      <c r="M736" s="18" t="str">
        <f aca="false">IF(OR(C736="",D736=""),"",IF(MOD(COUNTIFS($C$2:C736,C736,$D$2:D736,D736)*7,10)&lt;3,"teste","treino"))</f>
        <v/>
      </c>
      <c r="N736" s="16"/>
      <c r="O736" s="16"/>
      <c r="P736" s="16"/>
      <c r="Q736" s="17"/>
    </row>
    <row r="737" customFormat="false" ht="15" hidden="false" customHeight="false" outlineLevel="0" collapsed="false">
      <c r="A737" s="15" t="str">
        <f aca="false">IF(B737="","",ROW()-1)</f>
        <v/>
      </c>
      <c r="B737" s="16"/>
      <c r="C737" s="16"/>
      <c r="D737" s="16"/>
      <c r="E737" s="16"/>
      <c r="F737" s="17"/>
      <c r="G737" s="16"/>
      <c r="H737" s="16"/>
      <c r="I737" s="16"/>
      <c r="J737" s="16"/>
      <c r="K737" s="16"/>
      <c r="L737" s="16"/>
      <c r="M737" s="18" t="str">
        <f aca="false">IF(OR(C737="",D737=""),"",IF(MOD(COUNTIFS($C$2:C737,C737,$D$2:D737,D737)*7,10)&lt;3,"teste","treino"))</f>
        <v/>
      </c>
      <c r="N737" s="16"/>
      <c r="O737" s="16"/>
      <c r="P737" s="16"/>
      <c r="Q737" s="17"/>
    </row>
    <row r="738" customFormat="false" ht="15" hidden="false" customHeight="false" outlineLevel="0" collapsed="false">
      <c r="A738" s="15" t="str">
        <f aca="false">IF(B738="","",ROW()-1)</f>
        <v/>
      </c>
      <c r="B738" s="16"/>
      <c r="C738" s="16"/>
      <c r="D738" s="16"/>
      <c r="E738" s="16"/>
      <c r="F738" s="17"/>
      <c r="G738" s="16"/>
      <c r="H738" s="16"/>
      <c r="I738" s="16"/>
      <c r="J738" s="16"/>
      <c r="K738" s="16"/>
      <c r="L738" s="16"/>
      <c r="M738" s="18" t="str">
        <f aca="false">IF(OR(C738="",D738=""),"",IF(MOD(COUNTIFS($C$2:C738,C738,$D$2:D738,D738)*7,10)&lt;3,"teste","treino"))</f>
        <v/>
      </c>
      <c r="N738" s="16"/>
      <c r="O738" s="16"/>
      <c r="P738" s="16"/>
      <c r="Q738" s="17"/>
    </row>
    <row r="739" customFormat="false" ht="15" hidden="false" customHeight="false" outlineLevel="0" collapsed="false">
      <c r="A739" s="15" t="str">
        <f aca="false">IF(B739="","",ROW()-1)</f>
        <v/>
      </c>
      <c r="B739" s="16"/>
      <c r="C739" s="16"/>
      <c r="D739" s="16"/>
      <c r="E739" s="16"/>
      <c r="F739" s="17"/>
      <c r="G739" s="16"/>
      <c r="H739" s="16"/>
      <c r="I739" s="16"/>
      <c r="J739" s="16"/>
      <c r="K739" s="16"/>
      <c r="L739" s="16"/>
      <c r="M739" s="18" t="str">
        <f aca="false">IF(OR(C739="",D739=""),"",IF(MOD(COUNTIFS($C$2:C739,C739,$D$2:D739,D739)*7,10)&lt;3,"teste","treino"))</f>
        <v/>
      </c>
      <c r="N739" s="16"/>
      <c r="O739" s="16"/>
      <c r="P739" s="16"/>
      <c r="Q739" s="17"/>
    </row>
    <row r="740" customFormat="false" ht="15" hidden="false" customHeight="false" outlineLevel="0" collapsed="false">
      <c r="A740" s="15" t="str">
        <f aca="false">IF(B740="","",ROW()-1)</f>
        <v/>
      </c>
      <c r="B740" s="16"/>
      <c r="C740" s="16"/>
      <c r="D740" s="16"/>
      <c r="E740" s="16"/>
      <c r="F740" s="17"/>
      <c r="G740" s="16"/>
      <c r="H740" s="16"/>
      <c r="I740" s="16"/>
      <c r="J740" s="16"/>
      <c r="K740" s="16"/>
      <c r="L740" s="16"/>
      <c r="M740" s="18" t="str">
        <f aca="false">IF(OR(C740="",D740=""),"",IF(MOD(COUNTIFS($C$2:C740,C740,$D$2:D740,D740)*7,10)&lt;3,"teste","treino"))</f>
        <v/>
      </c>
      <c r="N740" s="16"/>
      <c r="O740" s="16"/>
      <c r="P740" s="16"/>
      <c r="Q740" s="17"/>
    </row>
    <row r="741" customFormat="false" ht="15" hidden="false" customHeight="false" outlineLevel="0" collapsed="false">
      <c r="A741" s="15" t="str">
        <f aca="false">IF(B741="","",ROW()-1)</f>
        <v/>
      </c>
      <c r="B741" s="16"/>
      <c r="C741" s="16"/>
      <c r="D741" s="16"/>
      <c r="E741" s="16"/>
      <c r="F741" s="17"/>
      <c r="G741" s="16"/>
      <c r="H741" s="16"/>
      <c r="I741" s="16"/>
      <c r="J741" s="16"/>
      <c r="K741" s="16"/>
      <c r="L741" s="16"/>
      <c r="M741" s="18" t="str">
        <f aca="false">IF(OR(C741="",D741=""),"",IF(MOD(COUNTIFS($C$2:C741,C741,$D$2:D741,D741)*7,10)&lt;3,"teste","treino"))</f>
        <v/>
      </c>
      <c r="N741" s="16"/>
      <c r="O741" s="16"/>
      <c r="P741" s="16"/>
      <c r="Q741" s="17"/>
    </row>
    <row r="742" customFormat="false" ht="15" hidden="false" customHeight="false" outlineLevel="0" collapsed="false">
      <c r="A742" s="15" t="str">
        <f aca="false">IF(B742="","",ROW()-1)</f>
        <v/>
      </c>
      <c r="B742" s="16"/>
      <c r="C742" s="16"/>
      <c r="D742" s="16"/>
      <c r="E742" s="16"/>
      <c r="F742" s="17"/>
      <c r="G742" s="16"/>
      <c r="H742" s="16"/>
      <c r="I742" s="16"/>
      <c r="J742" s="16"/>
      <c r="K742" s="16"/>
      <c r="L742" s="16"/>
      <c r="M742" s="18" t="str">
        <f aca="false">IF(OR(C742="",D742=""),"",IF(MOD(COUNTIFS($C$2:C742,C742,$D$2:D742,D742)*7,10)&lt;3,"teste","treino"))</f>
        <v/>
      </c>
      <c r="N742" s="16"/>
      <c r="O742" s="16"/>
      <c r="P742" s="16"/>
      <c r="Q742" s="17"/>
    </row>
    <row r="743" customFormat="false" ht="15" hidden="false" customHeight="false" outlineLevel="0" collapsed="false">
      <c r="A743" s="15" t="str">
        <f aca="false">IF(B743="","",ROW()-1)</f>
        <v/>
      </c>
      <c r="B743" s="16"/>
      <c r="C743" s="16"/>
      <c r="D743" s="16"/>
      <c r="E743" s="16"/>
      <c r="F743" s="17"/>
      <c r="G743" s="16"/>
      <c r="H743" s="16"/>
      <c r="I743" s="16"/>
      <c r="J743" s="16"/>
      <c r="K743" s="16"/>
      <c r="L743" s="16"/>
      <c r="M743" s="18" t="str">
        <f aca="false">IF(OR(C743="",D743=""),"",IF(MOD(COUNTIFS($C$2:C743,C743,$D$2:D743,D743)*7,10)&lt;3,"teste","treino"))</f>
        <v/>
      </c>
      <c r="N743" s="16"/>
      <c r="O743" s="16"/>
      <c r="P743" s="16"/>
      <c r="Q743" s="17"/>
    </row>
    <row r="744" customFormat="false" ht="15" hidden="false" customHeight="false" outlineLevel="0" collapsed="false">
      <c r="A744" s="15" t="str">
        <f aca="false">IF(B744="","",ROW()-1)</f>
        <v/>
      </c>
      <c r="B744" s="16"/>
      <c r="C744" s="16"/>
      <c r="D744" s="16"/>
      <c r="E744" s="16"/>
      <c r="F744" s="17"/>
      <c r="G744" s="16"/>
      <c r="H744" s="16"/>
      <c r="I744" s="16"/>
      <c r="J744" s="16"/>
      <c r="K744" s="16"/>
      <c r="L744" s="16"/>
      <c r="M744" s="18" t="str">
        <f aca="false">IF(OR(C744="",D744=""),"",IF(MOD(COUNTIFS($C$2:C744,C744,$D$2:D744,D744)*7,10)&lt;3,"teste","treino"))</f>
        <v/>
      </c>
      <c r="N744" s="16"/>
      <c r="O744" s="16"/>
      <c r="P744" s="16"/>
      <c r="Q744" s="17"/>
    </row>
    <row r="745" customFormat="false" ht="15" hidden="false" customHeight="false" outlineLevel="0" collapsed="false">
      <c r="A745" s="15" t="str">
        <f aca="false">IF(B745="","",ROW()-1)</f>
        <v/>
      </c>
      <c r="B745" s="16"/>
      <c r="C745" s="16"/>
      <c r="D745" s="16"/>
      <c r="E745" s="16"/>
      <c r="F745" s="17"/>
      <c r="G745" s="16"/>
      <c r="H745" s="16"/>
      <c r="I745" s="16"/>
      <c r="J745" s="16"/>
      <c r="K745" s="16"/>
      <c r="L745" s="16"/>
      <c r="M745" s="18" t="str">
        <f aca="false">IF(OR(C745="",D745=""),"",IF(MOD(COUNTIFS($C$2:C745,C745,$D$2:D745,D745)*7,10)&lt;3,"teste","treino"))</f>
        <v/>
      </c>
      <c r="N745" s="16"/>
      <c r="O745" s="16"/>
      <c r="P745" s="16"/>
      <c r="Q745" s="17"/>
    </row>
    <row r="746" customFormat="false" ht="15" hidden="false" customHeight="false" outlineLevel="0" collapsed="false">
      <c r="A746" s="15" t="str">
        <f aca="false">IF(B746="","",ROW()-1)</f>
        <v/>
      </c>
      <c r="B746" s="16"/>
      <c r="C746" s="16"/>
      <c r="D746" s="16"/>
      <c r="E746" s="16"/>
      <c r="F746" s="17"/>
      <c r="G746" s="16"/>
      <c r="H746" s="16"/>
      <c r="I746" s="16"/>
      <c r="J746" s="16"/>
      <c r="K746" s="16"/>
      <c r="L746" s="16"/>
      <c r="M746" s="18" t="str">
        <f aca="false">IF(OR(C746="",D746=""),"",IF(MOD(COUNTIFS($C$2:C746,C746,$D$2:D746,D746)*7,10)&lt;3,"teste","treino"))</f>
        <v/>
      </c>
      <c r="N746" s="16"/>
      <c r="O746" s="16"/>
      <c r="P746" s="16"/>
      <c r="Q746" s="17"/>
    </row>
    <row r="747" customFormat="false" ht="15" hidden="false" customHeight="false" outlineLevel="0" collapsed="false">
      <c r="A747" s="15" t="str">
        <f aca="false">IF(B747="","",ROW()-1)</f>
        <v/>
      </c>
      <c r="B747" s="16"/>
      <c r="C747" s="16"/>
      <c r="D747" s="16"/>
      <c r="E747" s="16"/>
      <c r="F747" s="17"/>
      <c r="G747" s="16"/>
      <c r="H747" s="16"/>
      <c r="I747" s="16"/>
      <c r="J747" s="16"/>
      <c r="K747" s="16"/>
      <c r="L747" s="16"/>
      <c r="M747" s="18" t="str">
        <f aca="false">IF(OR(C747="",D747=""),"",IF(MOD(COUNTIFS($C$2:C747,C747,$D$2:D747,D747)*7,10)&lt;3,"teste","treino"))</f>
        <v/>
      </c>
      <c r="N747" s="16"/>
      <c r="O747" s="16"/>
      <c r="P747" s="16"/>
      <c r="Q747" s="17"/>
    </row>
    <row r="748" customFormat="false" ht="15" hidden="false" customHeight="false" outlineLevel="0" collapsed="false">
      <c r="A748" s="15" t="str">
        <f aca="false">IF(B748="","",ROW()-1)</f>
        <v/>
      </c>
      <c r="B748" s="16"/>
      <c r="C748" s="16"/>
      <c r="D748" s="16"/>
      <c r="E748" s="16"/>
      <c r="F748" s="17"/>
      <c r="G748" s="16"/>
      <c r="H748" s="16"/>
      <c r="I748" s="16"/>
      <c r="J748" s="16"/>
      <c r="K748" s="16"/>
      <c r="L748" s="16"/>
      <c r="M748" s="18" t="str">
        <f aca="false">IF(OR(C748="",D748=""),"",IF(MOD(COUNTIFS($C$2:C748,C748,$D$2:D748,D748)*7,10)&lt;3,"teste","treino"))</f>
        <v/>
      </c>
      <c r="N748" s="16"/>
      <c r="O748" s="16"/>
      <c r="P748" s="16"/>
      <c r="Q748" s="17"/>
    </row>
    <row r="749" customFormat="false" ht="15" hidden="false" customHeight="false" outlineLevel="0" collapsed="false">
      <c r="A749" s="15" t="str">
        <f aca="false">IF(B749="","",ROW()-1)</f>
        <v/>
      </c>
      <c r="B749" s="16"/>
      <c r="C749" s="16"/>
      <c r="D749" s="16"/>
      <c r="E749" s="16"/>
      <c r="F749" s="17"/>
      <c r="G749" s="16"/>
      <c r="H749" s="16"/>
      <c r="I749" s="16"/>
      <c r="J749" s="16"/>
      <c r="K749" s="16"/>
      <c r="L749" s="16"/>
      <c r="M749" s="18" t="str">
        <f aca="false">IF(OR(C749="",D749=""),"",IF(MOD(COUNTIFS($C$2:C749,C749,$D$2:D749,D749)*7,10)&lt;3,"teste","treino"))</f>
        <v/>
      </c>
      <c r="N749" s="16"/>
      <c r="O749" s="16"/>
      <c r="P749" s="16"/>
      <c r="Q749" s="17"/>
    </row>
    <row r="750" customFormat="false" ht="15" hidden="false" customHeight="false" outlineLevel="0" collapsed="false">
      <c r="A750" s="15" t="str">
        <f aca="false">IF(B750="","",ROW()-1)</f>
        <v/>
      </c>
      <c r="B750" s="16"/>
      <c r="C750" s="16"/>
      <c r="D750" s="16"/>
      <c r="E750" s="16"/>
      <c r="F750" s="17"/>
      <c r="G750" s="16"/>
      <c r="H750" s="16"/>
      <c r="I750" s="16"/>
      <c r="J750" s="16"/>
      <c r="K750" s="16"/>
      <c r="L750" s="16"/>
      <c r="M750" s="18" t="str">
        <f aca="false">IF(OR(C750="",D750=""),"",IF(MOD(COUNTIFS($C$2:C750,C750,$D$2:D750,D750)*7,10)&lt;3,"teste","treino"))</f>
        <v/>
      </c>
      <c r="N750" s="16"/>
      <c r="O750" s="16"/>
      <c r="P750" s="16"/>
      <c r="Q750" s="17"/>
    </row>
    <row r="751" customFormat="false" ht="15" hidden="false" customHeight="false" outlineLevel="0" collapsed="false">
      <c r="A751" s="15" t="str">
        <f aca="false">IF(B751="","",ROW()-1)</f>
        <v/>
      </c>
      <c r="B751" s="16"/>
      <c r="C751" s="16"/>
      <c r="D751" s="16"/>
      <c r="E751" s="16"/>
      <c r="F751" s="17"/>
      <c r="G751" s="16"/>
      <c r="H751" s="16"/>
      <c r="I751" s="16"/>
      <c r="J751" s="16"/>
      <c r="K751" s="16"/>
      <c r="L751" s="16"/>
      <c r="M751" s="18" t="str">
        <f aca="false">IF(OR(C751="",D751=""),"",IF(MOD(COUNTIFS($C$2:C751,C751,$D$2:D751,D751)*7,10)&lt;3,"teste","treino"))</f>
        <v/>
      </c>
      <c r="N751" s="16"/>
      <c r="O751" s="16"/>
      <c r="P751" s="16"/>
      <c r="Q751" s="17"/>
    </row>
    <row r="752" customFormat="false" ht="15" hidden="false" customHeight="false" outlineLevel="0" collapsed="false">
      <c r="A752" s="15" t="str">
        <f aca="false">IF(B752="","",ROW()-1)</f>
        <v/>
      </c>
      <c r="B752" s="16"/>
      <c r="C752" s="16"/>
      <c r="D752" s="16"/>
      <c r="E752" s="16"/>
      <c r="F752" s="17"/>
      <c r="G752" s="16"/>
      <c r="H752" s="16"/>
      <c r="I752" s="16"/>
      <c r="J752" s="16"/>
      <c r="K752" s="16"/>
      <c r="L752" s="16"/>
      <c r="M752" s="18" t="str">
        <f aca="false">IF(OR(C752="",D752=""),"",IF(MOD(COUNTIFS($C$2:C752,C752,$D$2:D752,D752)*7,10)&lt;3,"teste","treino"))</f>
        <v/>
      </c>
      <c r="N752" s="16"/>
      <c r="O752" s="16"/>
      <c r="P752" s="16"/>
      <c r="Q752" s="17"/>
    </row>
    <row r="753" customFormat="false" ht="15" hidden="false" customHeight="false" outlineLevel="0" collapsed="false">
      <c r="A753" s="15" t="str">
        <f aca="false">IF(B753="","",ROW()-1)</f>
        <v/>
      </c>
      <c r="B753" s="16"/>
      <c r="C753" s="16"/>
      <c r="D753" s="16"/>
      <c r="E753" s="16"/>
      <c r="F753" s="17"/>
      <c r="G753" s="16"/>
      <c r="H753" s="16"/>
      <c r="I753" s="16"/>
      <c r="J753" s="16"/>
      <c r="K753" s="16"/>
      <c r="L753" s="16"/>
      <c r="M753" s="18" t="str">
        <f aca="false">IF(OR(C753="",D753=""),"",IF(MOD(COUNTIFS($C$2:C753,C753,$D$2:D753,D753)*7,10)&lt;3,"teste","treino"))</f>
        <v/>
      </c>
      <c r="N753" s="16"/>
      <c r="O753" s="16"/>
      <c r="P753" s="16"/>
      <c r="Q753" s="17"/>
    </row>
    <row r="754" customFormat="false" ht="15" hidden="false" customHeight="false" outlineLevel="0" collapsed="false">
      <c r="A754" s="15" t="str">
        <f aca="false">IF(B754="","",ROW()-1)</f>
        <v/>
      </c>
      <c r="B754" s="16"/>
      <c r="C754" s="16"/>
      <c r="D754" s="16"/>
      <c r="E754" s="16"/>
      <c r="F754" s="17"/>
      <c r="G754" s="16"/>
      <c r="H754" s="16"/>
      <c r="I754" s="16"/>
      <c r="J754" s="16"/>
      <c r="K754" s="16"/>
      <c r="L754" s="16"/>
      <c r="M754" s="18" t="str">
        <f aca="false">IF(OR(C754="",D754=""),"",IF(MOD(COUNTIFS($C$2:C754,C754,$D$2:D754,D754)*7,10)&lt;3,"teste","treino"))</f>
        <v/>
      </c>
      <c r="N754" s="16"/>
      <c r="O754" s="16"/>
      <c r="P754" s="16"/>
      <c r="Q754" s="17"/>
    </row>
    <row r="755" customFormat="false" ht="15" hidden="false" customHeight="false" outlineLevel="0" collapsed="false">
      <c r="A755" s="15" t="str">
        <f aca="false">IF(B755="","",ROW()-1)</f>
        <v/>
      </c>
      <c r="B755" s="16"/>
      <c r="C755" s="16"/>
      <c r="D755" s="16"/>
      <c r="E755" s="16"/>
      <c r="F755" s="17"/>
      <c r="G755" s="16"/>
      <c r="H755" s="16"/>
      <c r="I755" s="16"/>
      <c r="J755" s="16"/>
      <c r="K755" s="16"/>
      <c r="L755" s="16"/>
      <c r="M755" s="18" t="str">
        <f aca="false">IF(OR(C755="",D755=""),"",IF(MOD(COUNTIFS($C$2:C755,C755,$D$2:D755,D755)*7,10)&lt;3,"teste","treino"))</f>
        <v/>
      </c>
      <c r="N755" s="16"/>
      <c r="O755" s="16"/>
      <c r="P755" s="16"/>
      <c r="Q755" s="17"/>
    </row>
    <row r="756" customFormat="false" ht="15" hidden="false" customHeight="false" outlineLevel="0" collapsed="false">
      <c r="A756" s="15" t="str">
        <f aca="false">IF(B756="","",ROW()-1)</f>
        <v/>
      </c>
      <c r="B756" s="16"/>
      <c r="C756" s="16"/>
      <c r="D756" s="16"/>
      <c r="E756" s="16"/>
      <c r="F756" s="17"/>
      <c r="G756" s="16"/>
      <c r="H756" s="16"/>
      <c r="I756" s="16"/>
      <c r="J756" s="16"/>
      <c r="K756" s="16"/>
      <c r="L756" s="16"/>
      <c r="M756" s="18" t="str">
        <f aca="false">IF(OR(C756="",D756=""),"",IF(MOD(COUNTIFS($C$2:C756,C756,$D$2:D756,D756)*7,10)&lt;3,"teste","treino"))</f>
        <v/>
      </c>
      <c r="N756" s="16"/>
      <c r="O756" s="16"/>
      <c r="P756" s="16"/>
      <c r="Q756" s="17"/>
    </row>
    <row r="757" customFormat="false" ht="15" hidden="false" customHeight="false" outlineLevel="0" collapsed="false">
      <c r="A757" s="15" t="str">
        <f aca="false">IF(B757="","",ROW()-1)</f>
        <v/>
      </c>
      <c r="B757" s="16"/>
      <c r="C757" s="16"/>
      <c r="D757" s="16"/>
      <c r="E757" s="16"/>
      <c r="F757" s="17"/>
      <c r="G757" s="16"/>
      <c r="H757" s="16"/>
      <c r="I757" s="16"/>
      <c r="J757" s="16"/>
      <c r="K757" s="16"/>
      <c r="L757" s="16"/>
      <c r="M757" s="18" t="str">
        <f aca="false">IF(OR(C757="",D757=""),"",IF(MOD(COUNTIFS($C$2:C757,C757,$D$2:D757,D757)*7,10)&lt;3,"teste","treino"))</f>
        <v/>
      </c>
      <c r="N757" s="16"/>
      <c r="O757" s="16"/>
      <c r="P757" s="16"/>
      <c r="Q757" s="17"/>
    </row>
    <row r="758" customFormat="false" ht="15" hidden="false" customHeight="false" outlineLevel="0" collapsed="false">
      <c r="A758" s="15" t="str">
        <f aca="false">IF(B758="","",ROW()-1)</f>
        <v/>
      </c>
      <c r="B758" s="16"/>
      <c r="C758" s="16"/>
      <c r="D758" s="16"/>
      <c r="E758" s="16"/>
      <c r="F758" s="17"/>
      <c r="G758" s="16"/>
      <c r="H758" s="16"/>
      <c r="I758" s="16"/>
      <c r="J758" s="16"/>
      <c r="K758" s="16"/>
      <c r="L758" s="16"/>
      <c r="M758" s="18" t="str">
        <f aca="false">IF(OR(C758="",D758=""),"",IF(MOD(COUNTIFS($C$2:C758,C758,$D$2:D758,D758)*7,10)&lt;3,"teste","treino"))</f>
        <v/>
      </c>
      <c r="N758" s="16"/>
      <c r="O758" s="16"/>
      <c r="P758" s="16"/>
      <c r="Q758" s="17"/>
    </row>
    <row r="759" customFormat="false" ht="15" hidden="false" customHeight="false" outlineLevel="0" collapsed="false">
      <c r="A759" s="15" t="str">
        <f aca="false">IF(B759="","",ROW()-1)</f>
        <v/>
      </c>
      <c r="B759" s="16"/>
      <c r="C759" s="16"/>
      <c r="D759" s="16"/>
      <c r="E759" s="16"/>
      <c r="F759" s="17"/>
      <c r="G759" s="16"/>
      <c r="H759" s="16"/>
      <c r="I759" s="16"/>
      <c r="J759" s="16"/>
      <c r="K759" s="16"/>
      <c r="L759" s="16"/>
      <c r="M759" s="18" t="str">
        <f aca="false">IF(OR(C759="",D759=""),"",IF(MOD(COUNTIFS($C$2:C759,C759,$D$2:D759,D759)*7,10)&lt;3,"teste","treino"))</f>
        <v/>
      </c>
      <c r="N759" s="16"/>
      <c r="O759" s="16"/>
      <c r="P759" s="16"/>
      <c r="Q759" s="17"/>
    </row>
    <row r="760" customFormat="false" ht="15" hidden="false" customHeight="false" outlineLevel="0" collapsed="false">
      <c r="A760" s="15" t="str">
        <f aca="false">IF(B760="","",ROW()-1)</f>
        <v/>
      </c>
      <c r="B760" s="16"/>
      <c r="C760" s="16"/>
      <c r="D760" s="16"/>
      <c r="E760" s="16"/>
      <c r="F760" s="17"/>
      <c r="G760" s="16"/>
      <c r="H760" s="16"/>
      <c r="I760" s="16"/>
      <c r="J760" s="16"/>
      <c r="K760" s="16"/>
      <c r="L760" s="16"/>
      <c r="M760" s="18" t="str">
        <f aca="false">IF(OR(C760="",D760=""),"",IF(MOD(COUNTIFS($C$2:C760,C760,$D$2:D760,D760)*7,10)&lt;3,"teste","treino"))</f>
        <v/>
      </c>
      <c r="N760" s="16"/>
      <c r="O760" s="16"/>
      <c r="P760" s="16"/>
      <c r="Q760" s="17"/>
    </row>
    <row r="761" customFormat="false" ht="15" hidden="false" customHeight="false" outlineLevel="0" collapsed="false">
      <c r="A761" s="15" t="str">
        <f aca="false">IF(B761="","",ROW()-1)</f>
        <v/>
      </c>
      <c r="B761" s="16"/>
      <c r="C761" s="16"/>
      <c r="D761" s="16"/>
      <c r="E761" s="16"/>
      <c r="F761" s="17"/>
      <c r="G761" s="16"/>
      <c r="H761" s="16"/>
      <c r="I761" s="16"/>
      <c r="J761" s="16"/>
      <c r="K761" s="16"/>
      <c r="L761" s="16"/>
      <c r="M761" s="18" t="str">
        <f aca="false">IF(OR(C761="",D761=""),"",IF(MOD(COUNTIFS($C$2:C761,C761,$D$2:D761,D761)*7,10)&lt;3,"teste","treino"))</f>
        <v/>
      </c>
      <c r="N761" s="16"/>
      <c r="O761" s="16"/>
      <c r="P761" s="16"/>
      <c r="Q761" s="17"/>
    </row>
    <row r="762" customFormat="false" ht="15" hidden="false" customHeight="false" outlineLevel="0" collapsed="false">
      <c r="A762" s="15" t="str">
        <f aca="false">IF(B762="","",ROW()-1)</f>
        <v/>
      </c>
      <c r="B762" s="16"/>
      <c r="C762" s="16"/>
      <c r="D762" s="16"/>
      <c r="E762" s="16"/>
      <c r="F762" s="17"/>
      <c r="G762" s="16"/>
      <c r="H762" s="16"/>
      <c r="I762" s="16"/>
      <c r="J762" s="16"/>
      <c r="K762" s="16"/>
      <c r="L762" s="16"/>
      <c r="M762" s="18" t="str">
        <f aca="false">IF(OR(C762="",D762=""),"",IF(MOD(COUNTIFS($C$2:C762,C762,$D$2:D762,D762)*7,10)&lt;3,"teste","treino"))</f>
        <v/>
      </c>
      <c r="N762" s="16"/>
      <c r="O762" s="16"/>
      <c r="P762" s="16"/>
      <c r="Q762" s="17"/>
    </row>
    <row r="763" customFormat="false" ht="15" hidden="false" customHeight="false" outlineLevel="0" collapsed="false">
      <c r="A763" s="15" t="str">
        <f aca="false">IF(B763="","",ROW()-1)</f>
        <v/>
      </c>
      <c r="B763" s="16"/>
      <c r="C763" s="16"/>
      <c r="D763" s="16"/>
      <c r="E763" s="16"/>
      <c r="F763" s="17"/>
      <c r="G763" s="16"/>
      <c r="H763" s="16"/>
      <c r="I763" s="16"/>
      <c r="J763" s="16"/>
      <c r="K763" s="16"/>
      <c r="L763" s="16"/>
      <c r="M763" s="18" t="str">
        <f aca="false">IF(OR(C763="",D763=""),"",IF(MOD(COUNTIFS($C$2:C763,C763,$D$2:D763,D763)*7,10)&lt;3,"teste","treino"))</f>
        <v/>
      </c>
      <c r="N763" s="16"/>
      <c r="O763" s="16"/>
      <c r="P763" s="16"/>
      <c r="Q763" s="17"/>
    </row>
    <row r="764" customFormat="false" ht="15" hidden="false" customHeight="false" outlineLevel="0" collapsed="false">
      <c r="A764" s="15" t="str">
        <f aca="false">IF(B764="","",ROW()-1)</f>
        <v/>
      </c>
      <c r="B764" s="16"/>
      <c r="C764" s="16"/>
      <c r="D764" s="16"/>
      <c r="E764" s="16"/>
      <c r="F764" s="17"/>
      <c r="G764" s="16"/>
      <c r="H764" s="16"/>
      <c r="I764" s="16"/>
      <c r="J764" s="16"/>
      <c r="K764" s="16"/>
      <c r="L764" s="16"/>
      <c r="M764" s="18" t="str">
        <f aca="false">IF(OR(C764="",D764=""),"",IF(MOD(COUNTIFS($C$2:C764,C764,$D$2:D764,D764)*7,10)&lt;3,"teste","treino"))</f>
        <v/>
      </c>
      <c r="N764" s="16"/>
      <c r="O764" s="16"/>
      <c r="P764" s="16"/>
      <c r="Q764" s="17"/>
    </row>
    <row r="765" customFormat="false" ht="15" hidden="false" customHeight="false" outlineLevel="0" collapsed="false">
      <c r="A765" s="15" t="str">
        <f aca="false">IF(B765="","",ROW()-1)</f>
        <v/>
      </c>
      <c r="B765" s="16"/>
      <c r="C765" s="16"/>
      <c r="D765" s="16"/>
      <c r="E765" s="16"/>
      <c r="F765" s="17"/>
      <c r="G765" s="16"/>
      <c r="H765" s="16"/>
      <c r="I765" s="16"/>
      <c r="J765" s="16"/>
      <c r="K765" s="16"/>
      <c r="L765" s="16"/>
      <c r="M765" s="18" t="str">
        <f aca="false">IF(OR(C765="",D765=""),"",IF(MOD(COUNTIFS($C$2:C765,C765,$D$2:D765,D765)*7,10)&lt;3,"teste","treino"))</f>
        <v/>
      </c>
      <c r="N765" s="16"/>
      <c r="O765" s="16"/>
      <c r="P765" s="16"/>
      <c r="Q765" s="17"/>
    </row>
    <row r="766" customFormat="false" ht="15" hidden="false" customHeight="false" outlineLevel="0" collapsed="false">
      <c r="A766" s="15" t="str">
        <f aca="false">IF(B766="","",ROW()-1)</f>
        <v/>
      </c>
      <c r="B766" s="16"/>
      <c r="C766" s="16"/>
      <c r="D766" s="16"/>
      <c r="E766" s="16"/>
      <c r="F766" s="17"/>
      <c r="G766" s="16"/>
      <c r="H766" s="16"/>
      <c r="I766" s="16"/>
      <c r="J766" s="16"/>
      <c r="K766" s="16"/>
      <c r="L766" s="16"/>
      <c r="M766" s="18" t="str">
        <f aca="false">IF(OR(C766="",D766=""),"",IF(MOD(COUNTIFS($C$2:C766,C766,$D$2:D766,D766)*7,10)&lt;3,"teste","treino"))</f>
        <v/>
      </c>
      <c r="N766" s="16"/>
      <c r="O766" s="16"/>
      <c r="P766" s="16"/>
      <c r="Q766" s="17"/>
    </row>
    <row r="767" customFormat="false" ht="15" hidden="false" customHeight="false" outlineLevel="0" collapsed="false">
      <c r="A767" s="15" t="str">
        <f aca="false">IF(B767="","",ROW()-1)</f>
        <v/>
      </c>
      <c r="B767" s="16"/>
      <c r="C767" s="16"/>
      <c r="D767" s="16"/>
      <c r="E767" s="16"/>
      <c r="F767" s="17"/>
      <c r="G767" s="16"/>
      <c r="H767" s="16"/>
      <c r="I767" s="16"/>
      <c r="J767" s="16"/>
      <c r="K767" s="16"/>
      <c r="L767" s="16"/>
      <c r="M767" s="18" t="str">
        <f aca="false">IF(OR(C767="",D767=""),"",IF(MOD(COUNTIFS($C$2:C767,C767,$D$2:D767,D767)*7,10)&lt;3,"teste","treino"))</f>
        <v/>
      </c>
      <c r="N767" s="16"/>
      <c r="O767" s="16"/>
      <c r="P767" s="16"/>
      <c r="Q767" s="17"/>
    </row>
    <row r="768" customFormat="false" ht="15" hidden="false" customHeight="false" outlineLevel="0" collapsed="false">
      <c r="A768" s="15" t="str">
        <f aca="false">IF(B768="","",ROW()-1)</f>
        <v/>
      </c>
      <c r="B768" s="16"/>
      <c r="C768" s="16"/>
      <c r="D768" s="16"/>
      <c r="E768" s="16"/>
      <c r="F768" s="17"/>
      <c r="G768" s="16"/>
      <c r="H768" s="16"/>
      <c r="I768" s="16"/>
      <c r="J768" s="16"/>
      <c r="K768" s="16"/>
      <c r="L768" s="16"/>
      <c r="M768" s="18" t="str">
        <f aca="false">IF(OR(C768="",D768=""),"",IF(MOD(COUNTIFS($C$2:C768,C768,$D$2:D768,D768)*7,10)&lt;3,"teste","treino"))</f>
        <v/>
      </c>
      <c r="N768" s="16"/>
      <c r="O768" s="16"/>
      <c r="P768" s="16"/>
      <c r="Q768" s="17"/>
    </row>
    <row r="769" customFormat="false" ht="15" hidden="false" customHeight="false" outlineLevel="0" collapsed="false">
      <c r="A769" s="15" t="str">
        <f aca="false">IF(B769="","",ROW()-1)</f>
        <v/>
      </c>
      <c r="B769" s="16"/>
      <c r="C769" s="16"/>
      <c r="D769" s="16"/>
      <c r="E769" s="16"/>
      <c r="F769" s="17"/>
      <c r="G769" s="16"/>
      <c r="H769" s="16"/>
      <c r="I769" s="16"/>
      <c r="J769" s="16"/>
      <c r="K769" s="16"/>
      <c r="L769" s="16"/>
      <c r="M769" s="18" t="str">
        <f aca="false">IF(OR(C769="",D769=""),"",IF(MOD(COUNTIFS($C$2:C769,C769,$D$2:D769,D769)*7,10)&lt;3,"teste","treino"))</f>
        <v/>
      </c>
      <c r="N769" s="16"/>
      <c r="O769" s="16"/>
      <c r="P769" s="16"/>
      <c r="Q769" s="17"/>
    </row>
    <row r="770" customFormat="false" ht="15" hidden="false" customHeight="false" outlineLevel="0" collapsed="false">
      <c r="A770" s="15" t="str">
        <f aca="false">IF(B770="","",ROW()-1)</f>
        <v/>
      </c>
      <c r="B770" s="16"/>
      <c r="C770" s="16"/>
      <c r="D770" s="16"/>
      <c r="E770" s="16"/>
      <c r="F770" s="17"/>
      <c r="G770" s="16"/>
      <c r="H770" s="16"/>
      <c r="I770" s="16"/>
      <c r="J770" s="16"/>
      <c r="K770" s="16"/>
      <c r="L770" s="16"/>
      <c r="M770" s="18" t="str">
        <f aca="false">IF(OR(C770="",D770=""),"",IF(MOD(COUNTIFS($C$2:C770,C770,$D$2:D770,D770)*7,10)&lt;3,"teste","treino"))</f>
        <v/>
      </c>
      <c r="N770" s="16"/>
      <c r="O770" s="16"/>
      <c r="P770" s="16"/>
      <c r="Q770" s="17"/>
    </row>
    <row r="771" customFormat="false" ht="15" hidden="false" customHeight="false" outlineLevel="0" collapsed="false">
      <c r="A771" s="15" t="str">
        <f aca="false">IF(B771="","",ROW()-1)</f>
        <v/>
      </c>
      <c r="B771" s="16"/>
      <c r="C771" s="16"/>
      <c r="D771" s="16"/>
      <c r="E771" s="16"/>
      <c r="F771" s="17"/>
      <c r="G771" s="16"/>
      <c r="H771" s="16"/>
      <c r="I771" s="16"/>
      <c r="J771" s="16"/>
      <c r="K771" s="16"/>
      <c r="L771" s="16"/>
      <c r="M771" s="18" t="str">
        <f aca="false">IF(OR(C771="",D771=""),"",IF(MOD(COUNTIFS($C$2:C771,C771,$D$2:D771,D771)*7,10)&lt;3,"teste","treino"))</f>
        <v/>
      </c>
      <c r="N771" s="16"/>
      <c r="O771" s="16"/>
      <c r="P771" s="16"/>
      <c r="Q771" s="17"/>
    </row>
    <row r="772" customFormat="false" ht="15" hidden="false" customHeight="false" outlineLevel="0" collapsed="false">
      <c r="A772" s="15" t="str">
        <f aca="false">IF(B772="","",ROW()-1)</f>
        <v/>
      </c>
      <c r="B772" s="16"/>
      <c r="C772" s="16"/>
      <c r="D772" s="16"/>
      <c r="E772" s="16"/>
      <c r="F772" s="17"/>
      <c r="G772" s="16"/>
      <c r="H772" s="16"/>
      <c r="I772" s="16"/>
      <c r="J772" s="16"/>
      <c r="K772" s="16"/>
      <c r="L772" s="16"/>
      <c r="M772" s="18" t="str">
        <f aca="false">IF(OR(C772="",D772=""),"",IF(MOD(COUNTIFS($C$2:C772,C772,$D$2:D772,D772)*7,10)&lt;3,"teste","treino"))</f>
        <v/>
      </c>
      <c r="N772" s="16"/>
      <c r="O772" s="16"/>
      <c r="P772" s="16"/>
      <c r="Q772" s="17"/>
    </row>
    <row r="773" customFormat="false" ht="15" hidden="false" customHeight="false" outlineLevel="0" collapsed="false">
      <c r="A773" s="15" t="str">
        <f aca="false">IF(B773="","",ROW()-1)</f>
        <v/>
      </c>
      <c r="B773" s="16"/>
      <c r="C773" s="16"/>
      <c r="D773" s="16"/>
      <c r="E773" s="16"/>
      <c r="F773" s="17"/>
      <c r="G773" s="16"/>
      <c r="H773" s="16"/>
      <c r="I773" s="16"/>
      <c r="J773" s="16"/>
      <c r="K773" s="16"/>
      <c r="L773" s="16"/>
      <c r="M773" s="18" t="str">
        <f aca="false">IF(OR(C773="",D773=""),"",IF(MOD(COUNTIFS($C$2:C773,C773,$D$2:D773,D773)*7,10)&lt;3,"teste","treino"))</f>
        <v/>
      </c>
      <c r="N773" s="16"/>
      <c r="O773" s="16"/>
      <c r="P773" s="16"/>
      <c r="Q773" s="17"/>
    </row>
    <row r="774" customFormat="false" ht="15" hidden="false" customHeight="false" outlineLevel="0" collapsed="false">
      <c r="A774" s="15" t="str">
        <f aca="false">IF(B774="","",ROW()-1)</f>
        <v/>
      </c>
      <c r="B774" s="16"/>
      <c r="C774" s="16"/>
      <c r="D774" s="16"/>
      <c r="E774" s="16"/>
      <c r="F774" s="17"/>
      <c r="G774" s="16"/>
      <c r="H774" s="16"/>
      <c r="I774" s="16"/>
      <c r="J774" s="16"/>
      <c r="K774" s="16"/>
      <c r="L774" s="16"/>
      <c r="M774" s="18" t="str">
        <f aca="false">IF(OR(C774="",D774=""),"",IF(MOD(COUNTIFS($C$2:C774,C774,$D$2:D774,D774)*7,10)&lt;3,"teste","treino"))</f>
        <v/>
      </c>
      <c r="N774" s="16"/>
      <c r="O774" s="16"/>
      <c r="P774" s="16"/>
      <c r="Q774" s="17"/>
    </row>
    <row r="775" customFormat="false" ht="15" hidden="false" customHeight="false" outlineLevel="0" collapsed="false">
      <c r="A775" s="15" t="str">
        <f aca="false">IF(B775="","",ROW()-1)</f>
        <v/>
      </c>
      <c r="B775" s="16"/>
      <c r="C775" s="16"/>
      <c r="D775" s="16"/>
      <c r="E775" s="16"/>
      <c r="F775" s="17"/>
      <c r="G775" s="16"/>
      <c r="H775" s="16"/>
      <c r="I775" s="16"/>
      <c r="J775" s="16"/>
      <c r="K775" s="16"/>
      <c r="L775" s="16"/>
      <c r="M775" s="18" t="str">
        <f aca="false">IF(OR(C775="",D775=""),"",IF(MOD(COUNTIFS($C$2:C775,C775,$D$2:D775,D775)*7,10)&lt;3,"teste","treino"))</f>
        <v/>
      </c>
      <c r="N775" s="16"/>
      <c r="O775" s="16"/>
      <c r="P775" s="16"/>
      <c r="Q775" s="17"/>
    </row>
    <row r="776" customFormat="false" ht="15" hidden="false" customHeight="false" outlineLevel="0" collapsed="false">
      <c r="A776" s="15" t="str">
        <f aca="false">IF(B776="","",ROW()-1)</f>
        <v/>
      </c>
      <c r="B776" s="16"/>
      <c r="C776" s="16"/>
      <c r="D776" s="16"/>
      <c r="E776" s="16"/>
      <c r="F776" s="17"/>
      <c r="G776" s="16"/>
      <c r="H776" s="16"/>
      <c r="I776" s="16"/>
      <c r="J776" s="16"/>
      <c r="K776" s="16"/>
      <c r="L776" s="16"/>
      <c r="M776" s="18" t="str">
        <f aca="false">IF(OR(C776="",D776=""),"",IF(MOD(COUNTIFS($C$2:C776,C776,$D$2:D776,D776)*7,10)&lt;3,"teste","treino"))</f>
        <v/>
      </c>
      <c r="N776" s="16"/>
      <c r="O776" s="16"/>
      <c r="P776" s="16"/>
      <c r="Q776" s="17"/>
    </row>
    <row r="777" customFormat="false" ht="15" hidden="false" customHeight="false" outlineLevel="0" collapsed="false">
      <c r="A777" s="15" t="str">
        <f aca="false">IF(B777="","",ROW()-1)</f>
        <v/>
      </c>
      <c r="B777" s="16"/>
      <c r="C777" s="16"/>
      <c r="D777" s="16"/>
      <c r="E777" s="16"/>
      <c r="F777" s="17"/>
      <c r="G777" s="16"/>
      <c r="H777" s="16"/>
      <c r="I777" s="16"/>
      <c r="J777" s="16"/>
      <c r="K777" s="16"/>
      <c r="L777" s="16"/>
      <c r="M777" s="18" t="str">
        <f aca="false">IF(OR(C777="",D777=""),"",IF(MOD(COUNTIFS($C$2:C777,C777,$D$2:D777,D777)*7,10)&lt;3,"teste","treino"))</f>
        <v/>
      </c>
      <c r="N777" s="16"/>
      <c r="O777" s="16"/>
      <c r="P777" s="16"/>
      <c r="Q777" s="17"/>
    </row>
    <row r="778" customFormat="false" ht="15" hidden="false" customHeight="false" outlineLevel="0" collapsed="false">
      <c r="A778" s="15" t="str">
        <f aca="false">IF(B778="","",ROW()-1)</f>
        <v/>
      </c>
      <c r="B778" s="16"/>
      <c r="C778" s="16"/>
      <c r="D778" s="16"/>
      <c r="E778" s="16"/>
      <c r="F778" s="17"/>
      <c r="G778" s="16"/>
      <c r="H778" s="16"/>
      <c r="I778" s="16"/>
      <c r="J778" s="16"/>
      <c r="K778" s="16"/>
      <c r="L778" s="16"/>
      <c r="M778" s="18" t="str">
        <f aca="false">IF(OR(C778="",D778=""),"",IF(MOD(COUNTIFS($C$2:C778,C778,$D$2:D778,D778)*7,10)&lt;3,"teste","treino"))</f>
        <v/>
      </c>
      <c r="N778" s="16"/>
      <c r="O778" s="16"/>
      <c r="P778" s="16"/>
      <c r="Q778" s="17"/>
    </row>
    <row r="779" customFormat="false" ht="15" hidden="false" customHeight="false" outlineLevel="0" collapsed="false">
      <c r="A779" s="15" t="str">
        <f aca="false">IF(B779="","",ROW()-1)</f>
        <v/>
      </c>
      <c r="B779" s="16"/>
      <c r="C779" s="16"/>
      <c r="D779" s="16"/>
      <c r="E779" s="16"/>
      <c r="F779" s="17"/>
      <c r="G779" s="16"/>
      <c r="H779" s="16"/>
      <c r="I779" s="16"/>
      <c r="J779" s="16"/>
      <c r="K779" s="16"/>
      <c r="L779" s="16"/>
      <c r="M779" s="18" t="str">
        <f aca="false">IF(OR(C779="",D779=""),"",IF(MOD(COUNTIFS($C$2:C779,C779,$D$2:D779,D779)*7,10)&lt;3,"teste","treino"))</f>
        <v/>
      </c>
      <c r="N779" s="16"/>
      <c r="O779" s="16"/>
      <c r="P779" s="16"/>
      <c r="Q779" s="17"/>
    </row>
    <row r="780" customFormat="false" ht="15" hidden="false" customHeight="false" outlineLevel="0" collapsed="false">
      <c r="A780" s="15" t="str">
        <f aca="false">IF(B780="","",ROW()-1)</f>
        <v/>
      </c>
      <c r="B780" s="16"/>
      <c r="C780" s="16"/>
      <c r="D780" s="16"/>
      <c r="E780" s="16"/>
      <c r="F780" s="17"/>
      <c r="G780" s="16"/>
      <c r="H780" s="16"/>
      <c r="I780" s="16"/>
      <c r="J780" s="16"/>
      <c r="K780" s="16"/>
      <c r="L780" s="16"/>
      <c r="M780" s="18" t="str">
        <f aca="false">IF(OR(C780="",D780=""),"",IF(MOD(COUNTIFS($C$2:C780,C780,$D$2:D780,D780)*7,10)&lt;3,"teste","treino"))</f>
        <v/>
      </c>
      <c r="N780" s="16"/>
      <c r="O780" s="16"/>
      <c r="P780" s="16"/>
      <c r="Q780" s="17"/>
    </row>
    <row r="781" customFormat="false" ht="15" hidden="false" customHeight="false" outlineLevel="0" collapsed="false">
      <c r="A781" s="15" t="str">
        <f aca="false">IF(B781="","",ROW()-1)</f>
        <v/>
      </c>
      <c r="B781" s="16"/>
      <c r="C781" s="16"/>
      <c r="D781" s="16"/>
      <c r="E781" s="16"/>
      <c r="F781" s="17"/>
      <c r="G781" s="16"/>
      <c r="H781" s="16"/>
      <c r="I781" s="16"/>
      <c r="J781" s="16"/>
      <c r="K781" s="16"/>
      <c r="L781" s="16"/>
      <c r="M781" s="18" t="str">
        <f aca="false">IF(OR(C781="",D781=""),"",IF(MOD(COUNTIFS($C$2:C781,C781,$D$2:D781,D781)*7,10)&lt;3,"teste","treino"))</f>
        <v/>
      </c>
      <c r="N781" s="16"/>
      <c r="O781" s="16"/>
      <c r="P781" s="16"/>
      <c r="Q781" s="17"/>
    </row>
    <row r="782" customFormat="false" ht="15" hidden="false" customHeight="false" outlineLevel="0" collapsed="false">
      <c r="A782" s="15" t="str">
        <f aca="false">IF(B782="","",ROW()-1)</f>
        <v/>
      </c>
      <c r="B782" s="16"/>
      <c r="C782" s="16"/>
      <c r="D782" s="16"/>
      <c r="E782" s="16"/>
      <c r="F782" s="17"/>
      <c r="G782" s="16"/>
      <c r="H782" s="16"/>
      <c r="I782" s="16"/>
      <c r="J782" s="16"/>
      <c r="K782" s="16"/>
      <c r="L782" s="16"/>
      <c r="M782" s="18" t="str">
        <f aca="false">IF(OR(C782="",D782=""),"",IF(MOD(COUNTIFS($C$2:C782,C782,$D$2:D782,D782)*7,10)&lt;3,"teste","treino"))</f>
        <v/>
      </c>
      <c r="N782" s="16"/>
      <c r="O782" s="16"/>
      <c r="P782" s="16"/>
      <c r="Q782" s="17"/>
    </row>
    <row r="783" customFormat="false" ht="15" hidden="false" customHeight="false" outlineLevel="0" collapsed="false">
      <c r="A783" s="15" t="str">
        <f aca="false">IF(B783="","",ROW()-1)</f>
        <v/>
      </c>
      <c r="B783" s="16"/>
      <c r="C783" s="16"/>
      <c r="D783" s="16"/>
      <c r="E783" s="16"/>
      <c r="F783" s="17"/>
      <c r="G783" s="16"/>
      <c r="H783" s="16"/>
      <c r="I783" s="16"/>
      <c r="J783" s="16"/>
      <c r="K783" s="16"/>
      <c r="L783" s="16"/>
      <c r="M783" s="18" t="str">
        <f aca="false">IF(OR(C783="",D783=""),"",IF(MOD(COUNTIFS($C$2:C783,C783,$D$2:D783,D783)*7,10)&lt;3,"teste","treino"))</f>
        <v/>
      </c>
      <c r="N783" s="16"/>
      <c r="O783" s="16"/>
      <c r="P783" s="16"/>
      <c r="Q783" s="17"/>
    </row>
    <row r="784" customFormat="false" ht="15" hidden="false" customHeight="false" outlineLevel="0" collapsed="false">
      <c r="A784" s="15" t="str">
        <f aca="false">IF(B784="","",ROW()-1)</f>
        <v/>
      </c>
      <c r="B784" s="16"/>
      <c r="C784" s="16"/>
      <c r="D784" s="16"/>
      <c r="E784" s="16"/>
      <c r="F784" s="17"/>
      <c r="G784" s="16"/>
      <c r="H784" s="16"/>
      <c r="I784" s="16"/>
      <c r="J784" s="16"/>
      <c r="K784" s="16"/>
      <c r="L784" s="16"/>
      <c r="M784" s="18" t="str">
        <f aca="false">IF(OR(C784="",D784=""),"",IF(MOD(COUNTIFS($C$2:C784,C784,$D$2:D784,D784)*7,10)&lt;3,"teste","treino"))</f>
        <v/>
      </c>
      <c r="N784" s="16"/>
      <c r="O784" s="16"/>
      <c r="P784" s="16"/>
      <c r="Q784" s="17"/>
    </row>
    <row r="785" customFormat="false" ht="15" hidden="false" customHeight="false" outlineLevel="0" collapsed="false">
      <c r="A785" s="15" t="str">
        <f aca="false">IF(B785="","",ROW()-1)</f>
        <v/>
      </c>
      <c r="B785" s="16"/>
      <c r="C785" s="16"/>
      <c r="D785" s="16"/>
      <c r="E785" s="16"/>
      <c r="F785" s="17"/>
      <c r="G785" s="16"/>
      <c r="H785" s="16"/>
      <c r="I785" s="16"/>
      <c r="J785" s="16"/>
      <c r="K785" s="16"/>
      <c r="L785" s="16"/>
      <c r="M785" s="18" t="str">
        <f aca="false">IF(OR(C785="",D785=""),"",IF(MOD(COUNTIFS($C$2:C785,C785,$D$2:D785,D785)*7,10)&lt;3,"teste","treino"))</f>
        <v/>
      </c>
      <c r="N785" s="16"/>
      <c r="O785" s="16"/>
      <c r="P785" s="16"/>
      <c r="Q785" s="17"/>
    </row>
    <row r="786" customFormat="false" ht="15" hidden="false" customHeight="false" outlineLevel="0" collapsed="false">
      <c r="A786" s="15" t="str">
        <f aca="false">IF(B786="","",ROW()-1)</f>
        <v/>
      </c>
      <c r="B786" s="16"/>
      <c r="C786" s="16"/>
      <c r="D786" s="16"/>
      <c r="E786" s="16"/>
      <c r="F786" s="17"/>
      <c r="G786" s="16"/>
      <c r="H786" s="16"/>
      <c r="I786" s="16"/>
      <c r="J786" s="16"/>
      <c r="K786" s="16"/>
      <c r="L786" s="16"/>
      <c r="M786" s="18" t="str">
        <f aca="false">IF(OR(C786="",D786=""),"",IF(MOD(COUNTIFS($C$2:C786,C786,$D$2:D786,D786)*7,10)&lt;3,"teste","treino"))</f>
        <v/>
      </c>
      <c r="N786" s="16"/>
      <c r="O786" s="16"/>
      <c r="P786" s="16"/>
      <c r="Q786" s="17"/>
    </row>
    <row r="787" customFormat="false" ht="15" hidden="false" customHeight="false" outlineLevel="0" collapsed="false">
      <c r="A787" s="15" t="str">
        <f aca="false">IF(B787="","",ROW()-1)</f>
        <v/>
      </c>
      <c r="B787" s="16"/>
      <c r="C787" s="16"/>
      <c r="D787" s="16"/>
      <c r="E787" s="16"/>
      <c r="F787" s="17"/>
      <c r="G787" s="16"/>
      <c r="H787" s="16"/>
      <c r="I787" s="16"/>
      <c r="J787" s="16"/>
      <c r="K787" s="16"/>
      <c r="L787" s="16"/>
      <c r="M787" s="18" t="str">
        <f aca="false">IF(OR(C787="",D787=""),"",IF(MOD(COUNTIFS($C$2:C787,C787,$D$2:D787,D787)*7,10)&lt;3,"teste","treino"))</f>
        <v/>
      </c>
      <c r="N787" s="16"/>
      <c r="O787" s="16"/>
      <c r="P787" s="16"/>
      <c r="Q787" s="17"/>
    </row>
    <row r="788" customFormat="false" ht="15" hidden="false" customHeight="false" outlineLevel="0" collapsed="false">
      <c r="A788" s="15" t="str">
        <f aca="false">IF(B788="","",ROW()-1)</f>
        <v/>
      </c>
      <c r="B788" s="16"/>
      <c r="C788" s="16"/>
      <c r="D788" s="16"/>
      <c r="E788" s="16"/>
      <c r="F788" s="17"/>
      <c r="G788" s="16"/>
      <c r="H788" s="16"/>
      <c r="I788" s="16"/>
      <c r="J788" s="16"/>
      <c r="K788" s="16"/>
      <c r="L788" s="16"/>
      <c r="M788" s="18" t="str">
        <f aca="false">IF(OR(C788="",D788=""),"",IF(MOD(COUNTIFS($C$2:C788,C788,$D$2:D788,D788)*7,10)&lt;3,"teste","treino"))</f>
        <v/>
      </c>
      <c r="N788" s="16"/>
      <c r="O788" s="16"/>
      <c r="P788" s="16"/>
      <c r="Q788" s="17"/>
    </row>
    <row r="789" customFormat="false" ht="15" hidden="false" customHeight="false" outlineLevel="0" collapsed="false">
      <c r="A789" s="15" t="str">
        <f aca="false">IF(B789="","",ROW()-1)</f>
        <v/>
      </c>
      <c r="B789" s="16"/>
      <c r="C789" s="16"/>
      <c r="D789" s="16"/>
      <c r="E789" s="16"/>
      <c r="F789" s="17"/>
      <c r="G789" s="16"/>
      <c r="H789" s="16"/>
      <c r="I789" s="16"/>
      <c r="J789" s="16"/>
      <c r="K789" s="16"/>
      <c r="L789" s="16"/>
      <c r="M789" s="18" t="str">
        <f aca="false">IF(OR(C789="",D789=""),"",IF(MOD(COUNTIFS($C$2:C789,C789,$D$2:D789,D789)*7,10)&lt;3,"teste","treino"))</f>
        <v/>
      </c>
      <c r="N789" s="16"/>
      <c r="O789" s="16"/>
      <c r="P789" s="16"/>
      <c r="Q789" s="17"/>
    </row>
    <row r="790" customFormat="false" ht="15" hidden="false" customHeight="false" outlineLevel="0" collapsed="false">
      <c r="A790" s="15" t="str">
        <f aca="false">IF(B790="","",ROW()-1)</f>
        <v/>
      </c>
      <c r="B790" s="16"/>
      <c r="C790" s="16"/>
      <c r="D790" s="16"/>
      <c r="E790" s="16"/>
      <c r="F790" s="17"/>
      <c r="G790" s="16"/>
      <c r="H790" s="16"/>
      <c r="I790" s="16"/>
      <c r="J790" s="16"/>
      <c r="K790" s="16"/>
      <c r="L790" s="16"/>
      <c r="M790" s="18" t="str">
        <f aca="false">IF(OR(C790="",D790=""),"",IF(MOD(COUNTIFS($C$2:C790,C790,$D$2:D790,D790)*7,10)&lt;3,"teste","treino"))</f>
        <v/>
      </c>
      <c r="N790" s="16"/>
      <c r="O790" s="16"/>
      <c r="P790" s="16"/>
      <c r="Q790" s="17"/>
    </row>
    <row r="791" customFormat="false" ht="15" hidden="false" customHeight="false" outlineLevel="0" collapsed="false">
      <c r="A791" s="15" t="str">
        <f aca="false">IF(B791="","",ROW()-1)</f>
        <v/>
      </c>
      <c r="B791" s="16"/>
      <c r="C791" s="16"/>
      <c r="D791" s="16"/>
      <c r="E791" s="16"/>
      <c r="F791" s="17"/>
      <c r="G791" s="16"/>
      <c r="H791" s="16"/>
      <c r="I791" s="16"/>
      <c r="J791" s="16"/>
      <c r="K791" s="16"/>
      <c r="L791" s="16"/>
      <c r="M791" s="18" t="str">
        <f aca="false">IF(OR(C791="",D791=""),"",IF(MOD(COUNTIFS($C$2:C791,C791,$D$2:D791,D791)*7,10)&lt;3,"teste","treino"))</f>
        <v/>
      </c>
      <c r="N791" s="16"/>
      <c r="O791" s="16"/>
      <c r="P791" s="16"/>
      <c r="Q791" s="17"/>
    </row>
    <row r="792" customFormat="false" ht="15" hidden="false" customHeight="false" outlineLevel="0" collapsed="false">
      <c r="A792" s="15" t="str">
        <f aca="false">IF(B792="","",ROW()-1)</f>
        <v/>
      </c>
      <c r="B792" s="16"/>
      <c r="C792" s="16"/>
      <c r="D792" s="16"/>
      <c r="E792" s="16"/>
      <c r="F792" s="17"/>
      <c r="G792" s="16"/>
      <c r="H792" s="16"/>
      <c r="I792" s="16"/>
      <c r="J792" s="16"/>
      <c r="K792" s="16"/>
      <c r="L792" s="16"/>
      <c r="M792" s="18" t="str">
        <f aca="false">IF(OR(C792="",D792=""),"",IF(MOD(COUNTIFS($C$2:C792,C792,$D$2:D792,D792)*7,10)&lt;3,"teste","treino"))</f>
        <v/>
      </c>
      <c r="N792" s="16"/>
      <c r="O792" s="16"/>
      <c r="P792" s="16"/>
      <c r="Q792" s="17"/>
    </row>
    <row r="793" customFormat="false" ht="15" hidden="false" customHeight="false" outlineLevel="0" collapsed="false">
      <c r="A793" s="15" t="str">
        <f aca="false">IF(B793="","",ROW()-1)</f>
        <v/>
      </c>
      <c r="B793" s="16"/>
      <c r="C793" s="16"/>
      <c r="D793" s="16"/>
      <c r="E793" s="16"/>
      <c r="F793" s="17"/>
      <c r="G793" s="16"/>
      <c r="H793" s="16"/>
      <c r="I793" s="16"/>
      <c r="J793" s="16"/>
      <c r="K793" s="16"/>
      <c r="L793" s="16"/>
      <c r="M793" s="18" t="str">
        <f aca="false">IF(OR(C793="",D793=""),"",IF(MOD(COUNTIFS($C$2:C793,C793,$D$2:D793,D793)*7,10)&lt;3,"teste","treino"))</f>
        <v/>
      </c>
      <c r="N793" s="16"/>
      <c r="O793" s="16"/>
      <c r="P793" s="16"/>
      <c r="Q793" s="17"/>
    </row>
    <row r="794" customFormat="false" ht="15" hidden="false" customHeight="false" outlineLevel="0" collapsed="false">
      <c r="A794" s="15" t="str">
        <f aca="false">IF(B794="","",ROW()-1)</f>
        <v/>
      </c>
      <c r="B794" s="16"/>
      <c r="C794" s="16"/>
      <c r="D794" s="16"/>
      <c r="E794" s="16"/>
      <c r="F794" s="17"/>
      <c r="G794" s="16"/>
      <c r="H794" s="16"/>
      <c r="I794" s="16"/>
      <c r="J794" s="16"/>
      <c r="K794" s="16"/>
      <c r="L794" s="16"/>
      <c r="M794" s="18" t="str">
        <f aca="false">IF(OR(C794="",D794=""),"",IF(MOD(COUNTIFS($C$2:C794,C794,$D$2:D794,D794)*7,10)&lt;3,"teste","treino"))</f>
        <v/>
      </c>
      <c r="N794" s="16"/>
      <c r="O794" s="16"/>
      <c r="P794" s="16"/>
      <c r="Q794" s="17"/>
    </row>
    <row r="795" customFormat="false" ht="15" hidden="false" customHeight="false" outlineLevel="0" collapsed="false">
      <c r="A795" s="15" t="str">
        <f aca="false">IF(B795="","",ROW()-1)</f>
        <v/>
      </c>
      <c r="B795" s="16"/>
      <c r="C795" s="16"/>
      <c r="D795" s="16"/>
      <c r="E795" s="16"/>
      <c r="F795" s="17"/>
      <c r="G795" s="16"/>
      <c r="H795" s="16"/>
      <c r="I795" s="16"/>
      <c r="J795" s="16"/>
      <c r="K795" s="16"/>
      <c r="L795" s="16"/>
      <c r="M795" s="18" t="str">
        <f aca="false">IF(OR(C795="",D795=""),"",IF(MOD(COUNTIFS($C$2:C795,C795,$D$2:D795,D795)*7,10)&lt;3,"teste","treino"))</f>
        <v/>
      </c>
      <c r="N795" s="16"/>
      <c r="O795" s="16"/>
      <c r="P795" s="16"/>
      <c r="Q795" s="17"/>
    </row>
    <row r="796" customFormat="false" ht="15" hidden="false" customHeight="false" outlineLevel="0" collapsed="false">
      <c r="A796" s="15" t="str">
        <f aca="false">IF(B796="","",ROW()-1)</f>
        <v/>
      </c>
      <c r="B796" s="16"/>
      <c r="C796" s="16"/>
      <c r="D796" s="16"/>
      <c r="E796" s="16"/>
      <c r="F796" s="17"/>
      <c r="G796" s="16"/>
      <c r="H796" s="16"/>
      <c r="I796" s="16"/>
      <c r="J796" s="16"/>
      <c r="K796" s="16"/>
      <c r="L796" s="16"/>
      <c r="M796" s="18" t="str">
        <f aca="false">IF(OR(C796="",D796=""),"",IF(MOD(COUNTIFS($C$2:C796,C796,$D$2:D796,D796)*7,10)&lt;3,"teste","treino"))</f>
        <v/>
      </c>
      <c r="N796" s="16"/>
      <c r="O796" s="16"/>
      <c r="P796" s="16"/>
      <c r="Q796" s="17"/>
    </row>
    <row r="797" customFormat="false" ht="15" hidden="false" customHeight="false" outlineLevel="0" collapsed="false">
      <c r="A797" s="15" t="str">
        <f aca="false">IF(B797="","",ROW()-1)</f>
        <v/>
      </c>
      <c r="B797" s="16"/>
      <c r="C797" s="16"/>
      <c r="D797" s="16"/>
      <c r="E797" s="16"/>
      <c r="F797" s="17"/>
      <c r="G797" s="16"/>
      <c r="H797" s="16"/>
      <c r="I797" s="16"/>
      <c r="J797" s="16"/>
      <c r="K797" s="16"/>
      <c r="L797" s="16"/>
      <c r="M797" s="18" t="str">
        <f aca="false">IF(OR(C797="",D797=""),"",IF(MOD(COUNTIFS($C$2:C797,C797,$D$2:D797,D797)*7,10)&lt;3,"teste","treino"))</f>
        <v/>
      </c>
      <c r="N797" s="16"/>
      <c r="O797" s="16"/>
      <c r="P797" s="16"/>
      <c r="Q797" s="17"/>
    </row>
    <row r="798" customFormat="false" ht="15" hidden="false" customHeight="false" outlineLevel="0" collapsed="false">
      <c r="A798" s="15" t="str">
        <f aca="false">IF(B798="","",ROW()-1)</f>
        <v/>
      </c>
      <c r="B798" s="16"/>
      <c r="C798" s="16"/>
      <c r="D798" s="16"/>
      <c r="E798" s="16"/>
      <c r="F798" s="17"/>
      <c r="G798" s="16"/>
      <c r="H798" s="16"/>
      <c r="I798" s="16"/>
      <c r="J798" s="16"/>
      <c r="K798" s="16"/>
      <c r="L798" s="16"/>
      <c r="M798" s="18" t="str">
        <f aca="false">IF(OR(C798="",D798=""),"",IF(MOD(COUNTIFS($C$2:C798,C798,$D$2:D798,D798)*7,10)&lt;3,"teste","treino"))</f>
        <v/>
      </c>
      <c r="N798" s="16"/>
      <c r="O798" s="16"/>
      <c r="P798" s="16"/>
      <c r="Q798" s="17"/>
    </row>
    <row r="799" customFormat="false" ht="15" hidden="false" customHeight="false" outlineLevel="0" collapsed="false">
      <c r="A799" s="15" t="str">
        <f aca="false">IF(B799="","",ROW()-1)</f>
        <v/>
      </c>
      <c r="B799" s="16"/>
      <c r="C799" s="16"/>
      <c r="D799" s="16"/>
      <c r="E799" s="16"/>
      <c r="F799" s="17"/>
      <c r="G799" s="16"/>
      <c r="H799" s="16"/>
      <c r="I799" s="16"/>
      <c r="J799" s="16"/>
      <c r="K799" s="16"/>
      <c r="L799" s="16"/>
      <c r="M799" s="18" t="str">
        <f aca="false">IF(OR(C799="",D799=""),"",IF(MOD(COUNTIFS($C$2:C799,C799,$D$2:D799,D799)*7,10)&lt;3,"teste","treino"))</f>
        <v/>
      </c>
      <c r="N799" s="16"/>
      <c r="O799" s="16"/>
      <c r="P799" s="16"/>
      <c r="Q799" s="17"/>
    </row>
    <row r="800" customFormat="false" ht="15" hidden="false" customHeight="false" outlineLevel="0" collapsed="false">
      <c r="A800" s="15" t="str">
        <f aca="false">IF(B800="","",ROW()-1)</f>
        <v/>
      </c>
      <c r="B800" s="16"/>
      <c r="C800" s="16"/>
      <c r="D800" s="16"/>
      <c r="E800" s="16"/>
      <c r="F800" s="17"/>
      <c r="G800" s="16"/>
      <c r="H800" s="16"/>
      <c r="I800" s="16"/>
      <c r="J800" s="16"/>
      <c r="K800" s="16"/>
      <c r="L800" s="16"/>
      <c r="M800" s="18" t="str">
        <f aca="false">IF(OR(C800="",D800=""),"",IF(MOD(COUNTIFS($C$2:C800,C800,$D$2:D800,D800)*7,10)&lt;3,"teste","treino"))</f>
        <v/>
      </c>
      <c r="N800" s="16"/>
      <c r="O800" s="16"/>
      <c r="P800" s="16"/>
      <c r="Q800" s="17"/>
    </row>
    <row r="801" customFormat="false" ht="15" hidden="false" customHeight="false" outlineLevel="0" collapsed="false">
      <c r="A801" s="15" t="str">
        <f aca="false">IF(B801="","",ROW()-1)</f>
        <v/>
      </c>
      <c r="B801" s="16"/>
      <c r="C801" s="16"/>
      <c r="D801" s="16"/>
      <c r="E801" s="16"/>
      <c r="F801" s="17"/>
      <c r="G801" s="16"/>
      <c r="H801" s="16"/>
      <c r="I801" s="16"/>
      <c r="J801" s="16"/>
      <c r="K801" s="16"/>
      <c r="L801" s="16"/>
      <c r="M801" s="18" t="str">
        <f aca="false">IF(OR(C801="",D801=""),"",IF(MOD(COUNTIFS($C$2:C801,C801,$D$2:D801,D801)*7,10)&lt;3,"teste","treino"))</f>
        <v/>
      </c>
      <c r="N801" s="16"/>
      <c r="O801" s="16"/>
      <c r="P801" s="16"/>
      <c r="Q801" s="17"/>
    </row>
    <row r="802" customFormat="false" ht="15" hidden="false" customHeight="false" outlineLevel="0" collapsed="false">
      <c r="A802" s="15" t="str">
        <f aca="false">IF(B802="","",ROW()-1)</f>
        <v/>
      </c>
      <c r="B802" s="16"/>
      <c r="C802" s="16"/>
      <c r="D802" s="16"/>
      <c r="E802" s="16"/>
      <c r="F802" s="17"/>
      <c r="G802" s="16"/>
      <c r="H802" s="16"/>
      <c r="I802" s="16"/>
      <c r="J802" s="16"/>
      <c r="K802" s="16"/>
      <c r="L802" s="16"/>
      <c r="M802" s="18" t="str">
        <f aca="false">IF(OR(C802="",D802=""),"",IF(MOD(COUNTIFS($C$2:C802,C802,$D$2:D802,D802)*7,10)&lt;3,"teste","treino"))</f>
        <v/>
      </c>
      <c r="N802" s="16"/>
      <c r="O802" s="16"/>
      <c r="P802" s="16"/>
      <c r="Q802" s="17"/>
    </row>
    <row r="803" customFormat="false" ht="15" hidden="false" customHeight="false" outlineLevel="0" collapsed="false">
      <c r="A803" s="15" t="str">
        <f aca="false">IF(B803="","",ROW()-1)</f>
        <v/>
      </c>
      <c r="B803" s="16"/>
      <c r="C803" s="16"/>
      <c r="D803" s="16"/>
      <c r="E803" s="16"/>
      <c r="F803" s="17"/>
      <c r="G803" s="16"/>
      <c r="H803" s="16"/>
      <c r="I803" s="16"/>
      <c r="J803" s="16"/>
      <c r="K803" s="16"/>
      <c r="L803" s="16"/>
      <c r="M803" s="18" t="str">
        <f aca="false">IF(OR(C803="",D803=""),"",IF(MOD(COUNTIFS($C$2:C803,C803,$D$2:D803,D803)*7,10)&lt;3,"teste","treino"))</f>
        <v/>
      </c>
      <c r="N803" s="16"/>
      <c r="O803" s="16"/>
      <c r="P803" s="16"/>
      <c r="Q803" s="17"/>
    </row>
    <row r="804" customFormat="false" ht="15" hidden="false" customHeight="false" outlineLevel="0" collapsed="false">
      <c r="A804" s="15" t="str">
        <f aca="false">IF(B804="","",ROW()-1)</f>
        <v/>
      </c>
      <c r="B804" s="16"/>
      <c r="C804" s="16"/>
      <c r="D804" s="16"/>
      <c r="E804" s="16"/>
      <c r="F804" s="17"/>
      <c r="G804" s="16"/>
      <c r="H804" s="16"/>
      <c r="I804" s="16"/>
      <c r="J804" s="16"/>
      <c r="K804" s="16"/>
      <c r="L804" s="16"/>
      <c r="M804" s="18" t="str">
        <f aca="false">IF(OR(C804="",D804=""),"",IF(MOD(COUNTIFS($C$2:C804,C804,$D$2:D804,D804)*7,10)&lt;3,"teste","treino"))</f>
        <v/>
      </c>
      <c r="N804" s="16"/>
      <c r="O804" s="16"/>
      <c r="P804" s="16"/>
      <c r="Q804" s="17"/>
    </row>
    <row r="805" customFormat="false" ht="15" hidden="false" customHeight="false" outlineLevel="0" collapsed="false">
      <c r="A805" s="15" t="str">
        <f aca="false">IF(B805="","",ROW()-1)</f>
        <v/>
      </c>
      <c r="B805" s="16"/>
      <c r="C805" s="16"/>
      <c r="D805" s="16"/>
      <c r="E805" s="16"/>
      <c r="F805" s="17"/>
      <c r="G805" s="16"/>
      <c r="H805" s="16"/>
      <c r="I805" s="16"/>
      <c r="J805" s="16"/>
      <c r="K805" s="16"/>
      <c r="L805" s="16"/>
      <c r="M805" s="18" t="str">
        <f aca="false">IF(OR(C805="",D805=""),"",IF(MOD(COUNTIFS($C$2:C805,C805,$D$2:D805,D805)*7,10)&lt;3,"teste","treino"))</f>
        <v/>
      </c>
      <c r="N805" s="16"/>
      <c r="O805" s="16"/>
      <c r="P805" s="16"/>
      <c r="Q805" s="17"/>
    </row>
    <row r="806" customFormat="false" ht="15" hidden="false" customHeight="false" outlineLevel="0" collapsed="false">
      <c r="A806" s="15" t="str">
        <f aca="false">IF(B806="","",ROW()-1)</f>
        <v/>
      </c>
      <c r="B806" s="16"/>
      <c r="C806" s="16"/>
      <c r="D806" s="16"/>
      <c r="E806" s="16"/>
      <c r="F806" s="17"/>
      <c r="G806" s="16"/>
      <c r="H806" s="16"/>
      <c r="I806" s="16"/>
      <c r="J806" s="16"/>
      <c r="K806" s="16"/>
      <c r="L806" s="16"/>
      <c r="M806" s="18" t="str">
        <f aca="false">IF(OR(C806="",D806=""),"",IF(MOD(COUNTIFS($C$2:C806,C806,$D$2:D806,D806)*7,10)&lt;3,"teste","treino"))</f>
        <v/>
      </c>
      <c r="N806" s="16"/>
      <c r="O806" s="16"/>
      <c r="P806" s="16"/>
      <c r="Q806" s="17"/>
    </row>
    <row r="807" customFormat="false" ht="15" hidden="false" customHeight="false" outlineLevel="0" collapsed="false">
      <c r="A807" s="15" t="str">
        <f aca="false">IF(B807="","",ROW()-1)</f>
        <v/>
      </c>
      <c r="B807" s="16"/>
      <c r="C807" s="16"/>
      <c r="D807" s="16"/>
      <c r="E807" s="16"/>
      <c r="F807" s="17"/>
      <c r="G807" s="16"/>
      <c r="H807" s="16"/>
      <c r="I807" s="16"/>
      <c r="J807" s="16"/>
      <c r="K807" s="16"/>
      <c r="L807" s="16"/>
      <c r="M807" s="18" t="str">
        <f aca="false">IF(OR(C807="",D807=""),"",IF(MOD(COUNTIFS($C$2:C807,C807,$D$2:D807,D807)*7,10)&lt;3,"teste","treino"))</f>
        <v/>
      </c>
      <c r="N807" s="16"/>
      <c r="O807" s="16"/>
      <c r="P807" s="16"/>
      <c r="Q807" s="17"/>
    </row>
    <row r="808" customFormat="false" ht="15" hidden="false" customHeight="false" outlineLevel="0" collapsed="false">
      <c r="A808" s="15" t="str">
        <f aca="false">IF(B808="","",ROW()-1)</f>
        <v/>
      </c>
      <c r="B808" s="16"/>
      <c r="C808" s="16"/>
      <c r="D808" s="16"/>
      <c r="E808" s="16"/>
      <c r="F808" s="17"/>
      <c r="G808" s="16"/>
      <c r="H808" s="16"/>
      <c r="I808" s="16"/>
      <c r="J808" s="16"/>
      <c r="K808" s="16"/>
      <c r="L808" s="16"/>
      <c r="M808" s="18" t="str">
        <f aca="false">IF(OR(C808="",D808=""),"",IF(MOD(COUNTIFS($C$2:C808,C808,$D$2:D808,D808)*7,10)&lt;3,"teste","treino"))</f>
        <v/>
      </c>
      <c r="N808" s="16"/>
      <c r="O808" s="16"/>
      <c r="P808" s="16"/>
      <c r="Q808" s="17"/>
    </row>
    <row r="809" customFormat="false" ht="15" hidden="false" customHeight="false" outlineLevel="0" collapsed="false">
      <c r="A809" s="15" t="str">
        <f aca="false">IF(B809="","",ROW()-1)</f>
        <v/>
      </c>
      <c r="B809" s="16"/>
      <c r="C809" s="16"/>
      <c r="D809" s="16"/>
      <c r="E809" s="16"/>
      <c r="F809" s="17"/>
      <c r="G809" s="16"/>
      <c r="H809" s="16"/>
      <c r="I809" s="16"/>
      <c r="J809" s="16"/>
      <c r="K809" s="16"/>
      <c r="L809" s="16"/>
      <c r="M809" s="18" t="str">
        <f aca="false">IF(OR(C809="",D809=""),"",IF(MOD(COUNTIFS($C$2:C809,C809,$D$2:D809,D809)*7,10)&lt;3,"teste","treino"))</f>
        <v/>
      </c>
      <c r="N809" s="16"/>
      <c r="O809" s="16"/>
      <c r="P809" s="16"/>
      <c r="Q809" s="17"/>
    </row>
    <row r="810" customFormat="false" ht="15" hidden="false" customHeight="false" outlineLevel="0" collapsed="false">
      <c r="A810" s="15" t="str">
        <f aca="false">IF(B810="","",ROW()-1)</f>
        <v/>
      </c>
      <c r="B810" s="16"/>
      <c r="C810" s="16"/>
      <c r="D810" s="16"/>
      <c r="E810" s="16"/>
      <c r="F810" s="17"/>
      <c r="G810" s="16"/>
      <c r="H810" s="16"/>
      <c r="I810" s="16"/>
      <c r="J810" s="16"/>
      <c r="K810" s="16"/>
      <c r="L810" s="16"/>
      <c r="M810" s="18" t="str">
        <f aca="false">IF(OR(C810="",D810=""),"",IF(MOD(COUNTIFS($C$2:C810,C810,$D$2:D810,D810)*7,10)&lt;3,"teste","treino"))</f>
        <v/>
      </c>
      <c r="N810" s="16"/>
      <c r="O810" s="16"/>
      <c r="P810" s="16"/>
      <c r="Q810" s="17"/>
    </row>
    <row r="811" customFormat="false" ht="15" hidden="false" customHeight="false" outlineLevel="0" collapsed="false">
      <c r="A811" s="15" t="str">
        <f aca="false">IF(B811="","",ROW()-1)</f>
        <v/>
      </c>
      <c r="B811" s="16"/>
      <c r="C811" s="16"/>
      <c r="D811" s="16"/>
      <c r="E811" s="16"/>
      <c r="F811" s="17"/>
      <c r="G811" s="16"/>
      <c r="H811" s="16"/>
      <c r="I811" s="16"/>
      <c r="J811" s="16"/>
      <c r="K811" s="16"/>
      <c r="L811" s="16"/>
      <c r="M811" s="18" t="str">
        <f aca="false">IF(OR(C811="",D811=""),"",IF(MOD(COUNTIFS($C$2:C811,C811,$D$2:D811,D811)*7,10)&lt;3,"teste","treino"))</f>
        <v/>
      </c>
      <c r="N811" s="16"/>
      <c r="O811" s="16"/>
      <c r="P811" s="16"/>
      <c r="Q811" s="17"/>
    </row>
    <row r="812" customFormat="false" ht="15" hidden="false" customHeight="false" outlineLevel="0" collapsed="false">
      <c r="A812" s="15" t="str">
        <f aca="false">IF(B812="","",ROW()-1)</f>
        <v/>
      </c>
      <c r="B812" s="16"/>
      <c r="C812" s="16"/>
      <c r="D812" s="16"/>
      <c r="E812" s="16"/>
      <c r="F812" s="17"/>
      <c r="G812" s="16"/>
      <c r="H812" s="16"/>
      <c r="I812" s="16"/>
      <c r="J812" s="16"/>
      <c r="K812" s="16"/>
      <c r="L812" s="16"/>
      <c r="M812" s="18" t="str">
        <f aca="false">IF(OR(C812="",D812=""),"",IF(MOD(COUNTIFS($C$2:C812,C812,$D$2:D812,D812)*7,10)&lt;3,"teste","treino"))</f>
        <v/>
      </c>
      <c r="N812" s="16"/>
      <c r="O812" s="16"/>
      <c r="P812" s="16"/>
      <c r="Q812" s="17"/>
    </row>
    <row r="813" customFormat="false" ht="15" hidden="false" customHeight="false" outlineLevel="0" collapsed="false">
      <c r="A813" s="15" t="str">
        <f aca="false">IF(B813="","",ROW()-1)</f>
        <v/>
      </c>
      <c r="B813" s="16"/>
      <c r="C813" s="16"/>
      <c r="D813" s="16"/>
      <c r="E813" s="16"/>
      <c r="F813" s="17"/>
      <c r="G813" s="16"/>
      <c r="H813" s="16"/>
      <c r="I813" s="16"/>
      <c r="J813" s="16"/>
      <c r="K813" s="16"/>
      <c r="L813" s="16"/>
      <c r="M813" s="18" t="str">
        <f aca="false">IF(OR(C813="",D813=""),"",IF(MOD(COUNTIFS($C$2:C813,C813,$D$2:D813,D813)*7,10)&lt;3,"teste","treino"))</f>
        <v/>
      </c>
      <c r="N813" s="16"/>
      <c r="O813" s="16"/>
      <c r="P813" s="16"/>
      <c r="Q813" s="17"/>
    </row>
    <row r="814" customFormat="false" ht="15" hidden="false" customHeight="false" outlineLevel="0" collapsed="false">
      <c r="A814" s="15" t="str">
        <f aca="false">IF(B814="","",ROW()-1)</f>
        <v/>
      </c>
      <c r="B814" s="16"/>
      <c r="C814" s="16"/>
      <c r="D814" s="16"/>
      <c r="E814" s="16"/>
      <c r="F814" s="17"/>
      <c r="G814" s="16"/>
      <c r="H814" s="16"/>
      <c r="I814" s="16"/>
      <c r="J814" s="16"/>
      <c r="K814" s="16"/>
      <c r="L814" s="16"/>
      <c r="M814" s="18" t="str">
        <f aca="false">IF(OR(C814="",D814=""),"",IF(MOD(COUNTIFS($C$2:C814,C814,$D$2:D814,D814)*7,10)&lt;3,"teste","treino"))</f>
        <v/>
      </c>
      <c r="N814" s="16"/>
      <c r="O814" s="16"/>
      <c r="P814" s="16"/>
      <c r="Q814" s="17"/>
    </row>
    <row r="815" customFormat="false" ht="15" hidden="false" customHeight="false" outlineLevel="0" collapsed="false">
      <c r="A815" s="15" t="str">
        <f aca="false">IF(B815="","",ROW()-1)</f>
        <v/>
      </c>
      <c r="B815" s="16"/>
      <c r="C815" s="16"/>
      <c r="D815" s="16"/>
      <c r="E815" s="16"/>
      <c r="F815" s="17"/>
      <c r="G815" s="16"/>
      <c r="H815" s="16"/>
      <c r="I815" s="16"/>
      <c r="J815" s="16"/>
      <c r="K815" s="16"/>
      <c r="L815" s="16"/>
      <c r="M815" s="18" t="str">
        <f aca="false">IF(OR(C815="",D815=""),"",IF(MOD(COUNTIFS($C$2:C815,C815,$D$2:D815,D815)*7,10)&lt;3,"teste","treino"))</f>
        <v/>
      </c>
      <c r="N815" s="16"/>
      <c r="O815" s="16"/>
      <c r="P815" s="16"/>
      <c r="Q815" s="17"/>
    </row>
    <row r="816" customFormat="false" ht="15" hidden="false" customHeight="false" outlineLevel="0" collapsed="false">
      <c r="A816" s="15" t="str">
        <f aca="false">IF(B816="","",ROW()-1)</f>
        <v/>
      </c>
      <c r="B816" s="16"/>
      <c r="C816" s="16"/>
      <c r="D816" s="16"/>
      <c r="E816" s="16"/>
      <c r="F816" s="17"/>
      <c r="G816" s="16"/>
      <c r="H816" s="16"/>
      <c r="I816" s="16"/>
      <c r="J816" s="16"/>
      <c r="K816" s="16"/>
      <c r="L816" s="16"/>
      <c r="M816" s="18" t="str">
        <f aca="false">IF(OR(C816="",D816=""),"",IF(MOD(COUNTIFS($C$2:C816,C816,$D$2:D816,D816)*7,10)&lt;3,"teste","treino"))</f>
        <v/>
      </c>
      <c r="N816" s="16"/>
      <c r="O816" s="16"/>
      <c r="P816" s="16"/>
      <c r="Q816" s="17"/>
    </row>
    <row r="817" customFormat="false" ht="15" hidden="false" customHeight="false" outlineLevel="0" collapsed="false">
      <c r="A817" s="15" t="str">
        <f aca="false">IF(B817="","",ROW()-1)</f>
        <v/>
      </c>
      <c r="B817" s="16"/>
      <c r="C817" s="16"/>
      <c r="D817" s="16"/>
      <c r="E817" s="16"/>
      <c r="F817" s="17"/>
      <c r="G817" s="16"/>
      <c r="H817" s="16"/>
      <c r="I817" s="16"/>
      <c r="J817" s="16"/>
      <c r="K817" s="16"/>
      <c r="L817" s="16"/>
      <c r="M817" s="18" t="str">
        <f aca="false">IF(OR(C817="",D817=""),"",IF(MOD(COUNTIFS($C$2:C817,C817,$D$2:D817,D817)*7,10)&lt;3,"teste","treino"))</f>
        <v/>
      </c>
      <c r="N817" s="16"/>
      <c r="O817" s="16"/>
      <c r="P817" s="16"/>
      <c r="Q817" s="17"/>
    </row>
    <row r="818" customFormat="false" ht="15" hidden="false" customHeight="false" outlineLevel="0" collapsed="false">
      <c r="A818" s="15" t="str">
        <f aca="false">IF(B818="","",ROW()-1)</f>
        <v/>
      </c>
      <c r="B818" s="16"/>
      <c r="C818" s="16"/>
      <c r="D818" s="16"/>
      <c r="E818" s="16"/>
      <c r="F818" s="17"/>
      <c r="G818" s="16"/>
      <c r="H818" s="16"/>
      <c r="I818" s="16"/>
      <c r="J818" s="16"/>
      <c r="K818" s="16"/>
      <c r="L818" s="16"/>
      <c r="M818" s="18" t="str">
        <f aca="false">IF(OR(C818="",D818=""),"",IF(MOD(COUNTIFS($C$2:C818,C818,$D$2:D818,D818)*7,10)&lt;3,"teste","treino"))</f>
        <v/>
      </c>
      <c r="N818" s="16"/>
      <c r="O818" s="16"/>
      <c r="P818" s="16"/>
      <c r="Q818" s="17"/>
    </row>
    <row r="819" customFormat="false" ht="15" hidden="false" customHeight="false" outlineLevel="0" collapsed="false">
      <c r="A819" s="15" t="str">
        <f aca="false">IF(B819="","",ROW()-1)</f>
        <v/>
      </c>
      <c r="B819" s="16"/>
      <c r="C819" s="16"/>
      <c r="D819" s="16"/>
      <c r="E819" s="16"/>
      <c r="F819" s="17"/>
      <c r="G819" s="16"/>
      <c r="H819" s="16"/>
      <c r="I819" s="16"/>
      <c r="J819" s="16"/>
      <c r="K819" s="16"/>
      <c r="L819" s="16"/>
      <c r="M819" s="18" t="str">
        <f aca="false">IF(OR(C819="",D819=""),"",IF(MOD(COUNTIFS($C$2:C819,C819,$D$2:D819,D819)*7,10)&lt;3,"teste","treino"))</f>
        <v/>
      </c>
      <c r="N819" s="16"/>
      <c r="O819" s="16"/>
      <c r="P819" s="16"/>
      <c r="Q819" s="17"/>
    </row>
    <row r="820" customFormat="false" ht="15" hidden="false" customHeight="false" outlineLevel="0" collapsed="false">
      <c r="A820" s="15" t="str">
        <f aca="false">IF(B820="","",ROW()-1)</f>
        <v/>
      </c>
      <c r="B820" s="16"/>
      <c r="C820" s="16"/>
      <c r="D820" s="16"/>
      <c r="E820" s="16"/>
      <c r="F820" s="17"/>
      <c r="G820" s="16"/>
      <c r="H820" s="16"/>
      <c r="I820" s="16"/>
      <c r="J820" s="16"/>
      <c r="K820" s="16"/>
      <c r="L820" s="16"/>
      <c r="M820" s="18" t="str">
        <f aca="false">IF(OR(C820="",D820=""),"",IF(MOD(COUNTIFS($C$2:C820,C820,$D$2:D820,D820)*7,10)&lt;3,"teste","treino"))</f>
        <v/>
      </c>
      <c r="N820" s="16"/>
      <c r="O820" s="16"/>
      <c r="P820" s="16"/>
      <c r="Q820" s="17"/>
    </row>
    <row r="821" customFormat="false" ht="15" hidden="false" customHeight="false" outlineLevel="0" collapsed="false">
      <c r="A821" s="15" t="str">
        <f aca="false">IF(B821="","",ROW()-1)</f>
        <v/>
      </c>
      <c r="B821" s="16"/>
      <c r="C821" s="16"/>
      <c r="D821" s="16"/>
      <c r="E821" s="16"/>
      <c r="F821" s="17"/>
      <c r="G821" s="16"/>
      <c r="H821" s="16"/>
      <c r="I821" s="16"/>
      <c r="J821" s="16"/>
      <c r="K821" s="16"/>
      <c r="L821" s="16"/>
      <c r="M821" s="18" t="str">
        <f aca="false">IF(OR(C821="",D821=""),"",IF(MOD(COUNTIFS($C$2:C821,C821,$D$2:D821,D821)*7,10)&lt;3,"teste","treino"))</f>
        <v/>
      </c>
      <c r="N821" s="16"/>
      <c r="O821" s="16"/>
      <c r="P821" s="16"/>
      <c r="Q821" s="17"/>
    </row>
    <row r="822" customFormat="false" ht="15" hidden="false" customHeight="false" outlineLevel="0" collapsed="false">
      <c r="A822" s="15" t="str">
        <f aca="false">IF(B822="","",ROW()-1)</f>
        <v/>
      </c>
      <c r="B822" s="16"/>
      <c r="C822" s="16"/>
      <c r="D822" s="16"/>
      <c r="E822" s="16"/>
      <c r="F822" s="17"/>
      <c r="G822" s="16"/>
      <c r="H822" s="16"/>
      <c r="I822" s="16"/>
      <c r="J822" s="16"/>
      <c r="K822" s="16"/>
      <c r="L822" s="16"/>
      <c r="M822" s="18" t="str">
        <f aca="false">IF(OR(C822="",D822=""),"",IF(MOD(COUNTIFS($C$2:C822,C822,$D$2:D822,D822)*7,10)&lt;3,"teste","treino"))</f>
        <v/>
      </c>
      <c r="N822" s="16"/>
      <c r="O822" s="16"/>
      <c r="P822" s="16"/>
      <c r="Q822" s="17"/>
    </row>
    <row r="823" customFormat="false" ht="15" hidden="false" customHeight="false" outlineLevel="0" collapsed="false">
      <c r="A823" s="15" t="str">
        <f aca="false">IF(B823="","",ROW()-1)</f>
        <v/>
      </c>
      <c r="B823" s="16"/>
      <c r="C823" s="16"/>
      <c r="D823" s="16"/>
      <c r="E823" s="16"/>
      <c r="F823" s="17"/>
      <c r="G823" s="16"/>
      <c r="H823" s="16"/>
      <c r="I823" s="16"/>
      <c r="J823" s="16"/>
      <c r="K823" s="16"/>
      <c r="L823" s="16"/>
      <c r="M823" s="18" t="str">
        <f aca="false">IF(OR(C823="",D823=""),"",IF(MOD(COUNTIFS($C$2:C823,C823,$D$2:D823,D823)*7,10)&lt;3,"teste","treino"))</f>
        <v/>
      </c>
      <c r="N823" s="16"/>
      <c r="O823" s="16"/>
      <c r="P823" s="16"/>
      <c r="Q823" s="17"/>
    </row>
    <row r="824" customFormat="false" ht="15" hidden="false" customHeight="false" outlineLevel="0" collapsed="false">
      <c r="A824" s="15" t="str">
        <f aca="false">IF(B824="","",ROW()-1)</f>
        <v/>
      </c>
      <c r="B824" s="16"/>
      <c r="C824" s="16"/>
      <c r="D824" s="16"/>
      <c r="E824" s="16"/>
      <c r="F824" s="17"/>
      <c r="G824" s="16"/>
      <c r="H824" s="16"/>
      <c r="I824" s="16"/>
      <c r="J824" s="16"/>
      <c r="K824" s="16"/>
      <c r="L824" s="16"/>
      <c r="M824" s="18" t="str">
        <f aca="false">IF(OR(C824="",D824=""),"",IF(MOD(COUNTIFS($C$2:C824,C824,$D$2:D824,D824)*7,10)&lt;3,"teste","treino"))</f>
        <v/>
      </c>
      <c r="N824" s="16"/>
      <c r="O824" s="16"/>
      <c r="P824" s="16"/>
      <c r="Q824" s="17"/>
    </row>
    <row r="825" customFormat="false" ht="15" hidden="false" customHeight="false" outlineLevel="0" collapsed="false">
      <c r="A825" s="15" t="str">
        <f aca="false">IF(B825="","",ROW()-1)</f>
        <v/>
      </c>
      <c r="B825" s="16"/>
      <c r="C825" s="16"/>
      <c r="D825" s="16"/>
      <c r="E825" s="16"/>
      <c r="F825" s="17"/>
      <c r="G825" s="16"/>
      <c r="H825" s="16"/>
      <c r="I825" s="16"/>
      <c r="J825" s="16"/>
      <c r="K825" s="16"/>
      <c r="L825" s="16"/>
      <c r="M825" s="18" t="str">
        <f aca="false">IF(OR(C825="",D825=""),"",IF(MOD(COUNTIFS($C$2:C825,C825,$D$2:D825,D825)*7,10)&lt;3,"teste","treino"))</f>
        <v/>
      </c>
      <c r="N825" s="16"/>
      <c r="O825" s="16"/>
      <c r="P825" s="16"/>
      <c r="Q825" s="17"/>
    </row>
    <row r="826" customFormat="false" ht="15" hidden="false" customHeight="false" outlineLevel="0" collapsed="false">
      <c r="A826" s="15" t="str">
        <f aca="false">IF(B826="","",ROW()-1)</f>
        <v/>
      </c>
      <c r="B826" s="16"/>
      <c r="C826" s="16"/>
      <c r="D826" s="16"/>
      <c r="E826" s="16"/>
      <c r="F826" s="17"/>
      <c r="G826" s="16"/>
      <c r="H826" s="16"/>
      <c r="I826" s="16"/>
      <c r="J826" s="16"/>
      <c r="K826" s="16"/>
      <c r="L826" s="16"/>
      <c r="M826" s="18" t="str">
        <f aca="false">IF(OR(C826="",D826=""),"",IF(MOD(COUNTIFS($C$2:C826,C826,$D$2:D826,D826)*7,10)&lt;3,"teste","treino"))</f>
        <v/>
      </c>
      <c r="N826" s="16"/>
      <c r="O826" s="16"/>
      <c r="P826" s="16"/>
      <c r="Q826" s="17"/>
    </row>
    <row r="827" customFormat="false" ht="15" hidden="false" customHeight="false" outlineLevel="0" collapsed="false">
      <c r="A827" s="15" t="str">
        <f aca="false">IF(B827="","",ROW()-1)</f>
        <v/>
      </c>
      <c r="B827" s="16"/>
      <c r="C827" s="16"/>
      <c r="D827" s="16"/>
      <c r="E827" s="16"/>
      <c r="F827" s="17"/>
      <c r="G827" s="16"/>
      <c r="H827" s="16"/>
      <c r="I827" s="16"/>
      <c r="J827" s="16"/>
      <c r="K827" s="16"/>
      <c r="L827" s="16"/>
      <c r="M827" s="18" t="str">
        <f aca="false">IF(OR(C827="",D827=""),"",IF(MOD(COUNTIFS($C$2:C827,C827,$D$2:D827,D827)*7,10)&lt;3,"teste","treino"))</f>
        <v/>
      </c>
      <c r="N827" s="16"/>
      <c r="O827" s="16"/>
      <c r="P827" s="16"/>
      <c r="Q827" s="17"/>
    </row>
    <row r="828" customFormat="false" ht="15" hidden="false" customHeight="false" outlineLevel="0" collapsed="false">
      <c r="A828" s="15" t="str">
        <f aca="false">IF(B828="","",ROW()-1)</f>
        <v/>
      </c>
      <c r="B828" s="16"/>
      <c r="C828" s="16"/>
      <c r="D828" s="16"/>
      <c r="E828" s="16"/>
      <c r="F828" s="17"/>
      <c r="G828" s="16"/>
      <c r="H828" s="16"/>
      <c r="I828" s="16"/>
      <c r="J828" s="16"/>
      <c r="K828" s="16"/>
      <c r="L828" s="16"/>
      <c r="M828" s="18" t="str">
        <f aca="false">IF(OR(C828="",D828=""),"",IF(MOD(COUNTIFS($C$2:C828,C828,$D$2:D828,D828)*7,10)&lt;3,"teste","treino"))</f>
        <v/>
      </c>
      <c r="N828" s="16"/>
      <c r="O828" s="16"/>
      <c r="P828" s="16"/>
      <c r="Q828" s="17"/>
    </row>
    <row r="829" customFormat="false" ht="15" hidden="false" customHeight="false" outlineLevel="0" collapsed="false">
      <c r="A829" s="15" t="str">
        <f aca="false">IF(B829="","",ROW()-1)</f>
        <v/>
      </c>
      <c r="B829" s="16"/>
      <c r="C829" s="16"/>
      <c r="D829" s="16"/>
      <c r="E829" s="16"/>
      <c r="F829" s="17"/>
      <c r="G829" s="16"/>
      <c r="H829" s="16"/>
      <c r="I829" s="16"/>
      <c r="J829" s="16"/>
      <c r="K829" s="16"/>
      <c r="L829" s="16"/>
      <c r="M829" s="18" t="str">
        <f aca="false">IF(OR(C829="",D829=""),"",IF(MOD(COUNTIFS($C$2:C829,C829,$D$2:D829,D829)*7,10)&lt;3,"teste","treino"))</f>
        <v/>
      </c>
      <c r="N829" s="16"/>
      <c r="O829" s="16"/>
      <c r="P829" s="16"/>
      <c r="Q829" s="17"/>
    </row>
    <row r="830" customFormat="false" ht="15" hidden="false" customHeight="false" outlineLevel="0" collapsed="false">
      <c r="A830" s="15" t="str">
        <f aca="false">IF(B830="","",ROW()-1)</f>
        <v/>
      </c>
      <c r="B830" s="16"/>
      <c r="C830" s="16"/>
      <c r="D830" s="16"/>
      <c r="E830" s="16"/>
      <c r="F830" s="17"/>
      <c r="G830" s="16"/>
      <c r="H830" s="16"/>
      <c r="I830" s="16"/>
      <c r="J830" s="16"/>
      <c r="K830" s="16"/>
      <c r="L830" s="16"/>
      <c r="M830" s="18" t="str">
        <f aca="false">IF(OR(C830="",D830=""),"",IF(MOD(COUNTIFS($C$2:C830,C830,$D$2:D830,D830)*7,10)&lt;3,"teste","treino"))</f>
        <v/>
      </c>
      <c r="N830" s="16"/>
      <c r="O830" s="16"/>
      <c r="P830" s="16"/>
      <c r="Q830" s="17"/>
    </row>
    <row r="831" customFormat="false" ht="15" hidden="false" customHeight="false" outlineLevel="0" collapsed="false">
      <c r="A831" s="15" t="str">
        <f aca="false">IF(B831="","",ROW()-1)</f>
        <v/>
      </c>
      <c r="B831" s="16"/>
      <c r="C831" s="16"/>
      <c r="D831" s="16"/>
      <c r="E831" s="16"/>
      <c r="F831" s="17"/>
      <c r="G831" s="16"/>
      <c r="H831" s="16"/>
      <c r="I831" s="16"/>
      <c r="J831" s="16"/>
      <c r="K831" s="16"/>
      <c r="L831" s="16"/>
      <c r="M831" s="18" t="str">
        <f aca="false">IF(OR(C831="",D831=""),"",IF(MOD(COUNTIFS($C$2:C831,C831,$D$2:D831,D831)*7,10)&lt;3,"teste","treino"))</f>
        <v/>
      </c>
      <c r="N831" s="16"/>
      <c r="O831" s="16"/>
      <c r="P831" s="16"/>
      <c r="Q831" s="17"/>
    </row>
    <row r="832" customFormat="false" ht="15" hidden="false" customHeight="false" outlineLevel="0" collapsed="false">
      <c r="A832" s="15" t="str">
        <f aca="false">IF(B832="","",ROW()-1)</f>
        <v/>
      </c>
      <c r="B832" s="16"/>
      <c r="C832" s="16"/>
      <c r="D832" s="16"/>
      <c r="E832" s="16"/>
      <c r="F832" s="17"/>
      <c r="G832" s="16"/>
      <c r="H832" s="16"/>
      <c r="I832" s="16"/>
      <c r="J832" s="16"/>
      <c r="K832" s="16"/>
      <c r="L832" s="16"/>
      <c r="M832" s="18" t="str">
        <f aca="false">IF(OR(C832="",D832=""),"",IF(MOD(COUNTIFS($C$2:C832,C832,$D$2:D832,D832)*7,10)&lt;3,"teste","treino"))</f>
        <v/>
      </c>
      <c r="N832" s="16"/>
      <c r="O832" s="16"/>
      <c r="P832" s="16"/>
      <c r="Q832" s="17"/>
    </row>
    <row r="833" customFormat="false" ht="15" hidden="false" customHeight="false" outlineLevel="0" collapsed="false">
      <c r="A833" s="15" t="str">
        <f aca="false">IF(B833="","",ROW()-1)</f>
        <v/>
      </c>
      <c r="B833" s="16"/>
      <c r="C833" s="16"/>
      <c r="D833" s="16"/>
      <c r="E833" s="16"/>
      <c r="F833" s="17"/>
      <c r="G833" s="16"/>
      <c r="H833" s="16"/>
      <c r="I833" s="16"/>
      <c r="J833" s="16"/>
      <c r="K833" s="16"/>
      <c r="L833" s="16"/>
      <c r="M833" s="18" t="str">
        <f aca="false">IF(OR(C833="",D833=""),"",IF(MOD(COUNTIFS($C$2:C833,C833,$D$2:D833,D833)*7,10)&lt;3,"teste","treino"))</f>
        <v/>
      </c>
      <c r="N833" s="16"/>
      <c r="O833" s="16"/>
      <c r="P833" s="16"/>
      <c r="Q833" s="17"/>
    </row>
    <row r="834" customFormat="false" ht="15" hidden="false" customHeight="false" outlineLevel="0" collapsed="false">
      <c r="A834" s="15" t="str">
        <f aca="false">IF(B834="","",ROW()-1)</f>
        <v/>
      </c>
      <c r="B834" s="16"/>
      <c r="C834" s="16"/>
      <c r="D834" s="16"/>
      <c r="E834" s="16"/>
      <c r="F834" s="17"/>
      <c r="G834" s="16"/>
      <c r="H834" s="16"/>
      <c r="I834" s="16"/>
      <c r="J834" s="16"/>
      <c r="K834" s="16"/>
      <c r="L834" s="16"/>
      <c r="M834" s="18" t="str">
        <f aca="false">IF(OR(C834="",D834=""),"",IF(MOD(COUNTIFS($C$2:C834,C834,$D$2:D834,D834)*7,10)&lt;3,"teste","treino"))</f>
        <v/>
      </c>
      <c r="N834" s="16"/>
      <c r="O834" s="16"/>
      <c r="P834" s="16"/>
      <c r="Q834" s="17"/>
    </row>
    <row r="835" customFormat="false" ht="15" hidden="false" customHeight="false" outlineLevel="0" collapsed="false">
      <c r="A835" s="15" t="str">
        <f aca="false">IF(B835="","",ROW()-1)</f>
        <v/>
      </c>
      <c r="B835" s="16"/>
      <c r="C835" s="16"/>
      <c r="D835" s="16"/>
      <c r="E835" s="16"/>
      <c r="F835" s="17"/>
      <c r="G835" s="16"/>
      <c r="H835" s="16"/>
      <c r="I835" s="16"/>
      <c r="J835" s="16"/>
      <c r="K835" s="16"/>
      <c r="L835" s="16"/>
      <c r="M835" s="18" t="str">
        <f aca="false">IF(OR(C835="",D835=""),"",IF(MOD(COUNTIFS($C$2:C835,C835,$D$2:D835,D835)*7,10)&lt;3,"teste","treino"))</f>
        <v/>
      </c>
      <c r="N835" s="16"/>
      <c r="O835" s="16"/>
      <c r="P835" s="16"/>
      <c r="Q835" s="17"/>
    </row>
    <row r="836" customFormat="false" ht="15" hidden="false" customHeight="false" outlineLevel="0" collapsed="false">
      <c r="A836" s="15" t="str">
        <f aca="false">IF(B836="","",ROW()-1)</f>
        <v/>
      </c>
      <c r="B836" s="16"/>
      <c r="C836" s="16"/>
      <c r="D836" s="16"/>
      <c r="E836" s="16"/>
      <c r="F836" s="17"/>
      <c r="G836" s="16"/>
      <c r="H836" s="16"/>
      <c r="I836" s="16"/>
      <c r="J836" s="16"/>
      <c r="K836" s="16"/>
      <c r="L836" s="16"/>
      <c r="M836" s="18" t="str">
        <f aca="false">IF(OR(C836="",D836=""),"",IF(MOD(COUNTIFS($C$2:C836,C836,$D$2:D836,D836)*7,10)&lt;3,"teste","treino"))</f>
        <v/>
      </c>
      <c r="N836" s="16"/>
      <c r="O836" s="16"/>
      <c r="P836" s="16"/>
      <c r="Q836" s="17"/>
    </row>
    <row r="837" customFormat="false" ht="15" hidden="false" customHeight="false" outlineLevel="0" collapsed="false">
      <c r="A837" s="15" t="str">
        <f aca="false">IF(B837="","",ROW()-1)</f>
        <v/>
      </c>
      <c r="B837" s="16"/>
      <c r="C837" s="16"/>
      <c r="D837" s="16"/>
      <c r="E837" s="16"/>
      <c r="F837" s="17"/>
      <c r="G837" s="16"/>
      <c r="H837" s="16"/>
      <c r="I837" s="16"/>
      <c r="J837" s="16"/>
      <c r="K837" s="16"/>
      <c r="L837" s="16"/>
      <c r="M837" s="18" t="str">
        <f aca="false">IF(OR(C837="",D837=""),"",IF(MOD(COUNTIFS($C$2:C837,C837,$D$2:D837,D837)*7,10)&lt;3,"teste","treino"))</f>
        <v/>
      </c>
      <c r="N837" s="16"/>
      <c r="O837" s="16"/>
      <c r="P837" s="16"/>
      <c r="Q837" s="17"/>
    </row>
    <row r="838" customFormat="false" ht="15" hidden="false" customHeight="false" outlineLevel="0" collapsed="false">
      <c r="A838" s="15" t="str">
        <f aca="false">IF(B838="","",ROW()-1)</f>
        <v/>
      </c>
      <c r="B838" s="16"/>
      <c r="C838" s="16"/>
      <c r="D838" s="16"/>
      <c r="E838" s="16"/>
      <c r="F838" s="17"/>
      <c r="G838" s="16"/>
      <c r="H838" s="16"/>
      <c r="I838" s="16"/>
      <c r="J838" s="16"/>
      <c r="K838" s="16"/>
      <c r="L838" s="16"/>
      <c r="M838" s="18" t="str">
        <f aca="false">IF(OR(C838="",D838=""),"",IF(MOD(COUNTIFS($C$2:C838,C838,$D$2:D838,D838)*7,10)&lt;3,"teste","treino"))</f>
        <v/>
      </c>
      <c r="N838" s="16"/>
      <c r="O838" s="16"/>
      <c r="P838" s="16"/>
      <c r="Q838" s="17"/>
    </row>
    <row r="839" customFormat="false" ht="15" hidden="false" customHeight="false" outlineLevel="0" collapsed="false">
      <c r="A839" s="15" t="str">
        <f aca="false">IF(B839="","",ROW()-1)</f>
        <v/>
      </c>
      <c r="B839" s="16"/>
      <c r="C839" s="16"/>
      <c r="D839" s="16"/>
      <c r="E839" s="16"/>
      <c r="F839" s="17"/>
      <c r="G839" s="16"/>
      <c r="H839" s="16"/>
      <c r="I839" s="16"/>
      <c r="J839" s="16"/>
      <c r="K839" s="16"/>
      <c r="L839" s="16"/>
      <c r="M839" s="18" t="str">
        <f aca="false">IF(OR(C839="",D839=""),"",IF(MOD(COUNTIFS($C$2:C839,C839,$D$2:D839,D839)*7,10)&lt;3,"teste","treino"))</f>
        <v/>
      </c>
      <c r="N839" s="16"/>
      <c r="O839" s="16"/>
      <c r="P839" s="16"/>
      <c r="Q839" s="17"/>
    </row>
    <row r="840" customFormat="false" ht="15" hidden="false" customHeight="false" outlineLevel="0" collapsed="false">
      <c r="A840" s="15" t="str">
        <f aca="false">IF(B840="","",ROW()-1)</f>
        <v/>
      </c>
      <c r="B840" s="16"/>
      <c r="C840" s="16"/>
      <c r="D840" s="16"/>
      <c r="E840" s="16"/>
      <c r="F840" s="17"/>
      <c r="G840" s="16"/>
      <c r="H840" s="16"/>
      <c r="I840" s="16"/>
      <c r="J840" s="16"/>
      <c r="K840" s="16"/>
      <c r="L840" s="16"/>
      <c r="M840" s="18" t="str">
        <f aca="false">IF(OR(C840="",D840=""),"",IF(MOD(COUNTIFS($C$2:C840,C840,$D$2:D840,D840)*7,10)&lt;3,"teste","treino"))</f>
        <v/>
      </c>
      <c r="N840" s="16"/>
      <c r="O840" s="16"/>
      <c r="P840" s="16"/>
      <c r="Q840" s="17"/>
    </row>
    <row r="841" customFormat="false" ht="15" hidden="false" customHeight="false" outlineLevel="0" collapsed="false">
      <c r="A841" s="15" t="str">
        <f aca="false">IF(B841="","",ROW()-1)</f>
        <v/>
      </c>
      <c r="B841" s="16"/>
      <c r="C841" s="16"/>
      <c r="D841" s="16"/>
      <c r="E841" s="16"/>
      <c r="F841" s="17"/>
      <c r="G841" s="16"/>
      <c r="H841" s="16"/>
      <c r="I841" s="16"/>
      <c r="J841" s="16"/>
      <c r="K841" s="16"/>
      <c r="L841" s="16"/>
      <c r="M841" s="18" t="str">
        <f aca="false">IF(OR(C841="",D841=""),"",IF(MOD(COUNTIFS($C$2:C841,C841,$D$2:D841,D841)*7,10)&lt;3,"teste","treino"))</f>
        <v/>
      </c>
      <c r="N841" s="16"/>
      <c r="O841" s="16"/>
      <c r="P841" s="16"/>
      <c r="Q841" s="17"/>
    </row>
    <row r="842" customFormat="false" ht="15" hidden="false" customHeight="false" outlineLevel="0" collapsed="false">
      <c r="A842" s="15" t="str">
        <f aca="false">IF(B842="","",ROW()-1)</f>
        <v/>
      </c>
      <c r="B842" s="16"/>
      <c r="C842" s="16"/>
      <c r="D842" s="16"/>
      <c r="E842" s="16"/>
      <c r="F842" s="17"/>
      <c r="G842" s="16"/>
      <c r="H842" s="16"/>
      <c r="I842" s="16"/>
      <c r="J842" s="16"/>
      <c r="K842" s="16"/>
      <c r="L842" s="16"/>
      <c r="M842" s="18" t="str">
        <f aca="false">IF(OR(C842="",D842=""),"",IF(MOD(COUNTIFS($C$2:C842,C842,$D$2:D842,D842)*7,10)&lt;3,"teste","treino"))</f>
        <v/>
      </c>
      <c r="N842" s="16"/>
      <c r="O842" s="16"/>
      <c r="P842" s="16"/>
      <c r="Q842" s="17"/>
    </row>
    <row r="843" customFormat="false" ht="15" hidden="false" customHeight="false" outlineLevel="0" collapsed="false">
      <c r="A843" s="15" t="str">
        <f aca="false">IF(B843="","",ROW()-1)</f>
        <v/>
      </c>
      <c r="B843" s="16"/>
      <c r="C843" s="16"/>
      <c r="D843" s="16"/>
      <c r="E843" s="16"/>
      <c r="F843" s="17"/>
      <c r="G843" s="16"/>
      <c r="H843" s="16"/>
      <c r="I843" s="16"/>
      <c r="J843" s="16"/>
      <c r="K843" s="16"/>
      <c r="L843" s="16"/>
      <c r="M843" s="18" t="str">
        <f aca="false">IF(OR(C843="",D843=""),"",IF(MOD(COUNTIFS($C$2:C843,C843,$D$2:D843,D843)*7,10)&lt;3,"teste","treino"))</f>
        <v/>
      </c>
      <c r="N843" s="16"/>
      <c r="O843" s="16"/>
      <c r="P843" s="16"/>
      <c r="Q843" s="17"/>
    </row>
    <row r="844" customFormat="false" ht="15" hidden="false" customHeight="false" outlineLevel="0" collapsed="false">
      <c r="A844" s="15" t="str">
        <f aca="false">IF(B844="","",ROW()-1)</f>
        <v/>
      </c>
      <c r="B844" s="16"/>
      <c r="C844" s="16"/>
      <c r="D844" s="16"/>
      <c r="E844" s="16"/>
      <c r="F844" s="17"/>
      <c r="G844" s="16"/>
      <c r="H844" s="16"/>
      <c r="I844" s="16"/>
      <c r="J844" s="16"/>
      <c r="K844" s="16"/>
      <c r="L844" s="16"/>
      <c r="M844" s="18" t="str">
        <f aca="false">IF(OR(C844="",D844=""),"",IF(MOD(COUNTIFS($C$2:C844,C844,$D$2:D844,D844)*7,10)&lt;3,"teste","treino"))</f>
        <v/>
      </c>
      <c r="N844" s="16"/>
      <c r="O844" s="16"/>
      <c r="P844" s="16"/>
      <c r="Q844" s="17"/>
    </row>
    <row r="845" customFormat="false" ht="15" hidden="false" customHeight="false" outlineLevel="0" collapsed="false">
      <c r="A845" s="15" t="str">
        <f aca="false">IF(B845="","",ROW()-1)</f>
        <v/>
      </c>
      <c r="B845" s="16"/>
      <c r="C845" s="16"/>
      <c r="D845" s="16"/>
      <c r="E845" s="16"/>
      <c r="F845" s="17"/>
      <c r="G845" s="16"/>
      <c r="H845" s="16"/>
      <c r="I845" s="16"/>
      <c r="J845" s="16"/>
      <c r="K845" s="16"/>
      <c r="L845" s="16"/>
      <c r="M845" s="18" t="str">
        <f aca="false">IF(OR(C845="",D845=""),"",IF(MOD(COUNTIFS($C$2:C845,C845,$D$2:D845,D845)*7,10)&lt;3,"teste","treino"))</f>
        <v/>
      </c>
      <c r="N845" s="16"/>
      <c r="O845" s="16"/>
      <c r="P845" s="16"/>
      <c r="Q845" s="17"/>
    </row>
    <row r="846" customFormat="false" ht="15" hidden="false" customHeight="false" outlineLevel="0" collapsed="false">
      <c r="A846" s="15" t="str">
        <f aca="false">IF(B846="","",ROW()-1)</f>
        <v/>
      </c>
      <c r="B846" s="16"/>
      <c r="C846" s="16"/>
      <c r="D846" s="16"/>
      <c r="E846" s="16"/>
      <c r="F846" s="17"/>
      <c r="G846" s="16"/>
      <c r="H846" s="16"/>
      <c r="I846" s="16"/>
      <c r="J846" s="16"/>
      <c r="K846" s="16"/>
      <c r="L846" s="16"/>
      <c r="M846" s="18" t="str">
        <f aca="false">IF(OR(C846="",D846=""),"",IF(MOD(COUNTIFS($C$2:C846,C846,$D$2:D846,D846)*7,10)&lt;3,"teste","treino"))</f>
        <v/>
      </c>
      <c r="N846" s="16"/>
      <c r="O846" s="16"/>
      <c r="P846" s="16"/>
      <c r="Q846" s="17"/>
    </row>
    <row r="847" customFormat="false" ht="15" hidden="false" customHeight="false" outlineLevel="0" collapsed="false">
      <c r="A847" s="15" t="str">
        <f aca="false">IF(B847="","",ROW()-1)</f>
        <v/>
      </c>
      <c r="B847" s="16"/>
      <c r="C847" s="16"/>
      <c r="D847" s="16"/>
      <c r="E847" s="16"/>
      <c r="F847" s="17"/>
      <c r="G847" s="16"/>
      <c r="H847" s="16"/>
      <c r="I847" s="16"/>
      <c r="J847" s="16"/>
      <c r="K847" s="16"/>
      <c r="L847" s="16"/>
      <c r="M847" s="18" t="str">
        <f aca="false">IF(OR(C847="",D847=""),"",IF(MOD(COUNTIFS($C$2:C847,C847,$D$2:D847,D847)*7,10)&lt;3,"teste","treino"))</f>
        <v/>
      </c>
      <c r="N847" s="16"/>
      <c r="O847" s="16"/>
      <c r="P847" s="16"/>
      <c r="Q847" s="17"/>
    </row>
    <row r="848" customFormat="false" ht="15" hidden="false" customHeight="false" outlineLevel="0" collapsed="false">
      <c r="A848" s="15" t="str">
        <f aca="false">IF(B848="","",ROW()-1)</f>
        <v/>
      </c>
      <c r="B848" s="16"/>
      <c r="C848" s="16"/>
      <c r="D848" s="16"/>
      <c r="E848" s="16"/>
      <c r="F848" s="17"/>
      <c r="G848" s="16"/>
      <c r="H848" s="16"/>
      <c r="I848" s="16"/>
      <c r="J848" s="16"/>
      <c r="K848" s="16"/>
      <c r="L848" s="16"/>
      <c r="M848" s="18" t="str">
        <f aca="false">IF(OR(C848="",D848=""),"",IF(MOD(COUNTIFS($C$2:C848,C848,$D$2:D848,D848)*7,10)&lt;3,"teste","treino"))</f>
        <v/>
      </c>
      <c r="N848" s="16"/>
      <c r="O848" s="16"/>
      <c r="P848" s="16"/>
      <c r="Q848" s="17"/>
    </row>
    <row r="849" customFormat="false" ht="15" hidden="false" customHeight="false" outlineLevel="0" collapsed="false">
      <c r="A849" s="15" t="str">
        <f aca="false">IF(B849="","",ROW()-1)</f>
        <v/>
      </c>
      <c r="B849" s="16"/>
      <c r="C849" s="16"/>
      <c r="D849" s="16"/>
      <c r="E849" s="16"/>
      <c r="F849" s="17"/>
      <c r="G849" s="16"/>
      <c r="H849" s="16"/>
      <c r="I849" s="16"/>
      <c r="J849" s="16"/>
      <c r="K849" s="16"/>
      <c r="L849" s="16"/>
      <c r="M849" s="18" t="str">
        <f aca="false">IF(OR(C849="",D849=""),"",IF(MOD(COUNTIFS($C$2:C849,C849,$D$2:D849,D849)*7,10)&lt;3,"teste","treino"))</f>
        <v/>
      </c>
      <c r="N849" s="16"/>
      <c r="O849" s="16"/>
      <c r="P849" s="16"/>
      <c r="Q849" s="17"/>
    </row>
    <row r="850" customFormat="false" ht="15" hidden="false" customHeight="false" outlineLevel="0" collapsed="false">
      <c r="A850" s="15" t="str">
        <f aca="false">IF(B850="","",ROW()-1)</f>
        <v/>
      </c>
      <c r="B850" s="16"/>
      <c r="C850" s="16"/>
      <c r="D850" s="16"/>
      <c r="E850" s="16"/>
      <c r="F850" s="17"/>
      <c r="G850" s="16"/>
      <c r="H850" s="16"/>
      <c r="I850" s="16"/>
      <c r="J850" s="16"/>
      <c r="K850" s="16"/>
      <c r="L850" s="16"/>
      <c r="M850" s="18" t="str">
        <f aca="false">IF(OR(C850="",D850=""),"",IF(MOD(COUNTIFS($C$2:C850,C850,$D$2:D850,D850)*7,10)&lt;3,"teste","treino"))</f>
        <v/>
      </c>
      <c r="N850" s="16"/>
      <c r="O850" s="16"/>
      <c r="P850" s="16"/>
      <c r="Q850" s="17"/>
    </row>
    <row r="851" customFormat="false" ht="15" hidden="false" customHeight="false" outlineLevel="0" collapsed="false">
      <c r="A851" s="15" t="str">
        <f aca="false">IF(B851="","",ROW()-1)</f>
        <v/>
      </c>
      <c r="B851" s="16"/>
      <c r="C851" s="16"/>
      <c r="D851" s="16"/>
      <c r="E851" s="16"/>
      <c r="F851" s="17"/>
      <c r="G851" s="16"/>
      <c r="H851" s="16"/>
      <c r="I851" s="16"/>
      <c r="J851" s="16"/>
      <c r="K851" s="16"/>
      <c r="L851" s="16"/>
      <c r="M851" s="18" t="str">
        <f aca="false">IF(OR(C851="",D851=""),"",IF(MOD(COUNTIFS($C$2:C851,C851,$D$2:D851,D851)*7,10)&lt;3,"teste","treino"))</f>
        <v/>
      </c>
      <c r="N851" s="16"/>
      <c r="O851" s="16"/>
      <c r="P851" s="16"/>
      <c r="Q851" s="17"/>
    </row>
    <row r="852" customFormat="false" ht="15" hidden="false" customHeight="false" outlineLevel="0" collapsed="false">
      <c r="A852" s="15" t="str">
        <f aca="false">IF(B852="","",ROW()-1)</f>
        <v/>
      </c>
      <c r="B852" s="16"/>
      <c r="C852" s="16"/>
      <c r="D852" s="16"/>
      <c r="E852" s="16"/>
      <c r="F852" s="17"/>
      <c r="G852" s="16"/>
      <c r="H852" s="16"/>
      <c r="I852" s="16"/>
      <c r="J852" s="16"/>
      <c r="K852" s="16"/>
      <c r="L852" s="16"/>
      <c r="M852" s="18" t="str">
        <f aca="false">IF(OR(C852="",D852=""),"",IF(MOD(COUNTIFS($C$2:C852,C852,$D$2:D852,D852)*7,10)&lt;3,"teste","treino"))</f>
        <v/>
      </c>
      <c r="N852" s="16"/>
      <c r="O852" s="16"/>
      <c r="P852" s="16"/>
      <c r="Q852" s="17"/>
    </row>
    <row r="853" customFormat="false" ht="15" hidden="false" customHeight="false" outlineLevel="0" collapsed="false">
      <c r="A853" s="15" t="str">
        <f aca="false">IF(B853="","",ROW()-1)</f>
        <v/>
      </c>
      <c r="B853" s="16"/>
      <c r="C853" s="16"/>
      <c r="D853" s="16"/>
      <c r="E853" s="16"/>
      <c r="F853" s="17"/>
      <c r="G853" s="16"/>
      <c r="H853" s="16"/>
      <c r="I853" s="16"/>
      <c r="J853" s="16"/>
      <c r="K853" s="16"/>
      <c r="L853" s="16"/>
      <c r="M853" s="18" t="str">
        <f aca="false">IF(OR(C853="",D853=""),"",IF(MOD(COUNTIFS($C$2:C853,C853,$D$2:D853,D853)*7,10)&lt;3,"teste","treino"))</f>
        <v/>
      </c>
      <c r="N853" s="16"/>
      <c r="O853" s="16"/>
      <c r="P853" s="16"/>
      <c r="Q853" s="17"/>
    </row>
    <row r="854" customFormat="false" ht="15" hidden="false" customHeight="false" outlineLevel="0" collapsed="false">
      <c r="A854" s="15" t="str">
        <f aca="false">IF(B854="","",ROW()-1)</f>
        <v/>
      </c>
      <c r="B854" s="16"/>
      <c r="C854" s="16"/>
      <c r="D854" s="16"/>
      <c r="E854" s="16"/>
      <c r="F854" s="17"/>
      <c r="G854" s="16"/>
      <c r="H854" s="16"/>
      <c r="I854" s="16"/>
      <c r="J854" s="16"/>
      <c r="K854" s="16"/>
      <c r="L854" s="16"/>
      <c r="M854" s="18" t="str">
        <f aca="false">IF(OR(C854="",D854=""),"",IF(MOD(COUNTIFS($C$2:C854,C854,$D$2:D854,D854)*7,10)&lt;3,"teste","treino"))</f>
        <v/>
      </c>
      <c r="N854" s="16"/>
      <c r="O854" s="16"/>
      <c r="P854" s="16"/>
      <c r="Q854" s="17"/>
    </row>
    <row r="855" customFormat="false" ht="15" hidden="false" customHeight="false" outlineLevel="0" collapsed="false">
      <c r="A855" s="15" t="str">
        <f aca="false">IF(B855="","",ROW()-1)</f>
        <v/>
      </c>
      <c r="B855" s="16"/>
      <c r="C855" s="16"/>
      <c r="D855" s="16"/>
      <c r="E855" s="16"/>
      <c r="F855" s="17"/>
      <c r="G855" s="16"/>
      <c r="H855" s="16"/>
      <c r="I855" s="16"/>
      <c r="J855" s="16"/>
      <c r="K855" s="16"/>
      <c r="L855" s="16"/>
      <c r="M855" s="18" t="str">
        <f aca="false">IF(OR(C855="",D855=""),"",IF(MOD(COUNTIFS($C$2:C855,C855,$D$2:D855,D855)*7,10)&lt;3,"teste","treino"))</f>
        <v/>
      </c>
      <c r="N855" s="16"/>
      <c r="O855" s="16"/>
      <c r="P855" s="16"/>
      <c r="Q855" s="17"/>
    </row>
    <row r="856" customFormat="false" ht="15" hidden="false" customHeight="false" outlineLevel="0" collapsed="false">
      <c r="A856" s="15" t="str">
        <f aca="false">IF(B856="","",ROW()-1)</f>
        <v/>
      </c>
      <c r="B856" s="16"/>
      <c r="C856" s="16"/>
      <c r="D856" s="16"/>
      <c r="E856" s="16"/>
      <c r="F856" s="17"/>
      <c r="G856" s="16"/>
      <c r="H856" s="16"/>
      <c r="I856" s="16"/>
      <c r="J856" s="16"/>
      <c r="K856" s="16"/>
      <c r="L856" s="16"/>
      <c r="M856" s="18" t="str">
        <f aca="false">IF(OR(C856="",D856=""),"",IF(MOD(COUNTIFS($C$2:C856,C856,$D$2:D856,D856)*7,10)&lt;3,"teste","treino"))</f>
        <v/>
      </c>
      <c r="N856" s="16"/>
      <c r="O856" s="16"/>
      <c r="P856" s="16"/>
      <c r="Q856" s="17"/>
    </row>
    <row r="857" customFormat="false" ht="15" hidden="false" customHeight="false" outlineLevel="0" collapsed="false">
      <c r="A857" s="15" t="str">
        <f aca="false">IF(B857="","",ROW()-1)</f>
        <v/>
      </c>
      <c r="B857" s="16"/>
      <c r="C857" s="16"/>
      <c r="D857" s="16"/>
      <c r="E857" s="16"/>
      <c r="F857" s="17"/>
      <c r="G857" s="16"/>
      <c r="H857" s="16"/>
      <c r="I857" s="16"/>
      <c r="J857" s="16"/>
      <c r="K857" s="16"/>
      <c r="L857" s="16"/>
      <c r="M857" s="18" t="str">
        <f aca="false">IF(OR(C857="",D857=""),"",IF(MOD(COUNTIFS($C$2:C857,C857,$D$2:D857,D857)*7,10)&lt;3,"teste","treino"))</f>
        <v/>
      </c>
      <c r="N857" s="16"/>
      <c r="O857" s="16"/>
      <c r="P857" s="16"/>
      <c r="Q857" s="17"/>
    </row>
    <row r="858" customFormat="false" ht="15" hidden="false" customHeight="false" outlineLevel="0" collapsed="false">
      <c r="A858" s="15" t="str">
        <f aca="false">IF(B858="","",ROW()-1)</f>
        <v/>
      </c>
      <c r="B858" s="16"/>
      <c r="C858" s="16"/>
      <c r="D858" s="16"/>
      <c r="E858" s="16"/>
      <c r="F858" s="17"/>
      <c r="G858" s="16"/>
      <c r="H858" s="16"/>
      <c r="I858" s="16"/>
      <c r="J858" s="16"/>
      <c r="K858" s="16"/>
      <c r="L858" s="16"/>
      <c r="M858" s="18" t="str">
        <f aca="false">IF(OR(C858="",D858=""),"",IF(MOD(COUNTIFS($C$2:C858,C858,$D$2:D858,D858)*7,10)&lt;3,"teste","treino"))</f>
        <v/>
      </c>
      <c r="N858" s="16"/>
      <c r="O858" s="16"/>
      <c r="P858" s="16"/>
      <c r="Q858" s="17"/>
    </row>
    <row r="859" customFormat="false" ht="15" hidden="false" customHeight="false" outlineLevel="0" collapsed="false">
      <c r="A859" s="15" t="str">
        <f aca="false">IF(B859="","",ROW()-1)</f>
        <v/>
      </c>
      <c r="B859" s="16"/>
      <c r="C859" s="16"/>
      <c r="D859" s="16"/>
      <c r="E859" s="16"/>
      <c r="F859" s="17"/>
      <c r="G859" s="16"/>
      <c r="H859" s="16"/>
      <c r="I859" s="16"/>
      <c r="J859" s="16"/>
      <c r="K859" s="16"/>
      <c r="L859" s="16"/>
      <c r="M859" s="18" t="str">
        <f aca="false">IF(OR(C859="",D859=""),"",IF(MOD(COUNTIFS($C$2:C859,C859,$D$2:D859,D859)*7,10)&lt;3,"teste","treino"))</f>
        <v/>
      </c>
      <c r="N859" s="16"/>
      <c r="O859" s="16"/>
      <c r="P859" s="16"/>
      <c r="Q859" s="17"/>
    </row>
    <row r="860" customFormat="false" ht="15" hidden="false" customHeight="false" outlineLevel="0" collapsed="false">
      <c r="A860" s="15" t="str">
        <f aca="false">IF(B860="","",ROW()-1)</f>
        <v/>
      </c>
      <c r="B860" s="16"/>
      <c r="C860" s="16"/>
      <c r="D860" s="16"/>
      <c r="E860" s="16"/>
      <c r="F860" s="17"/>
      <c r="G860" s="16"/>
      <c r="H860" s="16"/>
      <c r="I860" s="16"/>
      <c r="J860" s="16"/>
      <c r="K860" s="16"/>
      <c r="L860" s="16"/>
      <c r="M860" s="18" t="str">
        <f aca="false">IF(OR(C860="",D860=""),"",IF(MOD(COUNTIFS($C$2:C860,C860,$D$2:D860,D860)*7,10)&lt;3,"teste","treino"))</f>
        <v/>
      </c>
      <c r="N860" s="16"/>
      <c r="O860" s="16"/>
      <c r="P860" s="16"/>
      <c r="Q860" s="17"/>
    </row>
    <row r="861" customFormat="false" ht="15" hidden="false" customHeight="false" outlineLevel="0" collapsed="false">
      <c r="A861" s="15" t="str">
        <f aca="false">IF(B861="","",ROW()-1)</f>
        <v/>
      </c>
      <c r="B861" s="16"/>
      <c r="C861" s="16"/>
      <c r="D861" s="16"/>
      <c r="E861" s="16"/>
      <c r="F861" s="17"/>
      <c r="G861" s="16"/>
      <c r="H861" s="16"/>
      <c r="I861" s="16"/>
      <c r="J861" s="16"/>
      <c r="K861" s="16"/>
      <c r="L861" s="16"/>
      <c r="M861" s="18" t="str">
        <f aca="false">IF(OR(C861="",D861=""),"",IF(MOD(COUNTIFS($C$2:C861,C861,$D$2:D861,D861)*7,10)&lt;3,"teste","treino"))</f>
        <v/>
      </c>
      <c r="N861" s="16"/>
      <c r="O861" s="16"/>
      <c r="P861" s="16"/>
      <c r="Q861" s="17"/>
    </row>
    <row r="862" customFormat="false" ht="15" hidden="false" customHeight="false" outlineLevel="0" collapsed="false">
      <c r="A862" s="15" t="str">
        <f aca="false">IF(B862="","",ROW()-1)</f>
        <v/>
      </c>
      <c r="B862" s="16"/>
      <c r="C862" s="16"/>
      <c r="D862" s="16"/>
      <c r="E862" s="16"/>
      <c r="F862" s="17"/>
      <c r="G862" s="16"/>
      <c r="H862" s="16"/>
      <c r="I862" s="16"/>
      <c r="J862" s="16"/>
      <c r="K862" s="16"/>
      <c r="L862" s="16"/>
      <c r="M862" s="18" t="str">
        <f aca="false">IF(OR(C862="",D862=""),"",IF(MOD(COUNTIFS($C$2:C862,C862,$D$2:D862,D862)*7,10)&lt;3,"teste","treino"))</f>
        <v/>
      </c>
      <c r="N862" s="16"/>
      <c r="O862" s="16"/>
      <c r="P862" s="16"/>
      <c r="Q862" s="17"/>
    </row>
    <row r="863" customFormat="false" ht="15" hidden="false" customHeight="false" outlineLevel="0" collapsed="false">
      <c r="A863" s="15" t="str">
        <f aca="false">IF(B863="","",ROW()-1)</f>
        <v/>
      </c>
      <c r="B863" s="16"/>
      <c r="C863" s="16"/>
      <c r="D863" s="16"/>
      <c r="E863" s="16"/>
      <c r="F863" s="17"/>
      <c r="G863" s="16"/>
      <c r="H863" s="16"/>
      <c r="I863" s="16"/>
      <c r="J863" s="16"/>
      <c r="K863" s="16"/>
      <c r="L863" s="16"/>
      <c r="M863" s="18" t="str">
        <f aca="false">IF(OR(C863="",D863=""),"",IF(MOD(COUNTIFS($C$2:C863,C863,$D$2:D863,D863)*7,10)&lt;3,"teste","treino"))</f>
        <v/>
      </c>
      <c r="N863" s="16"/>
      <c r="O863" s="16"/>
      <c r="P863" s="16"/>
      <c r="Q863" s="17"/>
    </row>
    <row r="864" customFormat="false" ht="15" hidden="false" customHeight="false" outlineLevel="0" collapsed="false">
      <c r="A864" s="15" t="str">
        <f aca="false">IF(B864="","",ROW()-1)</f>
        <v/>
      </c>
      <c r="B864" s="16"/>
      <c r="C864" s="16"/>
      <c r="D864" s="16"/>
      <c r="E864" s="16"/>
      <c r="F864" s="17"/>
      <c r="G864" s="16"/>
      <c r="H864" s="16"/>
      <c r="I864" s="16"/>
      <c r="J864" s="16"/>
      <c r="K864" s="16"/>
      <c r="L864" s="16"/>
      <c r="M864" s="18" t="str">
        <f aca="false">IF(OR(C864="",D864=""),"",IF(MOD(COUNTIFS($C$2:C864,C864,$D$2:D864,D864)*7,10)&lt;3,"teste","treino"))</f>
        <v/>
      </c>
      <c r="N864" s="16"/>
      <c r="O864" s="16"/>
      <c r="P864" s="16"/>
      <c r="Q864" s="17"/>
    </row>
    <row r="865" customFormat="false" ht="15" hidden="false" customHeight="false" outlineLevel="0" collapsed="false">
      <c r="A865" s="15" t="str">
        <f aca="false">IF(B865="","",ROW()-1)</f>
        <v/>
      </c>
      <c r="B865" s="16"/>
      <c r="C865" s="16"/>
      <c r="D865" s="16"/>
      <c r="E865" s="16"/>
      <c r="F865" s="17"/>
      <c r="G865" s="16"/>
      <c r="H865" s="16"/>
      <c r="I865" s="16"/>
      <c r="J865" s="16"/>
      <c r="K865" s="16"/>
      <c r="L865" s="16"/>
      <c r="M865" s="18" t="str">
        <f aca="false">IF(OR(C865="",D865=""),"",IF(MOD(COUNTIFS($C$2:C865,C865,$D$2:D865,D865)*7,10)&lt;3,"teste","treino"))</f>
        <v/>
      </c>
      <c r="N865" s="16"/>
      <c r="O865" s="16"/>
      <c r="P865" s="16"/>
      <c r="Q865" s="17"/>
    </row>
    <row r="866" customFormat="false" ht="15" hidden="false" customHeight="false" outlineLevel="0" collapsed="false">
      <c r="A866" s="15" t="str">
        <f aca="false">IF(B866="","",ROW()-1)</f>
        <v/>
      </c>
      <c r="B866" s="16"/>
      <c r="C866" s="16"/>
      <c r="D866" s="16"/>
      <c r="E866" s="16"/>
      <c r="F866" s="17"/>
      <c r="G866" s="16"/>
      <c r="H866" s="16"/>
      <c r="I866" s="16"/>
      <c r="J866" s="16"/>
      <c r="K866" s="16"/>
      <c r="L866" s="16"/>
      <c r="M866" s="18" t="str">
        <f aca="false">IF(OR(C866="",D866=""),"",IF(MOD(COUNTIFS($C$2:C866,C866,$D$2:D866,D866)*7,10)&lt;3,"teste","treino"))</f>
        <v/>
      </c>
      <c r="N866" s="16"/>
      <c r="O866" s="16"/>
      <c r="P866" s="16"/>
      <c r="Q866" s="17"/>
    </row>
    <row r="867" customFormat="false" ht="15" hidden="false" customHeight="false" outlineLevel="0" collapsed="false">
      <c r="A867" s="15" t="str">
        <f aca="false">IF(B867="","",ROW()-1)</f>
        <v/>
      </c>
      <c r="B867" s="16"/>
      <c r="C867" s="16"/>
      <c r="D867" s="16"/>
      <c r="E867" s="16"/>
      <c r="F867" s="17"/>
      <c r="G867" s="16"/>
      <c r="H867" s="16"/>
      <c r="I867" s="16"/>
      <c r="J867" s="16"/>
      <c r="K867" s="16"/>
      <c r="L867" s="16"/>
      <c r="M867" s="18" t="str">
        <f aca="false">IF(OR(C867="",D867=""),"",IF(MOD(COUNTIFS($C$2:C867,C867,$D$2:D867,D867)*7,10)&lt;3,"teste","treino"))</f>
        <v/>
      </c>
      <c r="N867" s="16"/>
      <c r="O867" s="16"/>
      <c r="P867" s="16"/>
      <c r="Q867" s="17"/>
    </row>
    <row r="868" customFormat="false" ht="15" hidden="false" customHeight="false" outlineLevel="0" collapsed="false">
      <c r="A868" s="15" t="str">
        <f aca="false">IF(B868="","",ROW()-1)</f>
        <v/>
      </c>
      <c r="B868" s="16"/>
      <c r="C868" s="16"/>
      <c r="D868" s="16"/>
      <c r="E868" s="16"/>
      <c r="F868" s="17"/>
      <c r="G868" s="16"/>
      <c r="H868" s="16"/>
      <c r="I868" s="16"/>
      <c r="J868" s="16"/>
      <c r="K868" s="16"/>
      <c r="L868" s="16"/>
      <c r="M868" s="18" t="str">
        <f aca="false">IF(OR(C868="",D868=""),"",IF(MOD(COUNTIFS($C$2:C868,C868,$D$2:D868,D868)*7,10)&lt;3,"teste","treino"))</f>
        <v/>
      </c>
      <c r="N868" s="16"/>
      <c r="O868" s="16"/>
      <c r="P868" s="16"/>
      <c r="Q868" s="17"/>
    </row>
    <row r="869" customFormat="false" ht="15" hidden="false" customHeight="false" outlineLevel="0" collapsed="false">
      <c r="A869" s="15" t="str">
        <f aca="false">IF(B869="","",ROW()-1)</f>
        <v/>
      </c>
      <c r="B869" s="16"/>
      <c r="C869" s="16"/>
      <c r="D869" s="16"/>
      <c r="E869" s="16"/>
      <c r="F869" s="17"/>
      <c r="G869" s="16"/>
      <c r="H869" s="16"/>
      <c r="I869" s="16"/>
      <c r="J869" s="16"/>
      <c r="K869" s="16"/>
      <c r="L869" s="16"/>
      <c r="M869" s="18" t="str">
        <f aca="false">IF(OR(C869="",D869=""),"",IF(MOD(COUNTIFS($C$2:C869,C869,$D$2:D869,D869)*7,10)&lt;3,"teste","treino"))</f>
        <v/>
      </c>
      <c r="N869" s="16"/>
      <c r="O869" s="16"/>
      <c r="P869" s="16"/>
      <c r="Q869" s="17"/>
    </row>
    <row r="870" customFormat="false" ht="15" hidden="false" customHeight="false" outlineLevel="0" collapsed="false">
      <c r="A870" s="15" t="str">
        <f aca="false">IF(B870="","",ROW()-1)</f>
        <v/>
      </c>
      <c r="B870" s="16"/>
      <c r="C870" s="16"/>
      <c r="D870" s="16"/>
      <c r="E870" s="16"/>
      <c r="F870" s="17"/>
      <c r="G870" s="16"/>
      <c r="H870" s="16"/>
      <c r="I870" s="16"/>
      <c r="J870" s="16"/>
      <c r="K870" s="16"/>
      <c r="L870" s="16"/>
      <c r="M870" s="18" t="str">
        <f aca="false">IF(OR(C870="",D870=""),"",IF(MOD(COUNTIFS($C$2:C870,C870,$D$2:D870,D870)*7,10)&lt;3,"teste","treino"))</f>
        <v/>
      </c>
      <c r="N870" s="16"/>
      <c r="O870" s="16"/>
      <c r="P870" s="16"/>
      <c r="Q870" s="17"/>
    </row>
    <row r="871" customFormat="false" ht="15" hidden="false" customHeight="false" outlineLevel="0" collapsed="false">
      <c r="A871" s="15" t="str">
        <f aca="false">IF(B871="","",ROW()-1)</f>
        <v/>
      </c>
      <c r="B871" s="16"/>
      <c r="C871" s="16"/>
      <c r="D871" s="16"/>
      <c r="E871" s="16"/>
      <c r="F871" s="17"/>
      <c r="G871" s="16"/>
      <c r="H871" s="16"/>
      <c r="I871" s="16"/>
      <c r="J871" s="16"/>
      <c r="K871" s="16"/>
      <c r="L871" s="16"/>
      <c r="M871" s="18" t="str">
        <f aca="false">IF(OR(C871="",D871=""),"",IF(MOD(COUNTIFS($C$2:C871,C871,$D$2:D871,D871)*7,10)&lt;3,"teste","treino"))</f>
        <v/>
      </c>
      <c r="N871" s="16"/>
      <c r="O871" s="16"/>
      <c r="P871" s="16"/>
      <c r="Q871" s="17"/>
    </row>
    <row r="872" customFormat="false" ht="15" hidden="false" customHeight="false" outlineLevel="0" collapsed="false">
      <c r="A872" s="15" t="str">
        <f aca="false">IF(B872="","",ROW()-1)</f>
        <v/>
      </c>
      <c r="B872" s="16"/>
      <c r="C872" s="16"/>
      <c r="D872" s="16"/>
      <c r="E872" s="16"/>
      <c r="F872" s="17"/>
      <c r="G872" s="16"/>
      <c r="H872" s="16"/>
      <c r="I872" s="16"/>
      <c r="J872" s="16"/>
      <c r="K872" s="16"/>
      <c r="L872" s="16"/>
      <c r="M872" s="18" t="str">
        <f aca="false">IF(OR(C872="",D872=""),"",IF(MOD(COUNTIFS($C$2:C872,C872,$D$2:D872,D872)*7,10)&lt;3,"teste","treino"))</f>
        <v/>
      </c>
      <c r="N872" s="16"/>
      <c r="O872" s="16"/>
      <c r="P872" s="16"/>
      <c r="Q872" s="17"/>
    </row>
    <row r="873" customFormat="false" ht="15" hidden="false" customHeight="false" outlineLevel="0" collapsed="false">
      <c r="A873" s="15" t="str">
        <f aca="false">IF(B873="","",ROW()-1)</f>
        <v/>
      </c>
      <c r="B873" s="16"/>
      <c r="C873" s="16"/>
      <c r="D873" s="16"/>
      <c r="E873" s="16"/>
      <c r="F873" s="17"/>
      <c r="G873" s="16"/>
      <c r="H873" s="16"/>
      <c r="I873" s="16"/>
      <c r="J873" s="16"/>
      <c r="K873" s="16"/>
      <c r="L873" s="16"/>
      <c r="M873" s="18" t="str">
        <f aca="false">IF(OR(C873="",D873=""),"",IF(MOD(COUNTIFS($C$2:C873,C873,$D$2:D873,D873)*7,10)&lt;3,"teste","treino"))</f>
        <v/>
      </c>
      <c r="N873" s="16"/>
      <c r="O873" s="16"/>
      <c r="P873" s="16"/>
      <c r="Q873" s="17"/>
    </row>
    <row r="874" customFormat="false" ht="15" hidden="false" customHeight="false" outlineLevel="0" collapsed="false">
      <c r="A874" s="15" t="str">
        <f aca="false">IF(B874="","",ROW()-1)</f>
        <v/>
      </c>
      <c r="B874" s="16"/>
      <c r="C874" s="16"/>
      <c r="D874" s="16"/>
      <c r="E874" s="16"/>
      <c r="F874" s="17"/>
      <c r="G874" s="16"/>
      <c r="H874" s="16"/>
      <c r="I874" s="16"/>
      <c r="J874" s="16"/>
      <c r="K874" s="16"/>
      <c r="L874" s="16"/>
      <c r="M874" s="18" t="str">
        <f aca="false">IF(OR(C874="",D874=""),"",IF(MOD(COUNTIFS($C$2:C874,C874,$D$2:D874,D874)*7,10)&lt;3,"teste","treino"))</f>
        <v/>
      </c>
      <c r="N874" s="16"/>
      <c r="O874" s="16"/>
      <c r="P874" s="16"/>
      <c r="Q874" s="17"/>
    </row>
    <row r="875" customFormat="false" ht="15" hidden="false" customHeight="false" outlineLevel="0" collapsed="false">
      <c r="A875" s="15" t="str">
        <f aca="false">IF(B875="","",ROW()-1)</f>
        <v/>
      </c>
      <c r="B875" s="16"/>
      <c r="C875" s="16"/>
      <c r="D875" s="16"/>
      <c r="E875" s="16"/>
      <c r="F875" s="17"/>
      <c r="G875" s="16"/>
      <c r="H875" s="16"/>
      <c r="I875" s="16"/>
      <c r="J875" s="16"/>
      <c r="K875" s="16"/>
      <c r="L875" s="16"/>
      <c r="M875" s="18" t="str">
        <f aca="false">IF(OR(C875="",D875=""),"",IF(MOD(COUNTIFS($C$2:C875,C875,$D$2:D875,D875)*7,10)&lt;3,"teste","treino"))</f>
        <v/>
      </c>
      <c r="N875" s="16"/>
      <c r="O875" s="16"/>
      <c r="P875" s="16"/>
      <c r="Q875" s="17"/>
    </row>
    <row r="876" customFormat="false" ht="15" hidden="false" customHeight="false" outlineLevel="0" collapsed="false">
      <c r="A876" s="15" t="str">
        <f aca="false">IF(B876="","",ROW()-1)</f>
        <v/>
      </c>
      <c r="B876" s="16"/>
      <c r="C876" s="16"/>
      <c r="D876" s="16"/>
      <c r="E876" s="16"/>
      <c r="F876" s="17"/>
      <c r="G876" s="16"/>
      <c r="H876" s="16"/>
      <c r="I876" s="16"/>
      <c r="J876" s="16"/>
      <c r="K876" s="16"/>
      <c r="L876" s="16"/>
      <c r="M876" s="18" t="str">
        <f aca="false">IF(OR(C876="",D876=""),"",IF(MOD(COUNTIFS($C$2:C876,C876,$D$2:D876,D876)*7,10)&lt;3,"teste","treino"))</f>
        <v/>
      </c>
      <c r="N876" s="16"/>
      <c r="O876" s="16"/>
      <c r="P876" s="16"/>
      <c r="Q876" s="17"/>
    </row>
    <row r="877" customFormat="false" ht="15" hidden="false" customHeight="false" outlineLevel="0" collapsed="false">
      <c r="A877" s="15" t="str">
        <f aca="false">IF(B877="","",ROW()-1)</f>
        <v/>
      </c>
      <c r="B877" s="16"/>
      <c r="C877" s="16"/>
      <c r="D877" s="16"/>
      <c r="E877" s="16"/>
      <c r="F877" s="17"/>
      <c r="G877" s="16"/>
      <c r="H877" s="16"/>
      <c r="I877" s="16"/>
      <c r="J877" s="16"/>
      <c r="K877" s="16"/>
      <c r="L877" s="16"/>
      <c r="M877" s="18" t="str">
        <f aca="false">IF(OR(C877="",D877=""),"",IF(MOD(COUNTIFS($C$2:C877,C877,$D$2:D877,D877)*7,10)&lt;3,"teste","treino"))</f>
        <v/>
      </c>
      <c r="N877" s="16"/>
      <c r="O877" s="16"/>
      <c r="P877" s="16"/>
      <c r="Q877" s="17"/>
    </row>
    <row r="878" customFormat="false" ht="15" hidden="false" customHeight="false" outlineLevel="0" collapsed="false">
      <c r="A878" s="15" t="str">
        <f aca="false">IF(B878="","",ROW()-1)</f>
        <v/>
      </c>
      <c r="B878" s="16"/>
      <c r="C878" s="16"/>
      <c r="D878" s="16"/>
      <c r="E878" s="16"/>
      <c r="F878" s="17"/>
      <c r="G878" s="16"/>
      <c r="H878" s="16"/>
      <c r="I878" s="16"/>
      <c r="J878" s="16"/>
      <c r="K878" s="16"/>
      <c r="L878" s="16"/>
      <c r="M878" s="18" t="str">
        <f aca="false">IF(OR(C878="",D878=""),"",IF(MOD(COUNTIFS($C$2:C878,C878,$D$2:D878,D878)*7,10)&lt;3,"teste","treino"))</f>
        <v/>
      </c>
      <c r="N878" s="16"/>
      <c r="O878" s="16"/>
      <c r="P878" s="16"/>
      <c r="Q878" s="17"/>
    </row>
    <row r="879" customFormat="false" ht="15" hidden="false" customHeight="false" outlineLevel="0" collapsed="false">
      <c r="A879" s="15" t="str">
        <f aca="false">IF(B879="","",ROW()-1)</f>
        <v/>
      </c>
      <c r="B879" s="16"/>
      <c r="C879" s="16"/>
      <c r="D879" s="16"/>
      <c r="E879" s="16"/>
      <c r="F879" s="17"/>
      <c r="G879" s="16"/>
      <c r="H879" s="16"/>
      <c r="I879" s="16"/>
      <c r="J879" s="16"/>
      <c r="K879" s="16"/>
      <c r="L879" s="16"/>
      <c r="M879" s="18" t="str">
        <f aca="false">IF(OR(C879="",D879=""),"",IF(MOD(COUNTIFS($C$2:C879,C879,$D$2:D879,D879)*7,10)&lt;3,"teste","treino"))</f>
        <v/>
      </c>
      <c r="N879" s="16"/>
      <c r="O879" s="16"/>
      <c r="P879" s="16"/>
      <c r="Q879" s="17"/>
    </row>
    <row r="880" customFormat="false" ht="15" hidden="false" customHeight="false" outlineLevel="0" collapsed="false">
      <c r="A880" s="15" t="str">
        <f aca="false">IF(B880="","",ROW()-1)</f>
        <v/>
      </c>
      <c r="B880" s="16"/>
      <c r="C880" s="16"/>
      <c r="D880" s="16"/>
      <c r="E880" s="16"/>
      <c r="F880" s="17"/>
      <c r="G880" s="16"/>
      <c r="H880" s="16"/>
      <c r="I880" s="16"/>
      <c r="J880" s="16"/>
      <c r="K880" s="16"/>
      <c r="L880" s="16"/>
      <c r="M880" s="18" t="str">
        <f aca="false">IF(OR(C880="",D880=""),"",IF(MOD(COUNTIFS($C$2:C880,C880,$D$2:D880,D880)*7,10)&lt;3,"teste","treino"))</f>
        <v/>
      </c>
      <c r="N880" s="16"/>
      <c r="O880" s="16"/>
      <c r="P880" s="16"/>
      <c r="Q880" s="17"/>
    </row>
    <row r="881" customFormat="false" ht="15" hidden="false" customHeight="false" outlineLevel="0" collapsed="false">
      <c r="A881" s="15" t="str">
        <f aca="false">IF(B881="","",ROW()-1)</f>
        <v/>
      </c>
      <c r="B881" s="16"/>
      <c r="C881" s="16"/>
      <c r="D881" s="16"/>
      <c r="E881" s="16"/>
      <c r="F881" s="17"/>
      <c r="G881" s="16"/>
      <c r="H881" s="16"/>
      <c r="I881" s="16"/>
      <c r="J881" s="16"/>
      <c r="K881" s="16"/>
      <c r="L881" s="16"/>
      <c r="M881" s="18" t="str">
        <f aca="false">IF(OR(C881="",D881=""),"",IF(MOD(COUNTIFS($C$2:C881,C881,$D$2:D881,D881)*7,10)&lt;3,"teste","treino"))</f>
        <v/>
      </c>
      <c r="N881" s="16"/>
      <c r="O881" s="16"/>
      <c r="P881" s="16"/>
      <c r="Q881" s="17"/>
    </row>
    <row r="882" customFormat="false" ht="15" hidden="false" customHeight="false" outlineLevel="0" collapsed="false">
      <c r="A882" s="15" t="str">
        <f aca="false">IF(B882="","",ROW()-1)</f>
        <v/>
      </c>
      <c r="B882" s="16"/>
      <c r="C882" s="16"/>
      <c r="D882" s="16"/>
      <c r="E882" s="16"/>
      <c r="F882" s="17"/>
      <c r="G882" s="16"/>
      <c r="H882" s="16"/>
      <c r="I882" s="16"/>
      <c r="J882" s="16"/>
      <c r="K882" s="16"/>
      <c r="L882" s="16"/>
      <c r="M882" s="18" t="str">
        <f aca="false">IF(OR(C882="",D882=""),"",IF(MOD(COUNTIFS($C$2:C882,C882,$D$2:D882,D882)*7,10)&lt;3,"teste","treino"))</f>
        <v/>
      </c>
      <c r="N882" s="16"/>
      <c r="O882" s="16"/>
      <c r="P882" s="16"/>
      <c r="Q882" s="17"/>
    </row>
    <row r="883" customFormat="false" ht="15" hidden="false" customHeight="false" outlineLevel="0" collapsed="false">
      <c r="A883" s="15" t="str">
        <f aca="false">IF(B883="","",ROW()-1)</f>
        <v/>
      </c>
      <c r="B883" s="16"/>
      <c r="C883" s="16"/>
      <c r="D883" s="16"/>
      <c r="E883" s="16"/>
      <c r="F883" s="17"/>
      <c r="G883" s="16"/>
      <c r="H883" s="16"/>
      <c r="I883" s="16"/>
      <c r="J883" s="16"/>
      <c r="K883" s="16"/>
      <c r="L883" s="16"/>
      <c r="M883" s="18" t="str">
        <f aca="false">IF(OR(C883="",D883=""),"",IF(MOD(COUNTIFS($C$2:C883,C883,$D$2:D883,D883)*7,10)&lt;3,"teste","treino"))</f>
        <v/>
      </c>
      <c r="N883" s="16"/>
      <c r="O883" s="16"/>
      <c r="P883" s="16"/>
      <c r="Q883" s="17"/>
    </row>
    <row r="884" customFormat="false" ht="15" hidden="false" customHeight="false" outlineLevel="0" collapsed="false">
      <c r="A884" s="15" t="str">
        <f aca="false">IF(B884="","",ROW()-1)</f>
        <v/>
      </c>
      <c r="B884" s="16"/>
      <c r="C884" s="16"/>
      <c r="D884" s="16"/>
      <c r="E884" s="16"/>
      <c r="F884" s="17"/>
      <c r="G884" s="16"/>
      <c r="H884" s="16"/>
      <c r="I884" s="16"/>
      <c r="J884" s="16"/>
      <c r="K884" s="16"/>
      <c r="L884" s="16"/>
      <c r="M884" s="18" t="str">
        <f aca="false">IF(OR(C884="",D884=""),"",IF(MOD(COUNTIFS($C$2:C884,C884,$D$2:D884,D884)*7,10)&lt;3,"teste","treino"))</f>
        <v/>
      </c>
      <c r="N884" s="16"/>
      <c r="O884" s="16"/>
      <c r="P884" s="16"/>
      <c r="Q884" s="17"/>
    </row>
    <row r="885" customFormat="false" ht="15" hidden="false" customHeight="false" outlineLevel="0" collapsed="false">
      <c r="A885" s="15" t="str">
        <f aca="false">IF(B885="","",ROW()-1)</f>
        <v/>
      </c>
      <c r="B885" s="16"/>
      <c r="C885" s="16"/>
      <c r="D885" s="16"/>
      <c r="E885" s="16"/>
      <c r="F885" s="17"/>
      <c r="G885" s="16"/>
      <c r="H885" s="16"/>
      <c r="I885" s="16"/>
      <c r="J885" s="16"/>
      <c r="K885" s="16"/>
      <c r="L885" s="16"/>
      <c r="M885" s="18" t="str">
        <f aca="false">IF(OR(C885="",D885=""),"",IF(MOD(COUNTIFS($C$2:C885,C885,$D$2:D885,D885)*7,10)&lt;3,"teste","treino"))</f>
        <v/>
      </c>
      <c r="N885" s="16"/>
      <c r="O885" s="16"/>
      <c r="P885" s="16"/>
      <c r="Q885" s="17"/>
    </row>
    <row r="886" customFormat="false" ht="15" hidden="false" customHeight="false" outlineLevel="0" collapsed="false">
      <c r="A886" s="15" t="str">
        <f aca="false">IF(B886="","",ROW()-1)</f>
        <v/>
      </c>
      <c r="B886" s="16"/>
      <c r="C886" s="16"/>
      <c r="D886" s="16"/>
      <c r="E886" s="16"/>
      <c r="F886" s="17"/>
      <c r="G886" s="16"/>
      <c r="H886" s="16"/>
      <c r="I886" s="16"/>
      <c r="J886" s="16"/>
      <c r="K886" s="16"/>
      <c r="L886" s="16"/>
      <c r="M886" s="18" t="str">
        <f aca="false">IF(OR(C886="",D886=""),"",IF(MOD(COUNTIFS($C$2:C886,C886,$D$2:D886,D886)*7,10)&lt;3,"teste","treino"))</f>
        <v/>
      </c>
      <c r="N886" s="16"/>
      <c r="O886" s="16"/>
      <c r="P886" s="16"/>
      <c r="Q886" s="17"/>
    </row>
    <row r="887" customFormat="false" ht="15" hidden="false" customHeight="false" outlineLevel="0" collapsed="false">
      <c r="A887" s="15" t="str">
        <f aca="false">IF(B887="","",ROW()-1)</f>
        <v/>
      </c>
      <c r="B887" s="16"/>
      <c r="C887" s="16"/>
      <c r="D887" s="16"/>
      <c r="E887" s="16"/>
      <c r="F887" s="17"/>
      <c r="G887" s="16"/>
      <c r="H887" s="16"/>
      <c r="I887" s="16"/>
      <c r="J887" s="16"/>
      <c r="K887" s="16"/>
      <c r="L887" s="16"/>
      <c r="M887" s="18" t="str">
        <f aca="false">IF(OR(C887="",D887=""),"",IF(MOD(COUNTIFS($C$2:C887,C887,$D$2:D887,D887)*7,10)&lt;3,"teste","treino"))</f>
        <v/>
      </c>
      <c r="N887" s="16"/>
      <c r="O887" s="16"/>
      <c r="P887" s="16"/>
      <c r="Q887" s="17"/>
    </row>
    <row r="888" customFormat="false" ht="15" hidden="false" customHeight="false" outlineLevel="0" collapsed="false">
      <c r="A888" s="15" t="str">
        <f aca="false">IF(B888="","",ROW()-1)</f>
        <v/>
      </c>
      <c r="B888" s="16"/>
      <c r="C888" s="16"/>
      <c r="D888" s="16"/>
      <c r="E888" s="16"/>
      <c r="F888" s="17"/>
      <c r="G888" s="16"/>
      <c r="H888" s="16"/>
      <c r="I888" s="16"/>
      <c r="J888" s="16"/>
      <c r="K888" s="16"/>
      <c r="L888" s="16"/>
      <c r="M888" s="18" t="str">
        <f aca="false">IF(OR(C888="",D888=""),"",IF(MOD(COUNTIFS($C$2:C888,C888,$D$2:D888,D888)*7,10)&lt;3,"teste","treino"))</f>
        <v/>
      </c>
      <c r="N888" s="16"/>
      <c r="O888" s="16"/>
      <c r="P888" s="16"/>
      <c r="Q888" s="17"/>
    </row>
    <row r="889" customFormat="false" ht="15" hidden="false" customHeight="false" outlineLevel="0" collapsed="false">
      <c r="A889" s="15" t="str">
        <f aca="false">IF(B889="","",ROW()-1)</f>
        <v/>
      </c>
      <c r="B889" s="16"/>
      <c r="C889" s="16"/>
      <c r="D889" s="16"/>
      <c r="E889" s="16"/>
      <c r="F889" s="17"/>
      <c r="G889" s="16"/>
      <c r="H889" s="16"/>
      <c r="I889" s="16"/>
      <c r="J889" s="16"/>
      <c r="K889" s="16"/>
      <c r="L889" s="16"/>
      <c r="M889" s="18" t="str">
        <f aca="false">IF(OR(C889="",D889=""),"",IF(MOD(COUNTIFS($C$2:C889,C889,$D$2:D889,D889)*7,10)&lt;3,"teste","treino"))</f>
        <v/>
      </c>
      <c r="N889" s="16"/>
      <c r="O889" s="16"/>
      <c r="P889" s="16"/>
      <c r="Q889" s="17"/>
    </row>
    <row r="890" customFormat="false" ht="15" hidden="false" customHeight="false" outlineLevel="0" collapsed="false">
      <c r="A890" s="15" t="str">
        <f aca="false">IF(B890="","",ROW()-1)</f>
        <v/>
      </c>
      <c r="B890" s="16"/>
      <c r="C890" s="16"/>
      <c r="D890" s="16"/>
      <c r="E890" s="16"/>
      <c r="F890" s="17"/>
      <c r="G890" s="16"/>
      <c r="H890" s="16"/>
      <c r="I890" s="16"/>
      <c r="J890" s="16"/>
      <c r="K890" s="16"/>
      <c r="L890" s="16"/>
      <c r="M890" s="18" t="str">
        <f aca="false">IF(OR(C890="",D890=""),"",IF(MOD(COUNTIFS($C$2:C890,C890,$D$2:D890,D890)*7,10)&lt;3,"teste","treino"))</f>
        <v/>
      </c>
      <c r="N890" s="16"/>
      <c r="O890" s="16"/>
      <c r="P890" s="16"/>
      <c r="Q890" s="17"/>
    </row>
    <row r="891" customFormat="false" ht="15" hidden="false" customHeight="false" outlineLevel="0" collapsed="false">
      <c r="A891" s="15" t="str">
        <f aca="false">IF(B891="","",ROW()-1)</f>
        <v/>
      </c>
      <c r="B891" s="16"/>
      <c r="C891" s="16"/>
      <c r="D891" s="16"/>
      <c r="E891" s="16"/>
      <c r="F891" s="17"/>
      <c r="G891" s="16"/>
      <c r="H891" s="16"/>
      <c r="I891" s="16"/>
      <c r="J891" s="16"/>
      <c r="K891" s="16"/>
      <c r="L891" s="16"/>
      <c r="M891" s="18" t="str">
        <f aca="false">IF(OR(C891="",D891=""),"",IF(MOD(COUNTIFS($C$2:C891,C891,$D$2:D891,D891)*7,10)&lt;3,"teste","treino"))</f>
        <v/>
      </c>
      <c r="N891" s="16"/>
      <c r="O891" s="16"/>
      <c r="P891" s="16"/>
      <c r="Q891" s="17"/>
    </row>
    <row r="892" customFormat="false" ht="15" hidden="false" customHeight="false" outlineLevel="0" collapsed="false">
      <c r="A892" s="15" t="str">
        <f aca="false">IF(B892="","",ROW()-1)</f>
        <v/>
      </c>
      <c r="B892" s="16"/>
      <c r="C892" s="16"/>
      <c r="D892" s="16"/>
      <c r="E892" s="16"/>
      <c r="F892" s="17"/>
      <c r="G892" s="16"/>
      <c r="H892" s="16"/>
      <c r="I892" s="16"/>
      <c r="J892" s="16"/>
      <c r="K892" s="16"/>
      <c r="L892" s="16"/>
      <c r="M892" s="18" t="str">
        <f aca="false">IF(OR(C892="",D892=""),"",IF(MOD(COUNTIFS($C$2:C892,C892,$D$2:D892,D892)*7,10)&lt;3,"teste","treino"))</f>
        <v/>
      </c>
      <c r="N892" s="16"/>
      <c r="O892" s="16"/>
      <c r="P892" s="16"/>
      <c r="Q892" s="17"/>
    </row>
    <row r="893" customFormat="false" ht="15" hidden="false" customHeight="false" outlineLevel="0" collapsed="false">
      <c r="A893" s="15" t="str">
        <f aca="false">IF(B893="","",ROW()-1)</f>
        <v/>
      </c>
      <c r="B893" s="16"/>
      <c r="C893" s="16"/>
      <c r="D893" s="16"/>
      <c r="E893" s="16"/>
      <c r="F893" s="17"/>
      <c r="G893" s="16"/>
      <c r="H893" s="16"/>
      <c r="I893" s="16"/>
      <c r="J893" s="16"/>
      <c r="K893" s="16"/>
      <c r="L893" s="16"/>
      <c r="M893" s="18" t="str">
        <f aca="false">IF(OR(C893="",D893=""),"",IF(MOD(COUNTIFS($C$2:C893,C893,$D$2:D893,D893)*7,10)&lt;3,"teste","treino"))</f>
        <v/>
      </c>
      <c r="N893" s="16"/>
      <c r="O893" s="16"/>
      <c r="P893" s="16"/>
      <c r="Q893" s="17"/>
    </row>
    <row r="894" customFormat="false" ht="15" hidden="false" customHeight="false" outlineLevel="0" collapsed="false">
      <c r="A894" s="15" t="str">
        <f aca="false">IF(B894="","",ROW()-1)</f>
        <v/>
      </c>
      <c r="B894" s="16"/>
      <c r="C894" s="16"/>
      <c r="D894" s="16"/>
      <c r="E894" s="16"/>
      <c r="F894" s="17"/>
      <c r="G894" s="16"/>
      <c r="H894" s="16"/>
      <c r="I894" s="16"/>
      <c r="J894" s="16"/>
      <c r="K894" s="16"/>
      <c r="L894" s="16"/>
      <c r="M894" s="18" t="str">
        <f aca="false">IF(OR(C894="",D894=""),"",IF(MOD(COUNTIFS($C$2:C894,C894,$D$2:D894,D894)*7,10)&lt;3,"teste","treino"))</f>
        <v/>
      </c>
      <c r="N894" s="16"/>
      <c r="O894" s="16"/>
      <c r="P894" s="16"/>
      <c r="Q894" s="17"/>
    </row>
    <row r="895" customFormat="false" ht="15" hidden="false" customHeight="false" outlineLevel="0" collapsed="false">
      <c r="A895" s="15" t="str">
        <f aca="false">IF(B895="","",ROW()-1)</f>
        <v/>
      </c>
      <c r="B895" s="16"/>
      <c r="C895" s="16"/>
      <c r="D895" s="16"/>
      <c r="E895" s="16"/>
      <c r="F895" s="17"/>
      <c r="G895" s="16"/>
      <c r="H895" s="16"/>
      <c r="I895" s="16"/>
      <c r="J895" s="16"/>
      <c r="K895" s="16"/>
      <c r="L895" s="16"/>
      <c r="M895" s="18" t="str">
        <f aca="false">IF(OR(C895="",D895=""),"",IF(MOD(COUNTIFS($C$2:C895,C895,$D$2:D895,D895)*7,10)&lt;3,"teste","treino"))</f>
        <v/>
      </c>
      <c r="N895" s="16"/>
      <c r="O895" s="16"/>
      <c r="P895" s="16"/>
      <c r="Q895" s="17"/>
    </row>
    <row r="896" customFormat="false" ht="15" hidden="false" customHeight="false" outlineLevel="0" collapsed="false">
      <c r="A896" s="15" t="str">
        <f aca="false">IF(B896="","",ROW()-1)</f>
        <v/>
      </c>
      <c r="B896" s="16"/>
      <c r="C896" s="16"/>
      <c r="D896" s="16"/>
      <c r="E896" s="16"/>
      <c r="F896" s="17"/>
      <c r="G896" s="16"/>
      <c r="H896" s="16"/>
      <c r="I896" s="16"/>
      <c r="J896" s="16"/>
      <c r="K896" s="16"/>
      <c r="L896" s="16"/>
      <c r="M896" s="18" t="str">
        <f aca="false">IF(OR(C896="",D896=""),"",IF(MOD(COUNTIFS($C$2:C896,C896,$D$2:D896,D896)*7,10)&lt;3,"teste","treino"))</f>
        <v/>
      </c>
      <c r="N896" s="16"/>
      <c r="O896" s="16"/>
      <c r="P896" s="16"/>
      <c r="Q896" s="17"/>
    </row>
    <row r="897" customFormat="false" ht="15" hidden="false" customHeight="false" outlineLevel="0" collapsed="false">
      <c r="A897" s="15" t="str">
        <f aca="false">IF(B897="","",ROW()-1)</f>
        <v/>
      </c>
      <c r="B897" s="16"/>
      <c r="C897" s="16"/>
      <c r="D897" s="16"/>
      <c r="E897" s="16"/>
      <c r="F897" s="17"/>
      <c r="G897" s="16"/>
      <c r="H897" s="16"/>
      <c r="I897" s="16"/>
      <c r="J897" s="16"/>
      <c r="K897" s="16"/>
      <c r="L897" s="16"/>
      <c r="M897" s="18" t="str">
        <f aca="false">IF(OR(C897="",D897=""),"",IF(MOD(COUNTIFS($C$2:C897,C897,$D$2:D897,D897)*7,10)&lt;3,"teste","treino"))</f>
        <v/>
      </c>
      <c r="N897" s="16"/>
      <c r="O897" s="16"/>
      <c r="P897" s="16"/>
      <c r="Q897" s="17"/>
    </row>
    <row r="898" customFormat="false" ht="15" hidden="false" customHeight="false" outlineLevel="0" collapsed="false">
      <c r="A898" s="15" t="str">
        <f aca="false">IF(B898="","",ROW()-1)</f>
        <v/>
      </c>
      <c r="B898" s="16"/>
      <c r="C898" s="16"/>
      <c r="D898" s="16"/>
      <c r="E898" s="16"/>
      <c r="F898" s="17"/>
      <c r="G898" s="16"/>
      <c r="H898" s="16"/>
      <c r="I898" s="16"/>
      <c r="J898" s="16"/>
      <c r="K898" s="16"/>
      <c r="L898" s="16"/>
      <c r="M898" s="18" t="str">
        <f aca="false">IF(OR(C898="",D898=""),"",IF(MOD(COUNTIFS($C$2:C898,C898,$D$2:D898,D898)*7,10)&lt;3,"teste","treino"))</f>
        <v/>
      </c>
      <c r="N898" s="16"/>
      <c r="O898" s="16"/>
      <c r="P898" s="16"/>
      <c r="Q898" s="17"/>
    </row>
    <row r="899" customFormat="false" ht="15" hidden="false" customHeight="false" outlineLevel="0" collapsed="false">
      <c r="A899" s="15" t="str">
        <f aca="false">IF(B899="","",ROW()-1)</f>
        <v/>
      </c>
      <c r="B899" s="16"/>
      <c r="C899" s="16"/>
      <c r="D899" s="16"/>
      <c r="E899" s="16"/>
      <c r="F899" s="17"/>
      <c r="G899" s="16"/>
      <c r="H899" s="16"/>
      <c r="I899" s="16"/>
      <c r="J899" s="16"/>
      <c r="K899" s="16"/>
      <c r="L899" s="16"/>
      <c r="M899" s="18" t="str">
        <f aca="false">IF(OR(C899="",D899=""),"",IF(MOD(COUNTIFS($C$2:C899,C899,$D$2:D899,D899)*7,10)&lt;3,"teste","treino"))</f>
        <v/>
      </c>
      <c r="N899" s="16"/>
      <c r="O899" s="16"/>
      <c r="P899" s="16"/>
      <c r="Q899" s="17"/>
    </row>
    <row r="900" customFormat="false" ht="15" hidden="false" customHeight="false" outlineLevel="0" collapsed="false">
      <c r="A900" s="15" t="str">
        <f aca="false">IF(B900="","",ROW()-1)</f>
        <v/>
      </c>
      <c r="B900" s="16"/>
      <c r="C900" s="16"/>
      <c r="D900" s="16"/>
      <c r="E900" s="16"/>
      <c r="F900" s="17"/>
      <c r="G900" s="16"/>
      <c r="H900" s="16"/>
      <c r="I900" s="16"/>
      <c r="J900" s="16"/>
      <c r="K900" s="16"/>
      <c r="L900" s="16"/>
      <c r="M900" s="18" t="str">
        <f aca="false">IF(OR(C900="",D900=""),"",IF(MOD(COUNTIFS($C$2:C900,C900,$D$2:D900,D900)*7,10)&lt;3,"teste","treino"))</f>
        <v/>
      </c>
      <c r="N900" s="16"/>
      <c r="O900" s="16"/>
      <c r="P900" s="16"/>
      <c r="Q900" s="17"/>
    </row>
    <row r="901" customFormat="false" ht="15" hidden="false" customHeight="false" outlineLevel="0" collapsed="false">
      <c r="A901" s="15" t="str">
        <f aca="false">IF(B901="","",ROW()-1)</f>
        <v/>
      </c>
      <c r="B901" s="16"/>
      <c r="C901" s="16"/>
      <c r="D901" s="16"/>
      <c r="E901" s="16"/>
      <c r="F901" s="17"/>
      <c r="G901" s="16"/>
      <c r="H901" s="16"/>
      <c r="I901" s="16"/>
      <c r="J901" s="16"/>
      <c r="K901" s="16"/>
      <c r="L901" s="16"/>
      <c r="M901" s="18" t="str">
        <f aca="false">IF(OR(C901="",D901=""),"",IF(MOD(COUNTIFS($C$2:C901,C901,$D$2:D901,D901)*7,10)&lt;3,"teste","treino"))</f>
        <v/>
      </c>
      <c r="N901" s="16"/>
      <c r="O901" s="16"/>
      <c r="P901" s="16"/>
      <c r="Q901" s="17"/>
    </row>
    <row r="902" customFormat="false" ht="15" hidden="false" customHeight="false" outlineLevel="0" collapsed="false">
      <c r="A902" s="15" t="str">
        <f aca="false">IF(B902="","",ROW()-1)</f>
        <v/>
      </c>
      <c r="B902" s="16"/>
      <c r="C902" s="16"/>
      <c r="D902" s="16"/>
      <c r="E902" s="16"/>
      <c r="F902" s="17"/>
      <c r="G902" s="16"/>
      <c r="H902" s="16"/>
      <c r="I902" s="16"/>
      <c r="J902" s="16"/>
      <c r="K902" s="16"/>
      <c r="L902" s="16"/>
      <c r="M902" s="18" t="str">
        <f aca="false">IF(OR(C902="",D902=""),"",IF(MOD(COUNTIFS($C$2:C902,C902,$D$2:D902,D902)*7,10)&lt;3,"teste","treino"))</f>
        <v/>
      </c>
      <c r="N902" s="16"/>
      <c r="O902" s="16"/>
      <c r="P902" s="16"/>
      <c r="Q902" s="17"/>
    </row>
    <row r="903" customFormat="false" ht="15" hidden="false" customHeight="false" outlineLevel="0" collapsed="false">
      <c r="A903" s="15" t="str">
        <f aca="false">IF(B903="","",ROW()-1)</f>
        <v/>
      </c>
      <c r="B903" s="16"/>
      <c r="C903" s="16"/>
      <c r="D903" s="16"/>
      <c r="E903" s="16"/>
      <c r="F903" s="17"/>
      <c r="G903" s="16"/>
      <c r="H903" s="16"/>
      <c r="I903" s="16"/>
      <c r="J903" s="16"/>
      <c r="K903" s="16"/>
      <c r="L903" s="16"/>
      <c r="M903" s="18" t="str">
        <f aca="false">IF(OR(C903="",D903=""),"",IF(MOD(COUNTIFS($C$2:C903,C903,$D$2:D903,D903)*7,10)&lt;3,"teste","treino"))</f>
        <v/>
      </c>
      <c r="N903" s="16"/>
      <c r="O903" s="16"/>
      <c r="P903" s="16"/>
      <c r="Q903" s="17"/>
    </row>
    <row r="904" customFormat="false" ht="15" hidden="false" customHeight="false" outlineLevel="0" collapsed="false">
      <c r="A904" s="15" t="str">
        <f aca="false">IF(B904="","",ROW()-1)</f>
        <v/>
      </c>
      <c r="B904" s="16"/>
      <c r="C904" s="16"/>
      <c r="D904" s="16"/>
      <c r="E904" s="16"/>
      <c r="F904" s="17"/>
      <c r="G904" s="16"/>
      <c r="H904" s="16"/>
      <c r="I904" s="16"/>
      <c r="J904" s="16"/>
      <c r="K904" s="16"/>
      <c r="L904" s="16"/>
      <c r="M904" s="18" t="str">
        <f aca="false">IF(OR(C904="",D904=""),"",IF(MOD(COUNTIFS($C$2:C904,C904,$D$2:D904,D904)*7,10)&lt;3,"teste","treino"))</f>
        <v/>
      </c>
      <c r="N904" s="16"/>
      <c r="O904" s="16"/>
      <c r="P904" s="16"/>
      <c r="Q904" s="17"/>
    </row>
    <row r="905" customFormat="false" ht="15" hidden="false" customHeight="false" outlineLevel="0" collapsed="false">
      <c r="A905" s="15" t="str">
        <f aca="false">IF(B905="","",ROW()-1)</f>
        <v/>
      </c>
      <c r="B905" s="16"/>
      <c r="C905" s="16"/>
      <c r="D905" s="16"/>
      <c r="E905" s="16"/>
      <c r="F905" s="17"/>
      <c r="G905" s="16"/>
      <c r="H905" s="16"/>
      <c r="I905" s="16"/>
      <c r="J905" s="16"/>
      <c r="K905" s="16"/>
      <c r="L905" s="16"/>
      <c r="M905" s="18" t="str">
        <f aca="false">IF(OR(C905="",D905=""),"",IF(MOD(COUNTIFS($C$2:C905,C905,$D$2:D905,D905)*7,10)&lt;3,"teste","treino"))</f>
        <v/>
      </c>
      <c r="N905" s="16"/>
      <c r="O905" s="16"/>
      <c r="P905" s="16"/>
      <c r="Q905" s="17"/>
    </row>
    <row r="906" customFormat="false" ht="15" hidden="false" customHeight="false" outlineLevel="0" collapsed="false">
      <c r="A906" s="15" t="str">
        <f aca="false">IF(B906="","",ROW()-1)</f>
        <v/>
      </c>
      <c r="B906" s="16"/>
      <c r="C906" s="16"/>
      <c r="D906" s="16"/>
      <c r="E906" s="16"/>
      <c r="F906" s="17"/>
      <c r="G906" s="16"/>
      <c r="H906" s="16"/>
      <c r="I906" s="16"/>
      <c r="J906" s="16"/>
      <c r="K906" s="16"/>
      <c r="L906" s="16"/>
      <c r="M906" s="18" t="str">
        <f aca="false">IF(OR(C906="",D906=""),"",IF(MOD(COUNTIFS($C$2:C906,C906,$D$2:D906,D906)*7,10)&lt;3,"teste","treino"))</f>
        <v/>
      </c>
      <c r="N906" s="16"/>
      <c r="O906" s="16"/>
      <c r="P906" s="16"/>
      <c r="Q906" s="17"/>
    </row>
    <row r="907" customFormat="false" ht="15" hidden="false" customHeight="false" outlineLevel="0" collapsed="false">
      <c r="A907" s="15" t="str">
        <f aca="false">IF(B907="","",ROW()-1)</f>
        <v/>
      </c>
      <c r="B907" s="16"/>
      <c r="C907" s="16"/>
      <c r="D907" s="16"/>
      <c r="E907" s="16"/>
      <c r="F907" s="17"/>
      <c r="G907" s="16"/>
      <c r="H907" s="16"/>
      <c r="I907" s="16"/>
      <c r="J907" s="16"/>
      <c r="K907" s="16"/>
      <c r="L907" s="16"/>
      <c r="M907" s="18" t="str">
        <f aca="false">IF(OR(C907="",D907=""),"",IF(MOD(COUNTIFS($C$2:C907,C907,$D$2:D907,D907)*7,10)&lt;3,"teste","treino"))</f>
        <v/>
      </c>
      <c r="N907" s="16"/>
      <c r="O907" s="16"/>
      <c r="P907" s="16"/>
      <c r="Q907" s="17"/>
    </row>
    <row r="908" customFormat="false" ht="15" hidden="false" customHeight="false" outlineLevel="0" collapsed="false">
      <c r="A908" s="15" t="str">
        <f aca="false">IF(B908="","",ROW()-1)</f>
        <v/>
      </c>
      <c r="B908" s="16"/>
      <c r="C908" s="16"/>
      <c r="D908" s="16"/>
      <c r="E908" s="16"/>
      <c r="F908" s="17"/>
      <c r="G908" s="16"/>
      <c r="H908" s="16"/>
      <c r="I908" s="16"/>
      <c r="J908" s="16"/>
      <c r="K908" s="16"/>
      <c r="L908" s="16"/>
      <c r="M908" s="18" t="str">
        <f aca="false">IF(OR(C908="",D908=""),"",IF(MOD(COUNTIFS($C$2:C908,C908,$D$2:D908,D908)*7,10)&lt;3,"teste","treino"))</f>
        <v/>
      </c>
      <c r="N908" s="16"/>
      <c r="O908" s="16"/>
      <c r="P908" s="16"/>
      <c r="Q908" s="17"/>
    </row>
    <row r="909" customFormat="false" ht="15" hidden="false" customHeight="false" outlineLevel="0" collapsed="false">
      <c r="A909" s="15" t="str">
        <f aca="false">IF(B909="","",ROW()-1)</f>
        <v/>
      </c>
      <c r="B909" s="16"/>
      <c r="C909" s="16"/>
      <c r="D909" s="16"/>
      <c r="E909" s="16"/>
      <c r="F909" s="17"/>
      <c r="G909" s="16"/>
      <c r="H909" s="16"/>
      <c r="I909" s="16"/>
      <c r="J909" s="16"/>
      <c r="K909" s="16"/>
      <c r="L909" s="16"/>
      <c r="M909" s="18" t="str">
        <f aca="false">IF(OR(C909="",D909=""),"",IF(MOD(COUNTIFS($C$2:C909,C909,$D$2:D909,D909)*7,10)&lt;3,"teste","treino"))</f>
        <v/>
      </c>
      <c r="N909" s="16"/>
      <c r="O909" s="16"/>
      <c r="P909" s="16"/>
      <c r="Q909" s="17"/>
    </row>
    <row r="910" customFormat="false" ht="15" hidden="false" customHeight="false" outlineLevel="0" collapsed="false">
      <c r="A910" s="15" t="str">
        <f aca="false">IF(B910="","",ROW()-1)</f>
        <v/>
      </c>
      <c r="B910" s="16"/>
      <c r="C910" s="16"/>
      <c r="D910" s="16"/>
      <c r="E910" s="16"/>
      <c r="F910" s="17"/>
      <c r="G910" s="16"/>
      <c r="H910" s="16"/>
      <c r="I910" s="16"/>
      <c r="J910" s="16"/>
      <c r="K910" s="16"/>
      <c r="L910" s="16"/>
      <c r="M910" s="18" t="str">
        <f aca="false">IF(OR(C910="",D910=""),"",IF(MOD(COUNTIFS($C$2:C910,C910,$D$2:D910,D910)*7,10)&lt;3,"teste","treino"))</f>
        <v/>
      </c>
      <c r="N910" s="16"/>
      <c r="O910" s="16"/>
      <c r="P910" s="16"/>
      <c r="Q910" s="17"/>
    </row>
    <row r="911" customFormat="false" ht="15" hidden="false" customHeight="false" outlineLevel="0" collapsed="false">
      <c r="A911" s="15" t="str">
        <f aca="false">IF(B911="","",ROW()-1)</f>
        <v/>
      </c>
      <c r="B911" s="16"/>
      <c r="C911" s="16"/>
      <c r="D911" s="16"/>
      <c r="E911" s="16"/>
      <c r="F911" s="17"/>
      <c r="G911" s="16"/>
      <c r="H911" s="16"/>
      <c r="I911" s="16"/>
      <c r="J911" s="16"/>
      <c r="K911" s="16"/>
      <c r="L911" s="16"/>
      <c r="M911" s="18" t="str">
        <f aca="false">IF(OR(C911="",D911=""),"",IF(MOD(COUNTIFS($C$2:C911,C911,$D$2:D911,D911)*7,10)&lt;3,"teste","treino"))</f>
        <v/>
      </c>
      <c r="N911" s="16"/>
      <c r="O911" s="16"/>
      <c r="P911" s="16"/>
      <c r="Q911" s="17"/>
    </row>
    <row r="912" customFormat="false" ht="15" hidden="false" customHeight="false" outlineLevel="0" collapsed="false">
      <c r="A912" s="15" t="str">
        <f aca="false">IF(B912="","",ROW()-1)</f>
        <v/>
      </c>
      <c r="B912" s="16"/>
      <c r="C912" s="16"/>
      <c r="D912" s="16"/>
      <c r="E912" s="16"/>
      <c r="F912" s="17"/>
      <c r="G912" s="16"/>
      <c r="H912" s="16"/>
      <c r="I912" s="16"/>
      <c r="J912" s="16"/>
      <c r="K912" s="16"/>
      <c r="L912" s="16"/>
      <c r="M912" s="18" t="str">
        <f aca="false">IF(OR(C912="",D912=""),"",IF(MOD(COUNTIFS($C$2:C912,C912,$D$2:D912,D912)*7,10)&lt;3,"teste","treino"))</f>
        <v/>
      </c>
      <c r="N912" s="16"/>
      <c r="O912" s="16"/>
      <c r="P912" s="16"/>
      <c r="Q912" s="17"/>
    </row>
    <row r="913" customFormat="false" ht="15" hidden="false" customHeight="false" outlineLevel="0" collapsed="false">
      <c r="A913" s="15" t="str">
        <f aca="false">IF(B913="","",ROW()-1)</f>
        <v/>
      </c>
      <c r="B913" s="16"/>
      <c r="C913" s="16"/>
      <c r="D913" s="16"/>
      <c r="E913" s="16"/>
      <c r="F913" s="17"/>
      <c r="G913" s="16"/>
      <c r="H913" s="16"/>
      <c r="I913" s="16"/>
      <c r="J913" s="16"/>
      <c r="K913" s="16"/>
      <c r="L913" s="16"/>
      <c r="M913" s="18" t="str">
        <f aca="false">IF(OR(C913="",D913=""),"",IF(MOD(COUNTIFS($C$2:C913,C913,$D$2:D913,D913)*7,10)&lt;3,"teste","treino"))</f>
        <v/>
      </c>
      <c r="N913" s="16"/>
      <c r="O913" s="16"/>
      <c r="P913" s="16"/>
      <c r="Q913" s="17"/>
    </row>
    <row r="914" customFormat="false" ht="15" hidden="false" customHeight="false" outlineLevel="0" collapsed="false">
      <c r="A914" s="15" t="str">
        <f aca="false">IF(B914="","",ROW()-1)</f>
        <v/>
      </c>
      <c r="B914" s="16"/>
      <c r="C914" s="16"/>
      <c r="D914" s="16"/>
      <c r="E914" s="16"/>
      <c r="F914" s="17"/>
      <c r="G914" s="16"/>
      <c r="H914" s="16"/>
      <c r="I914" s="16"/>
      <c r="J914" s="16"/>
      <c r="K914" s="16"/>
      <c r="L914" s="16"/>
      <c r="M914" s="18" t="str">
        <f aca="false">IF(OR(C914="",D914=""),"",IF(MOD(COUNTIFS($C$2:C914,C914,$D$2:D914,D914)*7,10)&lt;3,"teste","treino"))</f>
        <v/>
      </c>
      <c r="N914" s="16"/>
      <c r="O914" s="16"/>
      <c r="P914" s="16"/>
      <c r="Q914" s="17"/>
    </row>
    <row r="915" customFormat="false" ht="15" hidden="false" customHeight="false" outlineLevel="0" collapsed="false">
      <c r="A915" s="15" t="str">
        <f aca="false">IF(B915="","",ROW()-1)</f>
        <v/>
      </c>
      <c r="B915" s="16"/>
      <c r="C915" s="16"/>
      <c r="D915" s="16"/>
      <c r="E915" s="16"/>
      <c r="F915" s="17"/>
      <c r="G915" s="16"/>
      <c r="H915" s="16"/>
      <c r="I915" s="16"/>
      <c r="J915" s="16"/>
      <c r="K915" s="16"/>
      <c r="L915" s="16"/>
      <c r="M915" s="18" t="str">
        <f aca="false">IF(OR(C915="",D915=""),"",IF(MOD(COUNTIFS($C$2:C915,C915,$D$2:D915,D915)*7,10)&lt;3,"teste","treino"))</f>
        <v/>
      </c>
      <c r="N915" s="16"/>
      <c r="O915" s="16"/>
      <c r="P915" s="16"/>
      <c r="Q915" s="17"/>
    </row>
    <row r="916" customFormat="false" ht="15" hidden="false" customHeight="false" outlineLevel="0" collapsed="false">
      <c r="A916" s="15" t="str">
        <f aca="false">IF(B916="","",ROW()-1)</f>
        <v/>
      </c>
      <c r="B916" s="16"/>
      <c r="C916" s="16"/>
      <c r="D916" s="16"/>
      <c r="E916" s="16"/>
      <c r="F916" s="17"/>
      <c r="G916" s="16"/>
      <c r="H916" s="16"/>
      <c r="I916" s="16"/>
      <c r="J916" s="16"/>
      <c r="K916" s="16"/>
      <c r="L916" s="16"/>
      <c r="M916" s="18" t="str">
        <f aca="false">IF(OR(C916="",D916=""),"",IF(MOD(COUNTIFS($C$2:C916,C916,$D$2:D916,D916)*7,10)&lt;3,"teste","treino"))</f>
        <v/>
      </c>
      <c r="N916" s="16"/>
      <c r="O916" s="16"/>
      <c r="P916" s="16"/>
      <c r="Q916" s="17"/>
    </row>
    <row r="917" customFormat="false" ht="15" hidden="false" customHeight="false" outlineLevel="0" collapsed="false">
      <c r="A917" s="15" t="str">
        <f aca="false">IF(B917="","",ROW()-1)</f>
        <v/>
      </c>
      <c r="B917" s="16"/>
      <c r="C917" s="16"/>
      <c r="D917" s="16"/>
      <c r="E917" s="16"/>
      <c r="F917" s="17"/>
      <c r="G917" s="16"/>
      <c r="H917" s="16"/>
      <c r="I917" s="16"/>
      <c r="J917" s="16"/>
      <c r="K917" s="16"/>
      <c r="L917" s="16"/>
      <c r="M917" s="18" t="str">
        <f aca="false">IF(OR(C917="",D917=""),"",IF(MOD(COUNTIFS($C$2:C917,C917,$D$2:D917,D917)*7,10)&lt;3,"teste","treino"))</f>
        <v/>
      </c>
      <c r="N917" s="16"/>
      <c r="O917" s="16"/>
      <c r="P917" s="16"/>
      <c r="Q917" s="17"/>
    </row>
    <row r="918" customFormat="false" ht="15" hidden="false" customHeight="false" outlineLevel="0" collapsed="false">
      <c r="A918" s="15" t="str">
        <f aca="false">IF(B918="","",ROW()-1)</f>
        <v/>
      </c>
      <c r="B918" s="16"/>
      <c r="C918" s="16"/>
      <c r="D918" s="16"/>
      <c r="E918" s="16"/>
      <c r="F918" s="17"/>
      <c r="G918" s="16"/>
      <c r="H918" s="16"/>
      <c r="I918" s="16"/>
      <c r="J918" s="16"/>
      <c r="K918" s="16"/>
      <c r="L918" s="16"/>
      <c r="M918" s="18" t="str">
        <f aca="false">IF(OR(C918="",D918=""),"",IF(MOD(COUNTIFS($C$2:C918,C918,$D$2:D918,D918)*7,10)&lt;3,"teste","treino"))</f>
        <v/>
      </c>
      <c r="N918" s="16"/>
      <c r="O918" s="16"/>
      <c r="P918" s="16"/>
      <c r="Q918" s="17"/>
    </row>
    <row r="919" customFormat="false" ht="15" hidden="false" customHeight="false" outlineLevel="0" collapsed="false">
      <c r="A919" s="15" t="str">
        <f aca="false">IF(B919="","",ROW()-1)</f>
        <v/>
      </c>
      <c r="B919" s="16"/>
      <c r="C919" s="16"/>
      <c r="D919" s="16"/>
      <c r="E919" s="16"/>
      <c r="F919" s="17"/>
      <c r="G919" s="16"/>
      <c r="H919" s="16"/>
      <c r="I919" s="16"/>
      <c r="J919" s="16"/>
      <c r="K919" s="16"/>
      <c r="L919" s="16"/>
      <c r="M919" s="18" t="str">
        <f aca="false">IF(OR(C919="",D919=""),"",IF(MOD(COUNTIFS($C$2:C919,C919,$D$2:D919,D919)*7,10)&lt;3,"teste","treino"))</f>
        <v/>
      </c>
      <c r="N919" s="16"/>
      <c r="O919" s="16"/>
      <c r="P919" s="16"/>
      <c r="Q919" s="17"/>
    </row>
    <row r="920" customFormat="false" ht="15" hidden="false" customHeight="false" outlineLevel="0" collapsed="false">
      <c r="A920" s="15" t="str">
        <f aca="false">IF(B920="","",ROW()-1)</f>
        <v/>
      </c>
      <c r="B920" s="16"/>
      <c r="C920" s="16"/>
      <c r="D920" s="16"/>
      <c r="E920" s="16"/>
      <c r="F920" s="17"/>
      <c r="G920" s="16"/>
      <c r="H920" s="16"/>
      <c r="I920" s="16"/>
      <c r="J920" s="16"/>
      <c r="K920" s="16"/>
      <c r="L920" s="16"/>
      <c r="M920" s="18" t="str">
        <f aca="false">IF(OR(C920="",D920=""),"",IF(MOD(COUNTIFS($C$2:C920,C920,$D$2:D920,D920)*7,10)&lt;3,"teste","treino"))</f>
        <v/>
      </c>
      <c r="N920" s="16"/>
      <c r="O920" s="16"/>
      <c r="P920" s="16"/>
      <c r="Q920" s="17"/>
    </row>
    <row r="921" customFormat="false" ht="15" hidden="false" customHeight="false" outlineLevel="0" collapsed="false">
      <c r="A921" s="15" t="str">
        <f aca="false">IF(B921="","",ROW()-1)</f>
        <v/>
      </c>
      <c r="B921" s="16"/>
      <c r="C921" s="16"/>
      <c r="D921" s="16"/>
      <c r="E921" s="16"/>
      <c r="F921" s="17"/>
      <c r="G921" s="16"/>
      <c r="H921" s="16"/>
      <c r="I921" s="16"/>
      <c r="J921" s="16"/>
      <c r="K921" s="16"/>
      <c r="L921" s="16"/>
      <c r="M921" s="18" t="str">
        <f aca="false">IF(OR(C921="",D921=""),"",IF(MOD(COUNTIFS($C$2:C921,C921,$D$2:D921,D921)*7,10)&lt;3,"teste","treino"))</f>
        <v/>
      </c>
      <c r="N921" s="16"/>
      <c r="O921" s="16"/>
      <c r="P921" s="16"/>
      <c r="Q921" s="17"/>
    </row>
    <row r="922" customFormat="false" ht="15" hidden="false" customHeight="false" outlineLevel="0" collapsed="false">
      <c r="A922" s="15" t="str">
        <f aca="false">IF(B922="","",ROW()-1)</f>
        <v/>
      </c>
      <c r="B922" s="16"/>
      <c r="C922" s="16"/>
      <c r="D922" s="16"/>
      <c r="E922" s="16"/>
      <c r="F922" s="17"/>
      <c r="G922" s="16"/>
      <c r="H922" s="16"/>
      <c r="I922" s="16"/>
      <c r="J922" s="16"/>
      <c r="K922" s="16"/>
      <c r="L922" s="16"/>
      <c r="M922" s="18" t="str">
        <f aca="false">IF(OR(C922="",D922=""),"",IF(MOD(COUNTIFS($C$2:C922,C922,$D$2:D922,D922)*7,10)&lt;3,"teste","treino"))</f>
        <v/>
      </c>
      <c r="N922" s="16"/>
      <c r="O922" s="16"/>
      <c r="P922" s="16"/>
      <c r="Q922" s="17"/>
    </row>
    <row r="923" customFormat="false" ht="15" hidden="false" customHeight="false" outlineLevel="0" collapsed="false">
      <c r="A923" s="15" t="str">
        <f aca="false">IF(B923="","",ROW()-1)</f>
        <v/>
      </c>
      <c r="B923" s="16"/>
      <c r="C923" s="16"/>
      <c r="D923" s="16"/>
      <c r="E923" s="16"/>
      <c r="F923" s="17"/>
      <c r="G923" s="16"/>
      <c r="H923" s="16"/>
      <c r="I923" s="16"/>
      <c r="J923" s="16"/>
      <c r="K923" s="16"/>
      <c r="L923" s="16"/>
      <c r="M923" s="18" t="str">
        <f aca="false">IF(OR(C923="",D923=""),"",IF(MOD(COUNTIFS($C$2:C923,C923,$D$2:D923,D923)*7,10)&lt;3,"teste","treino"))</f>
        <v/>
      </c>
      <c r="N923" s="16"/>
      <c r="O923" s="16"/>
      <c r="P923" s="16"/>
      <c r="Q923" s="17"/>
    </row>
    <row r="924" customFormat="false" ht="15" hidden="false" customHeight="false" outlineLevel="0" collapsed="false">
      <c r="A924" s="15" t="str">
        <f aca="false">IF(B924="","",ROW()-1)</f>
        <v/>
      </c>
      <c r="B924" s="16"/>
      <c r="C924" s="16"/>
      <c r="D924" s="16"/>
      <c r="E924" s="16"/>
      <c r="F924" s="17"/>
      <c r="G924" s="16"/>
      <c r="H924" s="16"/>
      <c r="I924" s="16"/>
      <c r="J924" s="16"/>
      <c r="K924" s="16"/>
      <c r="L924" s="16"/>
      <c r="M924" s="18" t="str">
        <f aca="false">IF(OR(C924="",D924=""),"",IF(MOD(COUNTIFS($C$2:C924,C924,$D$2:D924,D924)*7,10)&lt;3,"teste","treino"))</f>
        <v/>
      </c>
      <c r="N924" s="16"/>
      <c r="O924" s="16"/>
      <c r="P924" s="16"/>
      <c r="Q924" s="17"/>
    </row>
    <row r="925" customFormat="false" ht="15" hidden="false" customHeight="false" outlineLevel="0" collapsed="false">
      <c r="A925" s="15" t="str">
        <f aca="false">IF(B925="","",ROW()-1)</f>
        <v/>
      </c>
      <c r="B925" s="16"/>
      <c r="C925" s="16"/>
      <c r="D925" s="16"/>
      <c r="E925" s="16"/>
      <c r="F925" s="17"/>
      <c r="G925" s="16"/>
      <c r="H925" s="16"/>
      <c r="I925" s="16"/>
      <c r="J925" s="16"/>
      <c r="K925" s="16"/>
      <c r="L925" s="16"/>
      <c r="M925" s="18" t="str">
        <f aca="false">IF(OR(C925="",D925=""),"",IF(MOD(COUNTIFS($C$2:C925,C925,$D$2:D925,D925)*7,10)&lt;3,"teste","treino"))</f>
        <v/>
      </c>
      <c r="N925" s="16"/>
      <c r="O925" s="16"/>
      <c r="P925" s="16"/>
      <c r="Q925" s="17"/>
    </row>
    <row r="926" customFormat="false" ht="15" hidden="false" customHeight="false" outlineLevel="0" collapsed="false">
      <c r="A926" s="15" t="str">
        <f aca="false">IF(B926="","",ROW()-1)</f>
        <v/>
      </c>
      <c r="B926" s="16"/>
      <c r="C926" s="16"/>
      <c r="D926" s="16"/>
      <c r="E926" s="16"/>
      <c r="F926" s="17"/>
      <c r="G926" s="16"/>
      <c r="H926" s="16"/>
      <c r="I926" s="16"/>
      <c r="J926" s="16"/>
      <c r="K926" s="16"/>
      <c r="L926" s="16"/>
      <c r="M926" s="18" t="str">
        <f aca="false">IF(OR(C926="",D926=""),"",IF(MOD(COUNTIFS($C$2:C926,C926,$D$2:D926,D926)*7,10)&lt;3,"teste","treino"))</f>
        <v/>
      </c>
      <c r="N926" s="16"/>
      <c r="O926" s="16"/>
      <c r="P926" s="16"/>
      <c r="Q926" s="17"/>
    </row>
    <row r="927" customFormat="false" ht="15" hidden="false" customHeight="false" outlineLevel="0" collapsed="false">
      <c r="A927" s="15" t="str">
        <f aca="false">IF(B927="","",ROW()-1)</f>
        <v/>
      </c>
      <c r="B927" s="16"/>
      <c r="C927" s="16"/>
      <c r="D927" s="16"/>
      <c r="E927" s="16"/>
      <c r="F927" s="17"/>
      <c r="G927" s="16"/>
      <c r="H927" s="16"/>
      <c r="I927" s="16"/>
      <c r="J927" s="16"/>
      <c r="K927" s="16"/>
      <c r="L927" s="16"/>
      <c r="M927" s="18" t="str">
        <f aca="false">IF(OR(C927="",D927=""),"",IF(MOD(COUNTIFS($C$2:C927,C927,$D$2:D927,D927)*7,10)&lt;3,"teste","treino"))</f>
        <v/>
      </c>
      <c r="N927" s="16"/>
      <c r="O927" s="16"/>
      <c r="P927" s="16"/>
      <c r="Q927" s="17"/>
    </row>
    <row r="928" customFormat="false" ht="15" hidden="false" customHeight="false" outlineLevel="0" collapsed="false">
      <c r="A928" s="15" t="str">
        <f aca="false">IF(B928="","",ROW()-1)</f>
        <v/>
      </c>
      <c r="B928" s="16"/>
      <c r="C928" s="16"/>
      <c r="D928" s="16"/>
      <c r="E928" s="16"/>
      <c r="F928" s="17"/>
      <c r="G928" s="16"/>
      <c r="H928" s="16"/>
      <c r="I928" s="16"/>
      <c r="J928" s="16"/>
      <c r="K928" s="16"/>
      <c r="L928" s="16"/>
      <c r="M928" s="18" t="str">
        <f aca="false">IF(OR(C928="",D928=""),"",IF(MOD(COUNTIFS($C$2:C928,C928,$D$2:D928,D928)*7,10)&lt;3,"teste","treino"))</f>
        <v/>
      </c>
      <c r="N928" s="16"/>
      <c r="O928" s="16"/>
      <c r="P928" s="16"/>
      <c r="Q928" s="17"/>
    </row>
    <row r="929" customFormat="false" ht="15" hidden="false" customHeight="false" outlineLevel="0" collapsed="false">
      <c r="A929" s="15" t="str">
        <f aca="false">IF(B929="","",ROW()-1)</f>
        <v/>
      </c>
      <c r="B929" s="16"/>
      <c r="C929" s="16"/>
      <c r="D929" s="16"/>
      <c r="E929" s="16"/>
      <c r="F929" s="17"/>
      <c r="G929" s="16"/>
      <c r="H929" s="16"/>
      <c r="I929" s="16"/>
      <c r="J929" s="16"/>
      <c r="K929" s="16"/>
      <c r="L929" s="16"/>
      <c r="M929" s="18" t="str">
        <f aca="false">IF(OR(C929="",D929=""),"",IF(MOD(COUNTIFS($C$2:C929,C929,$D$2:D929,D929)*7,10)&lt;3,"teste","treino"))</f>
        <v/>
      </c>
      <c r="N929" s="16"/>
      <c r="O929" s="16"/>
      <c r="P929" s="16"/>
      <c r="Q929" s="17"/>
    </row>
    <row r="930" customFormat="false" ht="15" hidden="false" customHeight="false" outlineLevel="0" collapsed="false">
      <c r="A930" s="15" t="str">
        <f aca="false">IF(B930="","",ROW()-1)</f>
        <v/>
      </c>
      <c r="B930" s="16"/>
      <c r="C930" s="16"/>
      <c r="D930" s="16"/>
      <c r="E930" s="16"/>
      <c r="F930" s="17"/>
      <c r="G930" s="16"/>
      <c r="H930" s="16"/>
      <c r="I930" s="16"/>
      <c r="J930" s="16"/>
      <c r="K930" s="16"/>
      <c r="L930" s="16"/>
      <c r="M930" s="18" t="str">
        <f aca="false">IF(OR(C930="",D930=""),"",IF(MOD(COUNTIFS($C$2:C930,C930,$D$2:D930,D930)*7,10)&lt;3,"teste","treino"))</f>
        <v/>
      </c>
      <c r="N930" s="16"/>
      <c r="O930" s="16"/>
      <c r="P930" s="16"/>
      <c r="Q930" s="17"/>
    </row>
    <row r="931" customFormat="false" ht="15" hidden="false" customHeight="false" outlineLevel="0" collapsed="false">
      <c r="A931" s="15" t="str">
        <f aca="false">IF(B931="","",ROW()-1)</f>
        <v/>
      </c>
      <c r="B931" s="16"/>
      <c r="C931" s="16"/>
      <c r="D931" s="16"/>
      <c r="E931" s="16"/>
      <c r="F931" s="17"/>
      <c r="G931" s="16"/>
      <c r="H931" s="16"/>
      <c r="I931" s="16"/>
      <c r="J931" s="16"/>
      <c r="K931" s="16"/>
      <c r="L931" s="16"/>
      <c r="M931" s="18" t="str">
        <f aca="false">IF(OR(C931="",D931=""),"",IF(MOD(COUNTIFS($C$2:C931,C931,$D$2:D931,D931)*7,10)&lt;3,"teste","treino"))</f>
        <v/>
      </c>
      <c r="N931" s="16"/>
      <c r="O931" s="16"/>
      <c r="P931" s="16"/>
      <c r="Q931" s="17"/>
    </row>
    <row r="932" customFormat="false" ht="15" hidden="false" customHeight="false" outlineLevel="0" collapsed="false">
      <c r="A932" s="15" t="str">
        <f aca="false">IF(B932="","",ROW()-1)</f>
        <v/>
      </c>
      <c r="B932" s="16"/>
      <c r="C932" s="16"/>
      <c r="D932" s="16"/>
      <c r="E932" s="16"/>
      <c r="F932" s="17"/>
      <c r="G932" s="16"/>
      <c r="H932" s="16"/>
      <c r="I932" s="16"/>
      <c r="J932" s="16"/>
      <c r="K932" s="16"/>
      <c r="L932" s="16"/>
      <c r="M932" s="18" t="str">
        <f aca="false">IF(OR(C932="",D932=""),"",IF(MOD(COUNTIFS($C$2:C932,C932,$D$2:D932,D932)*7,10)&lt;3,"teste","treino"))</f>
        <v/>
      </c>
      <c r="N932" s="16"/>
      <c r="O932" s="16"/>
      <c r="P932" s="16"/>
      <c r="Q932" s="17"/>
    </row>
    <row r="933" customFormat="false" ht="15" hidden="false" customHeight="false" outlineLevel="0" collapsed="false">
      <c r="A933" s="15" t="str">
        <f aca="false">IF(B933="","",ROW()-1)</f>
        <v/>
      </c>
      <c r="B933" s="16"/>
      <c r="C933" s="16"/>
      <c r="D933" s="16"/>
      <c r="E933" s="16"/>
      <c r="F933" s="17"/>
      <c r="G933" s="16"/>
      <c r="H933" s="16"/>
      <c r="I933" s="16"/>
      <c r="J933" s="16"/>
      <c r="K933" s="16"/>
      <c r="L933" s="16"/>
      <c r="M933" s="18" t="str">
        <f aca="false">IF(OR(C933="",D933=""),"",IF(MOD(COUNTIFS($C$2:C933,C933,$D$2:D933,D933)*7,10)&lt;3,"teste","treino"))</f>
        <v/>
      </c>
      <c r="N933" s="16"/>
      <c r="O933" s="16"/>
      <c r="P933" s="16"/>
      <c r="Q933" s="17"/>
    </row>
    <row r="934" customFormat="false" ht="15" hidden="false" customHeight="false" outlineLevel="0" collapsed="false">
      <c r="A934" s="15" t="str">
        <f aca="false">IF(B934="","",ROW()-1)</f>
        <v/>
      </c>
      <c r="B934" s="16"/>
      <c r="C934" s="16"/>
      <c r="D934" s="16"/>
      <c r="E934" s="16"/>
      <c r="F934" s="17"/>
      <c r="G934" s="16"/>
      <c r="H934" s="16"/>
      <c r="I934" s="16"/>
      <c r="J934" s="16"/>
      <c r="K934" s="16"/>
      <c r="L934" s="16"/>
      <c r="M934" s="18" t="str">
        <f aca="false">IF(OR(C934="",D934=""),"",IF(MOD(COUNTIFS($C$2:C934,C934,$D$2:D934,D934)*7,10)&lt;3,"teste","treino"))</f>
        <v/>
      </c>
      <c r="N934" s="16"/>
      <c r="O934" s="16"/>
      <c r="P934" s="16"/>
      <c r="Q934" s="17"/>
    </row>
    <row r="935" customFormat="false" ht="15" hidden="false" customHeight="false" outlineLevel="0" collapsed="false">
      <c r="A935" s="15" t="str">
        <f aca="false">IF(B935="","",ROW()-1)</f>
        <v/>
      </c>
      <c r="B935" s="16"/>
      <c r="C935" s="16"/>
      <c r="D935" s="16"/>
      <c r="E935" s="16"/>
      <c r="F935" s="17"/>
      <c r="G935" s="16"/>
      <c r="H935" s="16"/>
      <c r="I935" s="16"/>
      <c r="J935" s="16"/>
      <c r="K935" s="16"/>
      <c r="L935" s="16"/>
      <c r="M935" s="18" t="str">
        <f aca="false">IF(OR(C935="",D935=""),"",IF(MOD(COUNTIFS($C$2:C935,C935,$D$2:D935,D935)*7,10)&lt;3,"teste","treino"))</f>
        <v/>
      </c>
      <c r="N935" s="16"/>
      <c r="O935" s="16"/>
      <c r="P935" s="16"/>
      <c r="Q935" s="17"/>
    </row>
    <row r="936" customFormat="false" ht="15" hidden="false" customHeight="false" outlineLevel="0" collapsed="false">
      <c r="A936" s="15" t="str">
        <f aca="false">IF(B936="","",ROW()-1)</f>
        <v/>
      </c>
      <c r="B936" s="16"/>
      <c r="C936" s="16"/>
      <c r="D936" s="16"/>
      <c r="E936" s="16"/>
      <c r="F936" s="17"/>
      <c r="G936" s="16"/>
      <c r="H936" s="16"/>
      <c r="I936" s="16"/>
      <c r="J936" s="16"/>
      <c r="K936" s="16"/>
      <c r="L936" s="16"/>
      <c r="M936" s="18" t="str">
        <f aca="false">IF(OR(C936="",D936=""),"",IF(MOD(COUNTIFS($C$2:C936,C936,$D$2:D936,D936)*7,10)&lt;3,"teste","treino"))</f>
        <v/>
      </c>
      <c r="N936" s="16"/>
      <c r="O936" s="16"/>
      <c r="P936" s="16"/>
      <c r="Q936" s="17"/>
    </row>
    <row r="937" customFormat="false" ht="15" hidden="false" customHeight="false" outlineLevel="0" collapsed="false">
      <c r="A937" s="15" t="str">
        <f aca="false">IF(B937="","",ROW()-1)</f>
        <v/>
      </c>
      <c r="B937" s="16"/>
      <c r="C937" s="16"/>
      <c r="D937" s="16"/>
      <c r="E937" s="16"/>
      <c r="F937" s="17"/>
      <c r="G937" s="16"/>
      <c r="H937" s="16"/>
      <c r="I937" s="16"/>
      <c r="J937" s="16"/>
      <c r="K937" s="16"/>
      <c r="L937" s="16"/>
      <c r="M937" s="18" t="str">
        <f aca="false">IF(OR(C937="",D937=""),"",IF(MOD(COUNTIFS($C$2:C937,C937,$D$2:D937,D937)*7,10)&lt;3,"teste","treino"))</f>
        <v/>
      </c>
      <c r="N937" s="16"/>
      <c r="O937" s="16"/>
      <c r="P937" s="16"/>
      <c r="Q937" s="17"/>
    </row>
    <row r="938" customFormat="false" ht="15" hidden="false" customHeight="false" outlineLevel="0" collapsed="false">
      <c r="A938" s="15" t="str">
        <f aca="false">IF(B938="","",ROW()-1)</f>
        <v/>
      </c>
      <c r="B938" s="16"/>
      <c r="C938" s="16"/>
      <c r="D938" s="16"/>
      <c r="E938" s="16"/>
      <c r="F938" s="17"/>
      <c r="G938" s="16"/>
      <c r="H938" s="16"/>
      <c r="I938" s="16"/>
      <c r="J938" s="16"/>
      <c r="K938" s="16"/>
      <c r="L938" s="16"/>
      <c r="M938" s="18" t="str">
        <f aca="false">IF(OR(C938="",D938=""),"",IF(MOD(COUNTIFS($C$2:C938,C938,$D$2:D938,D938)*7,10)&lt;3,"teste","treino"))</f>
        <v/>
      </c>
      <c r="N938" s="16"/>
      <c r="O938" s="16"/>
      <c r="P938" s="16"/>
      <c r="Q938" s="17"/>
    </row>
    <row r="939" customFormat="false" ht="15" hidden="false" customHeight="false" outlineLevel="0" collapsed="false">
      <c r="A939" s="15" t="str">
        <f aca="false">IF(B939="","",ROW()-1)</f>
        <v/>
      </c>
      <c r="B939" s="16"/>
      <c r="C939" s="16"/>
      <c r="D939" s="16"/>
      <c r="E939" s="16"/>
      <c r="F939" s="17"/>
      <c r="G939" s="16"/>
      <c r="H939" s="16"/>
      <c r="I939" s="16"/>
      <c r="J939" s="16"/>
      <c r="K939" s="16"/>
      <c r="L939" s="16"/>
      <c r="M939" s="18" t="str">
        <f aca="false">IF(OR(C939="",D939=""),"",IF(MOD(COUNTIFS($C$2:C939,C939,$D$2:D939,D939)*7,10)&lt;3,"teste","treino"))</f>
        <v/>
      </c>
      <c r="N939" s="16"/>
      <c r="O939" s="16"/>
      <c r="P939" s="16"/>
      <c r="Q939" s="17"/>
    </row>
    <row r="940" customFormat="false" ht="15" hidden="false" customHeight="false" outlineLevel="0" collapsed="false">
      <c r="A940" s="15" t="str">
        <f aca="false">IF(B940="","",ROW()-1)</f>
        <v/>
      </c>
      <c r="B940" s="16"/>
      <c r="C940" s="16"/>
      <c r="D940" s="16"/>
      <c r="E940" s="16"/>
      <c r="F940" s="17"/>
      <c r="G940" s="16"/>
      <c r="H940" s="16"/>
      <c r="I940" s="16"/>
      <c r="J940" s="16"/>
      <c r="K940" s="16"/>
      <c r="L940" s="16"/>
      <c r="M940" s="18" t="str">
        <f aca="false">IF(OR(C940="",D940=""),"",IF(MOD(COUNTIFS($C$2:C940,C940,$D$2:D940,D940)*7,10)&lt;3,"teste","treino"))</f>
        <v/>
      </c>
      <c r="N940" s="16"/>
      <c r="O940" s="16"/>
      <c r="P940" s="16"/>
      <c r="Q940" s="17"/>
    </row>
    <row r="941" customFormat="false" ht="15" hidden="false" customHeight="false" outlineLevel="0" collapsed="false">
      <c r="A941" s="15" t="str">
        <f aca="false">IF(B941="","",ROW()-1)</f>
        <v/>
      </c>
      <c r="B941" s="16"/>
      <c r="C941" s="16"/>
      <c r="D941" s="16"/>
      <c r="E941" s="16"/>
      <c r="F941" s="17"/>
      <c r="G941" s="16"/>
      <c r="H941" s="16"/>
      <c r="I941" s="16"/>
      <c r="J941" s="16"/>
      <c r="K941" s="16"/>
      <c r="L941" s="16"/>
      <c r="M941" s="18" t="str">
        <f aca="false">IF(OR(C941="",D941=""),"",IF(MOD(COUNTIFS($C$2:C941,C941,$D$2:D941,D941)*7,10)&lt;3,"teste","treino"))</f>
        <v/>
      </c>
      <c r="N941" s="16"/>
      <c r="O941" s="16"/>
      <c r="P941" s="16"/>
      <c r="Q941" s="17"/>
    </row>
    <row r="942" customFormat="false" ht="15" hidden="false" customHeight="false" outlineLevel="0" collapsed="false">
      <c r="A942" s="15" t="str">
        <f aca="false">IF(B942="","",ROW()-1)</f>
        <v/>
      </c>
      <c r="B942" s="16"/>
      <c r="C942" s="16"/>
      <c r="D942" s="16"/>
      <c r="E942" s="16"/>
      <c r="F942" s="17"/>
      <c r="G942" s="16"/>
      <c r="H942" s="16"/>
      <c r="I942" s="16"/>
      <c r="J942" s="16"/>
      <c r="K942" s="16"/>
      <c r="L942" s="16"/>
      <c r="M942" s="18" t="str">
        <f aca="false">IF(OR(C942="",D942=""),"",IF(MOD(COUNTIFS($C$2:C942,C942,$D$2:D942,D942)*7,10)&lt;3,"teste","treino"))</f>
        <v/>
      </c>
      <c r="N942" s="16"/>
      <c r="O942" s="16"/>
      <c r="P942" s="16"/>
      <c r="Q942" s="17"/>
    </row>
    <row r="943" customFormat="false" ht="15" hidden="false" customHeight="false" outlineLevel="0" collapsed="false">
      <c r="A943" s="15" t="str">
        <f aca="false">IF(B943="","",ROW()-1)</f>
        <v/>
      </c>
      <c r="B943" s="16"/>
      <c r="C943" s="16"/>
      <c r="D943" s="16"/>
      <c r="E943" s="16"/>
      <c r="F943" s="17"/>
      <c r="G943" s="16"/>
      <c r="H943" s="16"/>
      <c r="I943" s="16"/>
      <c r="J943" s="16"/>
      <c r="K943" s="16"/>
      <c r="L943" s="16"/>
      <c r="M943" s="18" t="str">
        <f aca="false">IF(OR(C943="",D943=""),"",IF(MOD(COUNTIFS($C$2:C943,C943,$D$2:D943,D943)*7,10)&lt;3,"teste","treino"))</f>
        <v/>
      </c>
      <c r="N943" s="16"/>
      <c r="O943" s="16"/>
      <c r="P943" s="16"/>
      <c r="Q943" s="17"/>
    </row>
    <row r="944" customFormat="false" ht="15" hidden="false" customHeight="false" outlineLevel="0" collapsed="false">
      <c r="A944" s="15" t="str">
        <f aca="false">IF(B944="","",ROW()-1)</f>
        <v/>
      </c>
      <c r="B944" s="16"/>
      <c r="C944" s="16"/>
      <c r="D944" s="16"/>
      <c r="E944" s="16"/>
      <c r="F944" s="17"/>
      <c r="G944" s="16"/>
      <c r="H944" s="16"/>
      <c r="I944" s="16"/>
      <c r="J944" s="16"/>
      <c r="K944" s="16"/>
      <c r="L944" s="16"/>
      <c r="M944" s="18" t="str">
        <f aca="false">IF(OR(C944="",D944=""),"",IF(MOD(COUNTIFS($C$2:C944,C944,$D$2:D944,D944)*7,10)&lt;3,"teste","treino"))</f>
        <v/>
      </c>
      <c r="N944" s="16"/>
      <c r="O944" s="16"/>
      <c r="P944" s="16"/>
      <c r="Q944" s="17"/>
    </row>
    <row r="945" customFormat="false" ht="15" hidden="false" customHeight="false" outlineLevel="0" collapsed="false">
      <c r="A945" s="15" t="str">
        <f aca="false">IF(B945="","",ROW()-1)</f>
        <v/>
      </c>
      <c r="B945" s="16"/>
      <c r="C945" s="16"/>
      <c r="D945" s="16"/>
      <c r="E945" s="16"/>
      <c r="F945" s="17"/>
      <c r="G945" s="16"/>
      <c r="H945" s="16"/>
      <c r="I945" s="16"/>
      <c r="J945" s="16"/>
      <c r="K945" s="16"/>
      <c r="L945" s="16"/>
      <c r="M945" s="18" t="str">
        <f aca="false">IF(OR(C945="",D945=""),"",IF(MOD(COUNTIFS($C$2:C945,C945,$D$2:D945,D945)*7,10)&lt;3,"teste","treino"))</f>
        <v/>
      </c>
      <c r="N945" s="16"/>
      <c r="O945" s="16"/>
      <c r="P945" s="16"/>
      <c r="Q945" s="17"/>
    </row>
    <row r="946" customFormat="false" ht="15" hidden="false" customHeight="false" outlineLevel="0" collapsed="false">
      <c r="A946" s="15" t="str">
        <f aca="false">IF(B946="","",ROW()-1)</f>
        <v/>
      </c>
      <c r="B946" s="16"/>
      <c r="C946" s="16"/>
      <c r="D946" s="16"/>
      <c r="E946" s="16"/>
      <c r="F946" s="17"/>
      <c r="G946" s="16"/>
      <c r="H946" s="16"/>
      <c r="I946" s="16"/>
      <c r="J946" s="16"/>
      <c r="K946" s="16"/>
      <c r="L946" s="16"/>
      <c r="M946" s="18" t="str">
        <f aca="false">IF(OR(C946="",D946=""),"",IF(MOD(COUNTIFS($C$2:C946,C946,$D$2:D946,D946)*7,10)&lt;3,"teste","treino"))</f>
        <v/>
      </c>
      <c r="N946" s="16"/>
      <c r="O946" s="16"/>
      <c r="P946" s="16"/>
      <c r="Q946" s="17"/>
    </row>
    <row r="947" customFormat="false" ht="15" hidden="false" customHeight="false" outlineLevel="0" collapsed="false">
      <c r="A947" s="15" t="str">
        <f aca="false">IF(B947="","",ROW()-1)</f>
        <v/>
      </c>
      <c r="B947" s="16"/>
      <c r="C947" s="16"/>
      <c r="D947" s="16"/>
      <c r="E947" s="16"/>
      <c r="F947" s="17"/>
      <c r="G947" s="16"/>
      <c r="H947" s="16"/>
      <c r="I947" s="16"/>
      <c r="J947" s="16"/>
      <c r="K947" s="16"/>
      <c r="L947" s="16"/>
      <c r="M947" s="18" t="str">
        <f aca="false">IF(OR(C947="",D947=""),"",IF(MOD(COUNTIFS($C$2:C947,C947,$D$2:D947,D947)*7,10)&lt;3,"teste","treino"))</f>
        <v/>
      </c>
      <c r="N947" s="16"/>
      <c r="O947" s="16"/>
      <c r="P947" s="16"/>
      <c r="Q947" s="17"/>
    </row>
    <row r="948" customFormat="false" ht="15" hidden="false" customHeight="false" outlineLevel="0" collapsed="false">
      <c r="A948" s="15" t="str">
        <f aca="false">IF(B948="","",ROW()-1)</f>
        <v/>
      </c>
      <c r="B948" s="16"/>
      <c r="C948" s="16"/>
      <c r="D948" s="16"/>
      <c r="E948" s="16"/>
      <c r="F948" s="17"/>
      <c r="G948" s="16"/>
      <c r="H948" s="16"/>
      <c r="I948" s="16"/>
      <c r="J948" s="16"/>
      <c r="K948" s="16"/>
      <c r="L948" s="16"/>
      <c r="M948" s="18" t="str">
        <f aca="false">IF(OR(C948="",D948=""),"",IF(MOD(COUNTIFS($C$2:C948,C948,$D$2:D948,D948)*7,10)&lt;3,"teste","treino"))</f>
        <v/>
      </c>
      <c r="N948" s="16"/>
      <c r="O948" s="16"/>
      <c r="P948" s="16"/>
      <c r="Q948" s="17"/>
    </row>
    <row r="949" customFormat="false" ht="15" hidden="false" customHeight="false" outlineLevel="0" collapsed="false">
      <c r="A949" s="15" t="str">
        <f aca="false">IF(B949="","",ROW()-1)</f>
        <v/>
      </c>
      <c r="B949" s="16"/>
      <c r="C949" s="16"/>
      <c r="D949" s="16"/>
      <c r="E949" s="16"/>
      <c r="F949" s="17"/>
      <c r="G949" s="16"/>
      <c r="H949" s="16"/>
      <c r="I949" s="16"/>
      <c r="J949" s="16"/>
      <c r="K949" s="16"/>
      <c r="L949" s="16"/>
      <c r="M949" s="18" t="str">
        <f aca="false">IF(OR(C949="",D949=""),"",IF(MOD(COUNTIFS($C$2:C949,C949,$D$2:D949,D949)*7,10)&lt;3,"teste","treino"))</f>
        <v/>
      </c>
      <c r="N949" s="16"/>
      <c r="O949" s="16"/>
      <c r="P949" s="16"/>
      <c r="Q949" s="17"/>
    </row>
    <row r="950" customFormat="false" ht="15" hidden="false" customHeight="false" outlineLevel="0" collapsed="false">
      <c r="A950" s="15" t="str">
        <f aca="false">IF(B950="","",ROW()-1)</f>
        <v/>
      </c>
      <c r="B950" s="16"/>
      <c r="C950" s="16"/>
      <c r="D950" s="16"/>
      <c r="E950" s="16"/>
      <c r="F950" s="17"/>
      <c r="G950" s="16"/>
      <c r="H950" s="16"/>
      <c r="I950" s="16"/>
      <c r="J950" s="16"/>
      <c r="K950" s="16"/>
      <c r="L950" s="16"/>
      <c r="M950" s="18" t="str">
        <f aca="false">IF(OR(C950="",D950=""),"",IF(MOD(COUNTIFS($C$2:C950,C950,$D$2:D950,D950)*7,10)&lt;3,"teste","treino"))</f>
        <v/>
      </c>
      <c r="N950" s="16"/>
      <c r="O950" s="16"/>
      <c r="P950" s="16"/>
      <c r="Q950" s="17"/>
    </row>
    <row r="951" customFormat="false" ht="15" hidden="false" customHeight="false" outlineLevel="0" collapsed="false">
      <c r="A951" s="15" t="str">
        <f aca="false">IF(B951="","",ROW()-1)</f>
        <v/>
      </c>
      <c r="B951" s="16"/>
      <c r="C951" s="16"/>
      <c r="D951" s="16"/>
      <c r="E951" s="16"/>
      <c r="F951" s="17"/>
      <c r="G951" s="16"/>
      <c r="H951" s="16"/>
      <c r="I951" s="16"/>
      <c r="J951" s="16"/>
      <c r="K951" s="16"/>
      <c r="L951" s="16"/>
      <c r="M951" s="18" t="str">
        <f aca="false">IF(OR(C951="",D951=""),"",IF(MOD(COUNTIFS($C$2:C951,C951,$D$2:D951,D951)*7,10)&lt;3,"teste","treino"))</f>
        <v/>
      </c>
      <c r="N951" s="16"/>
      <c r="O951" s="16"/>
      <c r="P951" s="16"/>
      <c r="Q951" s="17"/>
    </row>
    <row r="952" customFormat="false" ht="15" hidden="false" customHeight="false" outlineLevel="0" collapsed="false">
      <c r="A952" s="15" t="str">
        <f aca="false">IF(B952="","",ROW()-1)</f>
        <v/>
      </c>
      <c r="B952" s="16"/>
      <c r="C952" s="16"/>
      <c r="D952" s="16"/>
      <c r="E952" s="16"/>
      <c r="F952" s="17"/>
      <c r="G952" s="16"/>
      <c r="H952" s="16"/>
      <c r="I952" s="16"/>
      <c r="J952" s="16"/>
      <c r="K952" s="16"/>
      <c r="L952" s="16"/>
      <c r="M952" s="18" t="str">
        <f aca="false">IF(OR(C952="",D952=""),"",IF(MOD(COUNTIFS($C$2:C952,C952,$D$2:D952,D952)*7,10)&lt;3,"teste","treino"))</f>
        <v/>
      </c>
      <c r="N952" s="16"/>
      <c r="O952" s="16"/>
      <c r="P952" s="16"/>
      <c r="Q952" s="17"/>
    </row>
    <row r="953" customFormat="false" ht="15" hidden="false" customHeight="false" outlineLevel="0" collapsed="false">
      <c r="A953" s="15" t="str">
        <f aca="false">IF(B953="","",ROW()-1)</f>
        <v/>
      </c>
      <c r="B953" s="16"/>
      <c r="C953" s="16"/>
      <c r="D953" s="16"/>
      <c r="E953" s="16"/>
      <c r="F953" s="17"/>
      <c r="G953" s="16"/>
      <c r="H953" s="16"/>
      <c r="I953" s="16"/>
      <c r="J953" s="16"/>
      <c r="K953" s="16"/>
      <c r="L953" s="16"/>
      <c r="M953" s="18" t="str">
        <f aca="false">IF(OR(C953="",D953=""),"",IF(MOD(COUNTIFS($C$2:C953,C953,$D$2:D953,D953)*7,10)&lt;3,"teste","treino"))</f>
        <v/>
      </c>
      <c r="N953" s="16"/>
      <c r="O953" s="16"/>
      <c r="P953" s="16"/>
      <c r="Q953" s="17"/>
    </row>
    <row r="954" customFormat="false" ht="15" hidden="false" customHeight="false" outlineLevel="0" collapsed="false">
      <c r="A954" s="15" t="str">
        <f aca="false">IF(B954="","",ROW()-1)</f>
        <v/>
      </c>
      <c r="B954" s="16"/>
      <c r="C954" s="16"/>
      <c r="D954" s="16"/>
      <c r="E954" s="16"/>
      <c r="F954" s="17"/>
      <c r="G954" s="16"/>
      <c r="H954" s="16"/>
      <c r="I954" s="16"/>
      <c r="J954" s="16"/>
      <c r="K954" s="16"/>
      <c r="L954" s="16"/>
      <c r="M954" s="18" t="str">
        <f aca="false">IF(OR(C954="",D954=""),"",IF(MOD(COUNTIFS($C$2:C954,C954,$D$2:D954,D954)*7,10)&lt;3,"teste","treino"))</f>
        <v/>
      </c>
      <c r="N954" s="16"/>
      <c r="O954" s="16"/>
      <c r="P954" s="16"/>
      <c r="Q954" s="17"/>
    </row>
    <row r="955" customFormat="false" ht="15" hidden="false" customHeight="false" outlineLevel="0" collapsed="false">
      <c r="A955" s="15" t="str">
        <f aca="false">IF(B955="","",ROW()-1)</f>
        <v/>
      </c>
      <c r="B955" s="16"/>
      <c r="C955" s="16"/>
      <c r="D955" s="16"/>
      <c r="E955" s="16"/>
      <c r="F955" s="17"/>
      <c r="G955" s="16"/>
      <c r="H955" s="16"/>
      <c r="I955" s="16"/>
      <c r="J955" s="16"/>
      <c r="K955" s="16"/>
      <c r="L955" s="16"/>
      <c r="M955" s="18" t="str">
        <f aca="false">IF(OR(C955="",D955=""),"",IF(MOD(COUNTIFS($C$2:C955,C955,$D$2:D955,D955)*7,10)&lt;3,"teste","treino"))</f>
        <v/>
      </c>
      <c r="N955" s="16"/>
      <c r="O955" s="16"/>
      <c r="P955" s="16"/>
      <c r="Q955" s="17"/>
    </row>
    <row r="956" customFormat="false" ht="15" hidden="false" customHeight="false" outlineLevel="0" collapsed="false">
      <c r="A956" s="15" t="str">
        <f aca="false">IF(B956="","",ROW()-1)</f>
        <v/>
      </c>
      <c r="B956" s="16"/>
      <c r="C956" s="16"/>
      <c r="D956" s="16"/>
      <c r="E956" s="16"/>
      <c r="F956" s="17"/>
      <c r="G956" s="16"/>
      <c r="H956" s="16"/>
      <c r="I956" s="16"/>
      <c r="J956" s="16"/>
      <c r="K956" s="16"/>
      <c r="L956" s="16"/>
      <c r="M956" s="18" t="str">
        <f aca="false">IF(OR(C956="",D956=""),"",IF(MOD(COUNTIFS($C$2:C956,C956,$D$2:D956,D956)*7,10)&lt;3,"teste","treino"))</f>
        <v/>
      </c>
      <c r="N956" s="16"/>
      <c r="O956" s="16"/>
      <c r="P956" s="16"/>
      <c r="Q956" s="17"/>
    </row>
    <row r="957" customFormat="false" ht="15" hidden="false" customHeight="false" outlineLevel="0" collapsed="false">
      <c r="A957" s="15" t="str">
        <f aca="false">IF(B957="","",ROW()-1)</f>
        <v/>
      </c>
      <c r="B957" s="16"/>
      <c r="C957" s="16"/>
      <c r="D957" s="16"/>
      <c r="E957" s="16"/>
      <c r="F957" s="17"/>
      <c r="G957" s="16"/>
      <c r="H957" s="16"/>
      <c r="I957" s="16"/>
      <c r="J957" s="16"/>
      <c r="K957" s="16"/>
      <c r="L957" s="16"/>
      <c r="M957" s="18" t="str">
        <f aca="false">IF(OR(C957="",D957=""),"",IF(MOD(COUNTIFS($C$2:C957,C957,$D$2:D957,D957)*7,10)&lt;3,"teste","treino"))</f>
        <v/>
      </c>
      <c r="N957" s="16"/>
      <c r="O957" s="16"/>
      <c r="P957" s="16"/>
      <c r="Q957" s="17"/>
    </row>
    <row r="958" customFormat="false" ht="15" hidden="false" customHeight="false" outlineLevel="0" collapsed="false">
      <c r="A958" s="15" t="str">
        <f aca="false">IF(B958="","",ROW()-1)</f>
        <v/>
      </c>
      <c r="B958" s="16"/>
      <c r="C958" s="16"/>
      <c r="D958" s="16"/>
      <c r="E958" s="16"/>
      <c r="F958" s="17"/>
      <c r="G958" s="16"/>
      <c r="H958" s="16"/>
      <c r="I958" s="16"/>
      <c r="J958" s="16"/>
      <c r="K958" s="16"/>
      <c r="L958" s="16"/>
      <c r="M958" s="18" t="str">
        <f aca="false">IF(OR(C958="",D958=""),"",IF(MOD(COUNTIFS($C$2:C958,C958,$D$2:D958,D958)*7,10)&lt;3,"teste","treino"))</f>
        <v/>
      </c>
      <c r="N958" s="16"/>
      <c r="O958" s="16"/>
      <c r="P958" s="16"/>
      <c r="Q958" s="17"/>
    </row>
    <row r="959" customFormat="false" ht="15" hidden="false" customHeight="false" outlineLevel="0" collapsed="false">
      <c r="A959" s="15" t="str">
        <f aca="false">IF(B959="","",ROW()-1)</f>
        <v/>
      </c>
      <c r="B959" s="16"/>
      <c r="C959" s="16"/>
      <c r="D959" s="16"/>
      <c r="E959" s="16"/>
      <c r="F959" s="17"/>
      <c r="G959" s="16"/>
      <c r="H959" s="16"/>
      <c r="I959" s="16"/>
      <c r="J959" s="16"/>
      <c r="K959" s="16"/>
      <c r="L959" s="16"/>
      <c r="M959" s="18" t="str">
        <f aca="false">IF(OR(C959="",D959=""),"",IF(MOD(COUNTIFS($C$2:C959,C959,$D$2:D959,D959)*7,10)&lt;3,"teste","treino"))</f>
        <v/>
      </c>
      <c r="N959" s="16"/>
      <c r="O959" s="16"/>
      <c r="P959" s="16"/>
      <c r="Q959" s="17"/>
    </row>
    <row r="960" customFormat="false" ht="15" hidden="false" customHeight="false" outlineLevel="0" collapsed="false">
      <c r="A960" s="15" t="str">
        <f aca="false">IF(B960="","",ROW()-1)</f>
        <v/>
      </c>
      <c r="B960" s="16"/>
      <c r="C960" s="16"/>
      <c r="D960" s="16"/>
      <c r="E960" s="16"/>
      <c r="F960" s="17"/>
      <c r="G960" s="16"/>
      <c r="H960" s="16"/>
      <c r="I960" s="16"/>
      <c r="J960" s="16"/>
      <c r="K960" s="16"/>
      <c r="L960" s="16"/>
      <c r="M960" s="18" t="str">
        <f aca="false">IF(OR(C960="",D960=""),"",IF(MOD(COUNTIFS($C$2:C960,C960,$D$2:D960,D960)*7,10)&lt;3,"teste","treino"))</f>
        <v/>
      </c>
      <c r="N960" s="16"/>
      <c r="O960" s="16"/>
      <c r="P960" s="16"/>
      <c r="Q960" s="17"/>
    </row>
    <row r="961" customFormat="false" ht="15" hidden="false" customHeight="false" outlineLevel="0" collapsed="false">
      <c r="A961" s="15" t="str">
        <f aca="false">IF(B961="","",ROW()-1)</f>
        <v/>
      </c>
      <c r="B961" s="16"/>
      <c r="C961" s="16"/>
      <c r="D961" s="16"/>
      <c r="E961" s="16"/>
      <c r="F961" s="17"/>
      <c r="G961" s="16"/>
      <c r="H961" s="16"/>
      <c r="I961" s="16"/>
      <c r="J961" s="16"/>
      <c r="K961" s="16"/>
      <c r="L961" s="16"/>
      <c r="M961" s="18" t="str">
        <f aca="false">IF(OR(C961="",D961=""),"",IF(MOD(COUNTIFS($C$2:C961,C961,$D$2:D961,D961)*7,10)&lt;3,"teste","treino"))</f>
        <v/>
      </c>
      <c r="N961" s="16"/>
      <c r="O961" s="16"/>
      <c r="P961" s="16"/>
      <c r="Q961" s="17"/>
    </row>
    <row r="962" customFormat="false" ht="15" hidden="false" customHeight="false" outlineLevel="0" collapsed="false">
      <c r="A962" s="15" t="str">
        <f aca="false">IF(B962="","",ROW()-1)</f>
        <v/>
      </c>
      <c r="B962" s="16"/>
      <c r="C962" s="16"/>
      <c r="D962" s="16"/>
      <c r="E962" s="16"/>
      <c r="F962" s="17"/>
      <c r="G962" s="16"/>
      <c r="H962" s="16"/>
      <c r="I962" s="16"/>
      <c r="J962" s="16"/>
      <c r="K962" s="16"/>
      <c r="L962" s="16"/>
      <c r="M962" s="18" t="str">
        <f aca="false">IF(OR(C962="",D962=""),"",IF(MOD(COUNTIFS($C$2:C962,C962,$D$2:D962,D962)*7,10)&lt;3,"teste","treino"))</f>
        <v/>
      </c>
      <c r="N962" s="16"/>
      <c r="O962" s="16"/>
      <c r="P962" s="16"/>
      <c r="Q962" s="17"/>
    </row>
    <row r="963" customFormat="false" ht="15" hidden="false" customHeight="false" outlineLevel="0" collapsed="false">
      <c r="A963" s="15" t="str">
        <f aca="false">IF(B963="","",ROW()-1)</f>
        <v/>
      </c>
      <c r="B963" s="16"/>
      <c r="C963" s="16"/>
      <c r="D963" s="16"/>
      <c r="E963" s="16"/>
      <c r="F963" s="17"/>
      <c r="G963" s="16"/>
      <c r="H963" s="16"/>
      <c r="I963" s="16"/>
      <c r="J963" s="16"/>
      <c r="K963" s="16"/>
      <c r="L963" s="16"/>
      <c r="M963" s="18" t="str">
        <f aca="false">IF(OR(C963="",D963=""),"",IF(MOD(COUNTIFS($C$2:C963,C963,$D$2:D963,D963)*7,10)&lt;3,"teste","treino"))</f>
        <v/>
      </c>
      <c r="N963" s="16"/>
      <c r="O963" s="16"/>
      <c r="P963" s="16"/>
      <c r="Q963" s="17"/>
    </row>
    <row r="964" customFormat="false" ht="15" hidden="false" customHeight="false" outlineLevel="0" collapsed="false">
      <c r="A964" s="15" t="str">
        <f aca="false">IF(B964="","",ROW()-1)</f>
        <v/>
      </c>
      <c r="B964" s="16"/>
      <c r="C964" s="16"/>
      <c r="D964" s="16"/>
      <c r="E964" s="16"/>
      <c r="F964" s="17"/>
      <c r="G964" s="16"/>
      <c r="H964" s="16"/>
      <c r="I964" s="16"/>
      <c r="J964" s="16"/>
      <c r="K964" s="16"/>
      <c r="L964" s="16"/>
      <c r="M964" s="18" t="str">
        <f aca="false">IF(OR(C964="",D964=""),"",IF(MOD(COUNTIFS($C$2:C964,C964,$D$2:D964,D964)*7,10)&lt;3,"teste","treino"))</f>
        <v/>
      </c>
      <c r="N964" s="16"/>
      <c r="O964" s="16"/>
      <c r="P964" s="16"/>
      <c r="Q964" s="17"/>
    </row>
    <row r="965" customFormat="false" ht="15" hidden="false" customHeight="false" outlineLevel="0" collapsed="false">
      <c r="A965" s="15" t="str">
        <f aca="false">IF(B965="","",ROW()-1)</f>
        <v/>
      </c>
      <c r="B965" s="16"/>
      <c r="C965" s="16"/>
      <c r="D965" s="16"/>
      <c r="E965" s="16"/>
      <c r="F965" s="17"/>
      <c r="G965" s="16"/>
      <c r="H965" s="16"/>
      <c r="I965" s="16"/>
      <c r="J965" s="16"/>
      <c r="K965" s="16"/>
      <c r="L965" s="16"/>
      <c r="M965" s="18" t="str">
        <f aca="false">IF(OR(C965="",D965=""),"",IF(MOD(COUNTIFS($C$2:C965,C965,$D$2:D965,D965)*7,10)&lt;3,"teste","treino"))</f>
        <v/>
      </c>
      <c r="N965" s="16"/>
      <c r="O965" s="16"/>
      <c r="P965" s="16"/>
      <c r="Q965" s="17"/>
    </row>
    <row r="966" customFormat="false" ht="15" hidden="false" customHeight="false" outlineLevel="0" collapsed="false">
      <c r="A966" s="15" t="str">
        <f aca="false">IF(B966="","",ROW()-1)</f>
        <v/>
      </c>
      <c r="B966" s="16"/>
      <c r="C966" s="16"/>
      <c r="D966" s="16"/>
      <c r="E966" s="16"/>
      <c r="F966" s="17"/>
      <c r="G966" s="16"/>
      <c r="H966" s="16"/>
      <c r="I966" s="16"/>
      <c r="J966" s="16"/>
      <c r="K966" s="16"/>
      <c r="L966" s="16"/>
      <c r="M966" s="18" t="str">
        <f aca="false">IF(OR(C966="",D966=""),"",IF(MOD(COUNTIFS($C$2:C966,C966,$D$2:D966,D966)*7,10)&lt;3,"teste","treino"))</f>
        <v/>
      </c>
      <c r="N966" s="16"/>
      <c r="O966" s="16"/>
      <c r="P966" s="16"/>
      <c r="Q966" s="17"/>
    </row>
    <row r="967" customFormat="false" ht="15" hidden="false" customHeight="false" outlineLevel="0" collapsed="false">
      <c r="A967" s="15" t="str">
        <f aca="false">IF(B967="","",ROW()-1)</f>
        <v/>
      </c>
      <c r="B967" s="16"/>
      <c r="C967" s="16"/>
      <c r="D967" s="16"/>
      <c r="E967" s="16"/>
      <c r="F967" s="17"/>
      <c r="G967" s="16"/>
      <c r="H967" s="16"/>
      <c r="I967" s="16"/>
      <c r="J967" s="16"/>
      <c r="K967" s="16"/>
      <c r="L967" s="16"/>
      <c r="M967" s="18" t="str">
        <f aca="false">IF(OR(C967="",D967=""),"",IF(MOD(COUNTIFS($C$2:C967,C967,$D$2:D967,D967)*7,10)&lt;3,"teste","treino"))</f>
        <v/>
      </c>
      <c r="N967" s="16"/>
      <c r="O967" s="16"/>
      <c r="P967" s="16"/>
      <c r="Q967" s="17"/>
    </row>
    <row r="968" customFormat="false" ht="15" hidden="false" customHeight="false" outlineLevel="0" collapsed="false">
      <c r="A968" s="15" t="str">
        <f aca="false">IF(B968="","",ROW()-1)</f>
        <v/>
      </c>
      <c r="B968" s="16"/>
      <c r="C968" s="16"/>
      <c r="D968" s="16"/>
      <c r="E968" s="16"/>
      <c r="F968" s="17"/>
      <c r="G968" s="16"/>
      <c r="H968" s="16"/>
      <c r="I968" s="16"/>
      <c r="J968" s="16"/>
      <c r="K968" s="16"/>
      <c r="L968" s="16"/>
      <c r="M968" s="18" t="str">
        <f aca="false">IF(OR(C968="",D968=""),"",IF(MOD(COUNTIFS($C$2:C968,C968,$D$2:D968,D968)*7,10)&lt;3,"teste","treino"))</f>
        <v/>
      </c>
      <c r="N968" s="16"/>
      <c r="O968" s="16"/>
      <c r="P968" s="16"/>
      <c r="Q968" s="17"/>
    </row>
    <row r="969" customFormat="false" ht="15" hidden="false" customHeight="false" outlineLevel="0" collapsed="false">
      <c r="A969" s="15" t="str">
        <f aca="false">IF(B969="","",ROW()-1)</f>
        <v/>
      </c>
      <c r="B969" s="16"/>
      <c r="C969" s="16"/>
      <c r="D969" s="16"/>
      <c r="E969" s="16"/>
      <c r="F969" s="17"/>
      <c r="G969" s="16"/>
      <c r="H969" s="16"/>
      <c r="I969" s="16"/>
      <c r="J969" s="16"/>
      <c r="K969" s="16"/>
      <c r="L969" s="16"/>
      <c r="M969" s="18" t="str">
        <f aca="false">IF(OR(C969="",D969=""),"",IF(MOD(COUNTIFS($C$2:C969,C969,$D$2:D969,D969)*7,10)&lt;3,"teste","treino"))</f>
        <v/>
      </c>
      <c r="N969" s="16"/>
      <c r="O969" s="16"/>
      <c r="P969" s="16"/>
      <c r="Q969" s="17"/>
    </row>
    <row r="970" customFormat="false" ht="15" hidden="false" customHeight="false" outlineLevel="0" collapsed="false">
      <c r="A970" s="15" t="str">
        <f aca="false">IF(B970="","",ROW()-1)</f>
        <v/>
      </c>
      <c r="B970" s="16"/>
      <c r="C970" s="16"/>
      <c r="D970" s="16"/>
      <c r="E970" s="16"/>
      <c r="F970" s="17"/>
      <c r="G970" s="16"/>
      <c r="H970" s="16"/>
      <c r="I970" s="16"/>
      <c r="J970" s="16"/>
      <c r="K970" s="16"/>
      <c r="L970" s="16"/>
      <c r="M970" s="18" t="str">
        <f aca="false">IF(OR(C970="",D970=""),"",IF(MOD(COUNTIFS($C$2:C970,C970,$D$2:D970,D970)*7,10)&lt;3,"teste","treino"))</f>
        <v/>
      </c>
      <c r="N970" s="16"/>
      <c r="O970" s="16"/>
      <c r="P970" s="16"/>
      <c r="Q970" s="17"/>
    </row>
    <row r="971" customFormat="false" ht="15" hidden="false" customHeight="false" outlineLevel="0" collapsed="false">
      <c r="A971" s="15" t="str">
        <f aca="false">IF(B971="","",ROW()-1)</f>
        <v/>
      </c>
      <c r="B971" s="16"/>
      <c r="C971" s="16"/>
      <c r="D971" s="16"/>
      <c r="E971" s="16"/>
      <c r="F971" s="17"/>
      <c r="G971" s="16"/>
      <c r="H971" s="16"/>
      <c r="I971" s="16"/>
      <c r="J971" s="16"/>
      <c r="K971" s="16"/>
      <c r="L971" s="16"/>
      <c r="M971" s="18" t="str">
        <f aca="false">IF(OR(C971="",D971=""),"",IF(MOD(COUNTIFS($C$2:C971,C971,$D$2:D971,D971)*7,10)&lt;3,"teste","treino"))</f>
        <v/>
      </c>
      <c r="N971" s="16"/>
      <c r="O971" s="16"/>
      <c r="P971" s="16"/>
      <c r="Q971" s="17"/>
    </row>
    <row r="972" customFormat="false" ht="15" hidden="false" customHeight="false" outlineLevel="0" collapsed="false">
      <c r="A972" s="15" t="str">
        <f aca="false">IF(B972="","",ROW()-1)</f>
        <v/>
      </c>
      <c r="B972" s="16"/>
      <c r="C972" s="16"/>
      <c r="D972" s="16"/>
      <c r="E972" s="16"/>
      <c r="F972" s="17"/>
      <c r="G972" s="16"/>
      <c r="H972" s="16"/>
      <c r="I972" s="16"/>
      <c r="J972" s="16"/>
      <c r="K972" s="16"/>
      <c r="L972" s="16"/>
      <c r="M972" s="18" t="str">
        <f aca="false">IF(OR(C972="",D972=""),"",IF(MOD(COUNTIFS($C$2:C972,C972,$D$2:D972,D972)*7,10)&lt;3,"teste","treino"))</f>
        <v/>
      </c>
      <c r="N972" s="16"/>
      <c r="O972" s="16"/>
      <c r="P972" s="16"/>
      <c r="Q972" s="17"/>
    </row>
    <row r="973" customFormat="false" ht="15" hidden="false" customHeight="false" outlineLevel="0" collapsed="false">
      <c r="A973" s="15" t="str">
        <f aca="false">IF(B973="","",ROW()-1)</f>
        <v/>
      </c>
      <c r="B973" s="16"/>
      <c r="C973" s="16"/>
      <c r="D973" s="16"/>
      <c r="E973" s="16"/>
      <c r="F973" s="17"/>
      <c r="G973" s="16"/>
      <c r="H973" s="16"/>
      <c r="I973" s="16"/>
      <c r="J973" s="16"/>
      <c r="K973" s="16"/>
      <c r="L973" s="16"/>
      <c r="M973" s="18" t="str">
        <f aca="false">IF(OR(C973="",D973=""),"",IF(MOD(COUNTIFS($C$2:C973,C973,$D$2:D973,D973)*7,10)&lt;3,"teste","treino"))</f>
        <v/>
      </c>
      <c r="N973" s="16"/>
      <c r="O973" s="16"/>
      <c r="P973" s="16"/>
      <c r="Q973" s="17"/>
    </row>
    <row r="974" customFormat="false" ht="15" hidden="false" customHeight="false" outlineLevel="0" collapsed="false">
      <c r="A974" s="15" t="str">
        <f aca="false">IF(B974="","",ROW()-1)</f>
        <v/>
      </c>
      <c r="B974" s="16"/>
      <c r="C974" s="16"/>
      <c r="D974" s="16"/>
      <c r="E974" s="16"/>
      <c r="F974" s="17"/>
      <c r="G974" s="16"/>
      <c r="H974" s="16"/>
      <c r="I974" s="16"/>
      <c r="J974" s="16"/>
      <c r="K974" s="16"/>
      <c r="L974" s="16"/>
      <c r="M974" s="18" t="str">
        <f aca="false">IF(OR(C974="",D974=""),"",IF(MOD(COUNTIFS($C$2:C974,C974,$D$2:D974,D974)*7,10)&lt;3,"teste","treino"))</f>
        <v/>
      </c>
      <c r="N974" s="16"/>
      <c r="O974" s="16"/>
      <c r="P974" s="16"/>
      <c r="Q974" s="17"/>
    </row>
    <row r="975" customFormat="false" ht="15" hidden="false" customHeight="false" outlineLevel="0" collapsed="false">
      <c r="A975" s="15" t="str">
        <f aca="false">IF(B975="","",ROW()-1)</f>
        <v/>
      </c>
      <c r="B975" s="16"/>
      <c r="C975" s="16"/>
      <c r="D975" s="16"/>
      <c r="E975" s="16"/>
      <c r="F975" s="17"/>
      <c r="G975" s="16"/>
      <c r="H975" s="16"/>
      <c r="I975" s="16"/>
      <c r="J975" s="16"/>
      <c r="K975" s="16"/>
      <c r="L975" s="16"/>
      <c r="M975" s="18" t="str">
        <f aca="false">IF(OR(C975="",D975=""),"",IF(MOD(COUNTIFS($C$2:C975,C975,$D$2:D975,D975)*7,10)&lt;3,"teste","treino"))</f>
        <v/>
      </c>
      <c r="N975" s="16"/>
      <c r="O975" s="16"/>
      <c r="P975" s="16"/>
      <c r="Q975" s="17"/>
    </row>
    <row r="976" customFormat="false" ht="15" hidden="false" customHeight="false" outlineLevel="0" collapsed="false">
      <c r="A976" s="15" t="str">
        <f aca="false">IF(B976="","",ROW()-1)</f>
        <v/>
      </c>
      <c r="B976" s="16"/>
      <c r="C976" s="16"/>
      <c r="D976" s="16"/>
      <c r="E976" s="16"/>
      <c r="F976" s="17"/>
      <c r="G976" s="16"/>
      <c r="H976" s="16"/>
      <c r="I976" s="16"/>
      <c r="J976" s="16"/>
      <c r="K976" s="16"/>
      <c r="L976" s="16"/>
      <c r="M976" s="18" t="str">
        <f aca="false">IF(OR(C976="",D976=""),"",IF(MOD(COUNTIFS($C$2:C976,C976,$D$2:D976,D976)*7,10)&lt;3,"teste","treino"))</f>
        <v/>
      </c>
      <c r="N976" s="16"/>
      <c r="O976" s="16"/>
      <c r="P976" s="16"/>
      <c r="Q976" s="17"/>
    </row>
    <row r="977" customFormat="false" ht="15" hidden="false" customHeight="false" outlineLevel="0" collapsed="false">
      <c r="A977" s="15" t="str">
        <f aca="false">IF(B977="","",ROW()-1)</f>
        <v/>
      </c>
      <c r="B977" s="16"/>
      <c r="C977" s="16"/>
      <c r="D977" s="16"/>
      <c r="E977" s="16"/>
      <c r="F977" s="17"/>
      <c r="G977" s="16"/>
      <c r="H977" s="16"/>
      <c r="I977" s="16"/>
      <c r="J977" s="16"/>
      <c r="K977" s="16"/>
      <c r="L977" s="16"/>
      <c r="M977" s="18" t="str">
        <f aca="false">IF(OR(C977="",D977=""),"",IF(MOD(COUNTIFS($C$2:C977,C977,$D$2:D977,D977)*7,10)&lt;3,"teste","treino"))</f>
        <v/>
      </c>
      <c r="N977" s="16"/>
      <c r="O977" s="16"/>
      <c r="P977" s="16"/>
      <c r="Q977" s="17"/>
    </row>
    <row r="978" customFormat="false" ht="15" hidden="false" customHeight="false" outlineLevel="0" collapsed="false">
      <c r="A978" s="15" t="str">
        <f aca="false">IF(B978="","",ROW()-1)</f>
        <v/>
      </c>
      <c r="B978" s="16"/>
      <c r="C978" s="16"/>
      <c r="D978" s="16"/>
      <c r="E978" s="16"/>
      <c r="F978" s="17"/>
      <c r="G978" s="16"/>
      <c r="H978" s="16"/>
      <c r="I978" s="16"/>
      <c r="J978" s="16"/>
      <c r="K978" s="16"/>
      <c r="L978" s="16"/>
      <c r="M978" s="18" t="str">
        <f aca="false">IF(OR(C978="",D978=""),"",IF(MOD(COUNTIFS($C$2:C978,C978,$D$2:D978,D978)*7,10)&lt;3,"teste","treino"))</f>
        <v/>
      </c>
      <c r="N978" s="16"/>
      <c r="O978" s="16"/>
      <c r="P978" s="16"/>
      <c r="Q978" s="17"/>
    </row>
    <row r="979" customFormat="false" ht="15" hidden="false" customHeight="false" outlineLevel="0" collapsed="false">
      <c r="A979" s="15" t="str">
        <f aca="false">IF(B979="","",ROW()-1)</f>
        <v/>
      </c>
      <c r="B979" s="16"/>
      <c r="C979" s="16"/>
      <c r="D979" s="16"/>
      <c r="E979" s="16"/>
      <c r="F979" s="17"/>
      <c r="G979" s="16"/>
      <c r="H979" s="16"/>
      <c r="I979" s="16"/>
      <c r="J979" s="16"/>
      <c r="K979" s="16"/>
      <c r="L979" s="16"/>
      <c r="M979" s="18" t="str">
        <f aca="false">IF(OR(C979="",D979=""),"",IF(MOD(COUNTIFS($C$2:C979,C979,$D$2:D979,D979)*7,10)&lt;3,"teste","treino"))</f>
        <v/>
      </c>
      <c r="N979" s="16"/>
      <c r="O979" s="16"/>
      <c r="P979" s="16"/>
      <c r="Q979" s="17"/>
    </row>
    <row r="980" customFormat="false" ht="15" hidden="false" customHeight="false" outlineLevel="0" collapsed="false">
      <c r="A980" s="15" t="str">
        <f aca="false">IF(B980="","",ROW()-1)</f>
        <v/>
      </c>
      <c r="B980" s="16"/>
      <c r="C980" s="16"/>
      <c r="D980" s="16"/>
      <c r="E980" s="16"/>
      <c r="F980" s="17"/>
      <c r="G980" s="16"/>
      <c r="H980" s="16"/>
      <c r="I980" s="16"/>
      <c r="J980" s="16"/>
      <c r="K980" s="16"/>
      <c r="L980" s="16"/>
      <c r="M980" s="18" t="str">
        <f aca="false">IF(OR(C980="",D980=""),"",IF(MOD(COUNTIFS($C$2:C980,C980,$D$2:D980,D980)*7,10)&lt;3,"teste","treino"))</f>
        <v/>
      </c>
      <c r="N980" s="16"/>
      <c r="O980" s="16"/>
      <c r="P980" s="16"/>
      <c r="Q980" s="17"/>
    </row>
    <row r="981" customFormat="false" ht="15" hidden="false" customHeight="false" outlineLevel="0" collapsed="false">
      <c r="A981" s="15" t="str">
        <f aca="false">IF(B981="","",ROW()-1)</f>
        <v/>
      </c>
      <c r="B981" s="16"/>
      <c r="C981" s="16"/>
      <c r="D981" s="16"/>
      <c r="E981" s="16"/>
      <c r="F981" s="17"/>
      <c r="G981" s="16"/>
      <c r="H981" s="16"/>
      <c r="I981" s="16"/>
      <c r="J981" s="16"/>
      <c r="K981" s="16"/>
      <c r="L981" s="16"/>
      <c r="M981" s="18" t="str">
        <f aca="false">IF(OR(C981="",D981=""),"",IF(MOD(COUNTIFS($C$2:C981,C981,$D$2:D981,D981)*7,10)&lt;3,"teste","treino"))</f>
        <v/>
      </c>
      <c r="N981" s="16"/>
      <c r="O981" s="16"/>
      <c r="P981" s="16"/>
      <c r="Q981" s="17"/>
    </row>
    <row r="982" customFormat="false" ht="15" hidden="false" customHeight="false" outlineLevel="0" collapsed="false">
      <c r="A982" s="15" t="str">
        <f aca="false">IF(B982="","",ROW()-1)</f>
        <v/>
      </c>
      <c r="B982" s="16"/>
      <c r="C982" s="16"/>
      <c r="D982" s="16"/>
      <c r="E982" s="16"/>
      <c r="F982" s="17"/>
      <c r="G982" s="16"/>
      <c r="H982" s="16"/>
      <c r="I982" s="16"/>
      <c r="J982" s="16"/>
      <c r="K982" s="16"/>
      <c r="L982" s="16"/>
      <c r="M982" s="18" t="str">
        <f aca="false">IF(OR(C982="",D982=""),"",IF(MOD(COUNTIFS($C$2:C982,C982,$D$2:D982,D982)*7,10)&lt;3,"teste","treino"))</f>
        <v/>
      </c>
      <c r="N982" s="16"/>
      <c r="O982" s="16"/>
      <c r="P982" s="16"/>
      <c r="Q982" s="17"/>
    </row>
    <row r="983" customFormat="false" ht="15" hidden="false" customHeight="false" outlineLevel="0" collapsed="false">
      <c r="A983" s="15" t="str">
        <f aca="false">IF(B983="","",ROW()-1)</f>
        <v/>
      </c>
      <c r="B983" s="16"/>
      <c r="C983" s="16"/>
      <c r="D983" s="16"/>
      <c r="E983" s="16"/>
      <c r="F983" s="17"/>
      <c r="G983" s="16"/>
      <c r="H983" s="16"/>
      <c r="I983" s="16"/>
      <c r="J983" s="16"/>
      <c r="K983" s="16"/>
      <c r="L983" s="16"/>
      <c r="M983" s="18" t="str">
        <f aca="false">IF(OR(C983="",D983=""),"",IF(MOD(COUNTIFS($C$2:C983,C983,$D$2:D983,D983)*7,10)&lt;3,"teste","treino"))</f>
        <v/>
      </c>
      <c r="N983" s="16"/>
      <c r="O983" s="16"/>
      <c r="P983" s="16"/>
      <c r="Q983" s="17"/>
    </row>
    <row r="984" customFormat="false" ht="15" hidden="false" customHeight="false" outlineLevel="0" collapsed="false">
      <c r="A984" s="15" t="str">
        <f aca="false">IF(B984="","",ROW()-1)</f>
        <v/>
      </c>
      <c r="B984" s="16"/>
      <c r="C984" s="16"/>
      <c r="D984" s="16"/>
      <c r="E984" s="16"/>
      <c r="F984" s="17"/>
      <c r="G984" s="16"/>
      <c r="H984" s="16"/>
      <c r="I984" s="16"/>
      <c r="J984" s="16"/>
      <c r="K984" s="16"/>
      <c r="L984" s="16"/>
      <c r="M984" s="18" t="str">
        <f aca="false">IF(OR(C984="",D984=""),"",IF(MOD(COUNTIFS($C$2:C984,C984,$D$2:D984,D984)*7,10)&lt;3,"teste","treino"))</f>
        <v/>
      </c>
      <c r="N984" s="16"/>
      <c r="O984" s="16"/>
      <c r="P984" s="16"/>
      <c r="Q984" s="17"/>
    </row>
    <row r="985" customFormat="false" ht="15" hidden="false" customHeight="false" outlineLevel="0" collapsed="false">
      <c r="A985" s="15" t="str">
        <f aca="false">IF(B985="","",ROW()-1)</f>
        <v/>
      </c>
      <c r="B985" s="16"/>
      <c r="C985" s="16"/>
      <c r="D985" s="16"/>
      <c r="E985" s="16"/>
      <c r="F985" s="17"/>
      <c r="G985" s="16"/>
      <c r="H985" s="16"/>
      <c r="I985" s="16"/>
      <c r="J985" s="16"/>
      <c r="K985" s="16"/>
      <c r="L985" s="16"/>
      <c r="M985" s="18" t="str">
        <f aca="false">IF(OR(C985="",D985=""),"",IF(MOD(COUNTIFS($C$2:C985,C985,$D$2:D985,D985)*7,10)&lt;3,"teste","treino"))</f>
        <v/>
      </c>
      <c r="N985" s="16"/>
      <c r="O985" s="16"/>
      <c r="P985" s="16"/>
      <c r="Q985" s="17"/>
    </row>
    <row r="986" customFormat="false" ht="15" hidden="false" customHeight="false" outlineLevel="0" collapsed="false">
      <c r="A986" s="15" t="str">
        <f aca="false">IF(B986="","",ROW()-1)</f>
        <v/>
      </c>
      <c r="B986" s="16"/>
      <c r="C986" s="16"/>
      <c r="D986" s="16"/>
      <c r="E986" s="16"/>
      <c r="F986" s="17"/>
      <c r="G986" s="16"/>
      <c r="H986" s="16"/>
      <c r="I986" s="16"/>
      <c r="J986" s="16"/>
      <c r="K986" s="16"/>
      <c r="L986" s="16"/>
      <c r="M986" s="18" t="str">
        <f aca="false">IF(OR(C986="",D986=""),"",IF(MOD(COUNTIFS($C$2:C986,C986,$D$2:D986,D986)*7,10)&lt;3,"teste","treino"))</f>
        <v/>
      </c>
      <c r="N986" s="16"/>
      <c r="O986" s="16"/>
      <c r="P986" s="16"/>
      <c r="Q986" s="17"/>
    </row>
    <row r="987" customFormat="false" ht="15" hidden="false" customHeight="false" outlineLevel="0" collapsed="false">
      <c r="A987" s="15" t="str">
        <f aca="false">IF(B987="","",ROW()-1)</f>
        <v/>
      </c>
      <c r="B987" s="16"/>
      <c r="C987" s="16"/>
      <c r="D987" s="16"/>
      <c r="E987" s="16"/>
      <c r="F987" s="17"/>
      <c r="G987" s="16"/>
      <c r="H987" s="16"/>
      <c r="I987" s="16"/>
      <c r="J987" s="16"/>
      <c r="K987" s="16"/>
      <c r="L987" s="16"/>
      <c r="M987" s="18" t="str">
        <f aca="false">IF(OR(C987="",D987=""),"",IF(MOD(COUNTIFS($C$2:C987,C987,$D$2:D987,D987)*7,10)&lt;3,"teste","treino"))</f>
        <v/>
      </c>
      <c r="N987" s="16"/>
      <c r="O987" s="16"/>
      <c r="P987" s="16"/>
      <c r="Q987" s="17"/>
    </row>
    <row r="988" customFormat="false" ht="15" hidden="false" customHeight="false" outlineLevel="0" collapsed="false">
      <c r="A988" s="15" t="str">
        <f aca="false">IF(B988="","",ROW()-1)</f>
        <v/>
      </c>
      <c r="B988" s="16"/>
      <c r="C988" s="16"/>
      <c r="D988" s="16"/>
      <c r="E988" s="16"/>
      <c r="F988" s="17"/>
      <c r="G988" s="16"/>
      <c r="H988" s="16"/>
      <c r="I988" s="16"/>
      <c r="J988" s="16"/>
      <c r="K988" s="16"/>
      <c r="L988" s="16"/>
      <c r="M988" s="18" t="str">
        <f aca="false">IF(OR(C988="",D988=""),"",IF(MOD(COUNTIFS($C$2:C988,C988,$D$2:D988,D988)*7,10)&lt;3,"teste","treino"))</f>
        <v/>
      </c>
      <c r="N988" s="16"/>
      <c r="O988" s="16"/>
      <c r="P988" s="16"/>
      <c r="Q988" s="17"/>
    </row>
    <row r="989" customFormat="false" ht="15" hidden="false" customHeight="false" outlineLevel="0" collapsed="false">
      <c r="A989" s="15" t="str">
        <f aca="false">IF(B989="","",ROW()-1)</f>
        <v/>
      </c>
      <c r="B989" s="16"/>
      <c r="C989" s="16"/>
      <c r="D989" s="16"/>
      <c r="E989" s="16"/>
      <c r="F989" s="17"/>
      <c r="G989" s="16"/>
      <c r="H989" s="16"/>
      <c r="I989" s="16"/>
      <c r="J989" s="16"/>
      <c r="K989" s="16"/>
      <c r="L989" s="16"/>
      <c r="M989" s="18" t="str">
        <f aca="false">IF(OR(C989="",D989=""),"",IF(MOD(COUNTIFS($C$2:C989,C989,$D$2:D989,D989)*7,10)&lt;3,"teste","treino"))</f>
        <v/>
      </c>
      <c r="N989" s="16"/>
      <c r="O989" s="16"/>
      <c r="P989" s="16"/>
      <c r="Q989" s="17"/>
    </row>
    <row r="990" customFormat="false" ht="15" hidden="false" customHeight="false" outlineLevel="0" collapsed="false">
      <c r="A990" s="15" t="str">
        <f aca="false">IF(B990="","",ROW()-1)</f>
        <v/>
      </c>
      <c r="B990" s="16"/>
      <c r="C990" s="16"/>
      <c r="D990" s="16"/>
      <c r="E990" s="16"/>
      <c r="F990" s="17"/>
      <c r="G990" s="16"/>
      <c r="H990" s="16"/>
      <c r="I990" s="16"/>
      <c r="J990" s="16"/>
      <c r="K990" s="16"/>
      <c r="L990" s="16"/>
      <c r="M990" s="18" t="str">
        <f aca="false">IF(OR(C990="",D990=""),"",IF(MOD(COUNTIFS($C$2:C990,C990,$D$2:D990,D990)*7,10)&lt;3,"teste","treino"))</f>
        <v/>
      </c>
      <c r="N990" s="16"/>
      <c r="O990" s="16"/>
      <c r="P990" s="16"/>
      <c r="Q990" s="17"/>
    </row>
    <row r="991" customFormat="false" ht="15" hidden="false" customHeight="false" outlineLevel="0" collapsed="false">
      <c r="A991" s="15" t="str">
        <f aca="false">IF(B991="","",ROW()-1)</f>
        <v/>
      </c>
      <c r="B991" s="16"/>
      <c r="C991" s="16"/>
      <c r="D991" s="16"/>
      <c r="E991" s="16"/>
      <c r="F991" s="17"/>
      <c r="G991" s="16"/>
      <c r="H991" s="16"/>
      <c r="I991" s="16"/>
      <c r="J991" s="16"/>
      <c r="K991" s="16"/>
      <c r="L991" s="16"/>
      <c r="M991" s="18" t="str">
        <f aca="false">IF(OR(C991="",D991=""),"",IF(MOD(COUNTIFS($C$2:C991,C991,$D$2:D991,D991)*7,10)&lt;3,"teste","treino"))</f>
        <v/>
      </c>
      <c r="N991" s="16"/>
      <c r="O991" s="16"/>
      <c r="P991" s="16"/>
      <c r="Q991" s="17"/>
    </row>
    <row r="992" customFormat="false" ht="15" hidden="false" customHeight="false" outlineLevel="0" collapsed="false">
      <c r="A992" s="15" t="str">
        <f aca="false">IF(B992="","",ROW()-1)</f>
        <v/>
      </c>
      <c r="B992" s="16"/>
      <c r="C992" s="16"/>
      <c r="D992" s="16"/>
      <c r="E992" s="16"/>
      <c r="F992" s="17"/>
      <c r="G992" s="16"/>
      <c r="H992" s="16"/>
      <c r="I992" s="16"/>
      <c r="J992" s="16"/>
      <c r="K992" s="16"/>
      <c r="L992" s="16"/>
      <c r="M992" s="18" t="str">
        <f aca="false">IF(OR(C992="",D992=""),"",IF(MOD(COUNTIFS($C$2:C992,C992,$D$2:D992,D992)*7,10)&lt;3,"teste","treino"))</f>
        <v/>
      </c>
      <c r="N992" s="16"/>
      <c r="O992" s="16"/>
      <c r="P992" s="16"/>
      <c r="Q992" s="17"/>
    </row>
    <row r="993" customFormat="false" ht="15" hidden="false" customHeight="false" outlineLevel="0" collapsed="false">
      <c r="A993" s="15" t="str">
        <f aca="false">IF(B993="","",ROW()-1)</f>
        <v/>
      </c>
      <c r="B993" s="16"/>
      <c r="C993" s="16"/>
      <c r="D993" s="16"/>
      <c r="E993" s="16"/>
      <c r="F993" s="17"/>
      <c r="G993" s="16"/>
      <c r="H993" s="16"/>
      <c r="I993" s="16"/>
      <c r="J993" s="16"/>
      <c r="K993" s="16"/>
      <c r="L993" s="16"/>
      <c r="M993" s="18" t="str">
        <f aca="false">IF(OR(C993="",D993=""),"",IF(MOD(COUNTIFS($C$2:C993,C993,$D$2:D993,D993)*7,10)&lt;3,"teste","treino"))</f>
        <v/>
      </c>
      <c r="N993" s="16"/>
      <c r="O993" s="16"/>
      <c r="P993" s="16"/>
      <c r="Q993" s="17"/>
    </row>
    <row r="994" customFormat="false" ht="15" hidden="false" customHeight="false" outlineLevel="0" collapsed="false">
      <c r="A994" s="15" t="str">
        <f aca="false">IF(B994="","",ROW()-1)</f>
        <v/>
      </c>
      <c r="B994" s="16"/>
      <c r="C994" s="16"/>
      <c r="D994" s="16"/>
      <c r="E994" s="16"/>
      <c r="F994" s="17"/>
      <c r="G994" s="16"/>
      <c r="H994" s="16"/>
      <c r="I994" s="16"/>
      <c r="J994" s="16"/>
      <c r="K994" s="16"/>
      <c r="L994" s="16"/>
      <c r="M994" s="18" t="str">
        <f aca="false">IF(OR(C994="",D994=""),"",IF(MOD(COUNTIFS($C$2:C994,C994,$D$2:D994,D994)*7,10)&lt;3,"teste","treino"))</f>
        <v/>
      </c>
      <c r="N994" s="16"/>
      <c r="O994" s="16"/>
      <c r="P994" s="16"/>
      <c r="Q994" s="17"/>
    </row>
    <row r="995" customFormat="false" ht="15" hidden="false" customHeight="false" outlineLevel="0" collapsed="false">
      <c r="A995" s="15" t="str">
        <f aca="false">IF(B995="","",ROW()-1)</f>
        <v/>
      </c>
      <c r="B995" s="16"/>
      <c r="C995" s="16"/>
      <c r="D995" s="16"/>
      <c r="E995" s="16"/>
      <c r="F995" s="17"/>
      <c r="G995" s="16"/>
      <c r="H995" s="16"/>
      <c r="I995" s="16"/>
      <c r="J995" s="16"/>
      <c r="K995" s="16"/>
      <c r="L995" s="16"/>
      <c r="M995" s="18" t="str">
        <f aca="false">IF(OR(C995="",D995=""),"",IF(MOD(COUNTIFS($C$2:C995,C995,$D$2:D995,D995)*7,10)&lt;3,"teste","treino"))</f>
        <v/>
      </c>
      <c r="N995" s="16"/>
      <c r="O995" s="16"/>
      <c r="P995" s="16"/>
      <c r="Q995" s="17"/>
    </row>
    <row r="996" customFormat="false" ht="15" hidden="false" customHeight="false" outlineLevel="0" collapsed="false">
      <c r="A996" s="15" t="str">
        <f aca="false">IF(B996="","",ROW()-1)</f>
        <v/>
      </c>
      <c r="B996" s="16"/>
      <c r="C996" s="16"/>
      <c r="D996" s="16"/>
      <c r="E996" s="16"/>
      <c r="F996" s="17"/>
      <c r="G996" s="16"/>
      <c r="H996" s="16"/>
      <c r="I996" s="16"/>
      <c r="J996" s="16"/>
      <c r="K996" s="16"/>
      <c r="L996" s="16"/>
      <c r="M996" s="18" t="str">
        <f aca="false">IF(OR(C996="",D996=""),"",IF(MOD(COUNTIFS($C$2:C996,C996,$D$2:D996,D996)*7,10)&lt;3,"teste","treino"))</f>
        <v/>
      </c>
      <c r="N996" s="16"/>
      <c r="O996" s="16"/>
      <c r="P996" s="16"/>
      <c r="Q996" s="17"/>
    </row>
    <row r="997" customFormat="false" ht="15" hidden="false" customHeight="false" outlineLevel="0" collapsed="false">
      <c r="A997" s="15" t="str">
        <f aca="false">IF(B997="","",ROW()-1)</f>
        <v/>
      </c>
      <c r="B997" s="16"/>
      <c r="C997" s="16"/>
      <c r="D997" s="16"/>
      <c r="E997" s="16"/>
      <c r="F997" s="17"/>
      <c r="G997" s="16"/>
      <c r="H997" s="16"/>
      <c r="I997" s="16"/>
      <c r="J997" s="16"/>
      <c r="K997" s="16"/>
      <c r="L997" s="16"/>
      <c r="M997" s="18" t="str">
        <f aca="false">IF(OR(C997="",D997=""),"",IF(MOD(COUNTIFS($C$2:C997,C997,$D$2:D997,D997)*7,10)&lt;3,"teste","treino"))</f>
        <v/>
      </c>
      <c r="N997" s="16"/>
      <c r="O997" s="16"/>
      <c r="P997" s="16"/>
      <c r="Q997" s="17"/>
    </row>
    <row r="998" customFormat="false" ht="15" hidden="false" customHeight="false" outlineLevel="0" collapsed="false">
      <c r="A998" s="15" t="str">
        <f aca="false">IF(B998="","",ROW()-1)</f>
        <v/>
      </c>
      <c r="B998" s="16"/>
      <c r="C998" s="16"/>
      <c r="D998" s="16"/>
      <c r="E998" s="16"/>
      <c r="F998" s="17"/>
      <c r="G998" s="16"/>
      <c r="H998" s="16"/>
      <c r="I998" s="16"/>
      <c r="J998" s="16"/>
      <c r="K998" s="16"/>
      <c r="L998" s="16"/>
      <c r="M998" s="18" t="str">
        <f aca="false">IF(OR(C998="",D998=""),"",IF(MOD(COUNTIFS($C$2:C998,C998,$D$2:D998,D998)*7,10)&lt;3,"teste","treino"))</f>
        <v/>
      </c>
      <c r="N998" s="16"/>
      <c r="O998" s="16"/>
      <c r="P998" s="16"/>
      <c r="Q998" s="17"/>
    </row>
    <row r="999" customFormat="false" ht="15" hidden="false" customHeight="false" outlineLevel="0" collapsed="false">
      <c r="A999" s="15" t="str">
        <f aca="false">IF(B999="","",ROW()-1)</f>
        <v/>
      </c>
      <c r="B999" s="16"/>
      <c r="C999" s="16"/>
      <c r="D999" s="16"/>
      <c r="E999" s="16"/>
      <c r="F999" s="17"/>
      <c r="G999" s="16"/>
      <c r="H999" s="16"/>
      <c r="I999" s="16"/>
      <c r="J999" s="16"/>
      <c r="K999" s="16"/>
      <c r="L999" s="16"/>
      <c r="M999" s="18" t="str">
        <f aca="false">IF(OR(C999="",D999=""),"",IF(MOD(COUNTIFS($C$2:C999,C999,$D$2:D999,D999)*7,10)&lt;3,"teste","treino"))</f>
        <v/>
      </c>
      <c r="N999" s="16"/>
      <c r="O999" s="16"/>
      <c r="P999" s="16"/>
      <c r="Q999" s="17"/>
    </row>
    <row r="1000" customFormat="false" ht="15" hidden="false" customHeight="false" outlineLevel="0" collapsed="false">
      <c r="A1000" s="15" t="str">
        <f aca="false">IF(B1000="","",ROW()-1)</f>
        <v/>
      </c>
      <c r="B1000" s="16"/>
      <c r="C1000" s="16"/>
      <c r="D1000" s="16"/>
      <c r="E1000" s="16"/>
      <c r="F1000" s="17"/>
      <c r="G1000" s="16"/>
      <c r="H1000" s="16"/>
      <c r="I1000" s="16"/>
      <c r="J1000" s="16"/>
      <c r="K1000" s="16"/>
      <c r="L1000" s="16"/>
      <c r="M1000" s="18" t="str">
        <f aca="false">IF(OR(C1000="",D1000=""),"",IF(MOD(COUNTIFS($C$2:C1000,C1000,$D$2:D1000,D1000)*7,10)&lt;3,"teste","treino"))</f>
        <v/>
      </c>
      <c r="N1000" s="16"/>
      <c r="O1000" s="16"/>
      <c r="P1000" s="16"/>
      <c r="Q1000" s="17"/>
    </row>
    <row r="1001" customFormat="false" ht="15" hidden="false" customHeight="false" outlineLevel="0" collapsed="false">
      <c r="A1001" s="15" t="str">
        <f aca="false">IF(B1001="","",ROW()-1)</f>
        <v/>
      </c>
      <c r="B1001" s="16"/>
      <c r="C1001" s="16"/>
      <c r="D1001" s="16"/>
      <c r="E1001" s="16"/>
      <c r="F1001" s="17"/>
      <c r="G1001" s="16"/>
      <c r="H1001" s="16"/>
      <c r="I1001" s="16"/>
      <c r="J1001" s="16"/>
      <c r="K1001" s="16"/>
      <c r="L1001" s="16"/>
      <c r="M1001" s="18" t="str">
        <f aca="false">IF(OR(C1001="",D1001=""),"",IF(MOD(COUNTIFS($C$2:C1001,C1001,$D$2:D1001,D1001)*7,10)&lt;3,"teste","treino"))</f>
        <v/>
      </c>
      <c r="N1001" s="16"/>
      <c r="O1001" s="16"/>
      <c r="P1001" s="16"/>
      <c r="Q1001" s="17"/>
    </row>
    <row r="1002" customFormat="false" ht="15" hidden="false" customHeight="false" outlineLevel="0" collapsed="false">
      <c r="A1002" s="15" t="str">
        <f aca="false">IF(B1002="","",ROW()-1)</f>
        <v/>
      </c>
      <c r="B1002" s="16"/>
      <c r="C1002" s="16"/>
      <c r="D1002" s="16"/>
      <c r="E1002" s="16"/>
      <c r="F1002" s="17"/>
      <c r="G1002" s="16"/>
      <c r="H1002" s="16"/>
      <c r="I1002" s="16"/>
      <c r="J1002" s="16"/>
      <c r="K1002" s="16"/>
      <c r="L1002" s="16"/>
      <c r="M1002" s="18" t="str">
        <f aca="false">IF(OR(C1002="",D1002=""),"",IF(MOD(COUNTIFS($C$2:C1002,C1002,$D$2:D1002,D1002)*7,10)&lt;3,"teste","treino"))</f>
        <v/>
      </c>
      <c r="N1002" s="16"/>
      <c r="O1002" s="16"/>
      <c r="P1002" s="16"/>
      <c r="Q1002" s="17"/>
    </row>
    <row r="1003" customFormat="false" ht="15" hidden="false" customHeight="false" outlineLevel="0" collapsed="false">
      <c r="A1003" s="15" t="str">
        <f aca="false">IF(B1003="","",ROW()-1)</f>
        <v/>
      </c>
      <c r="B1003" s="16"/>
      <c r="C1003" s="16"/>
      <c r="D1003" s="16"/>
      <c r="E1003" s="16"/>
      <c r="F1003" s="17"/>
      <c r="G1003" s="16"/>
      <c r="H1003" s="16"/>
      <c r="I1003" s="16"/>
      <c r="J1003" s="16"/>
      <c r="K1003" s="16"/>
      <c r="L1003" s="16"/>
      <c r="M1003" s="18" t="str">
        <f aca="false">IF(OR(C1003="",D1003=""),"",IF(MOD(COUNTIFS($C$2:C1003,C1003,$D$2:D1003,D1003)*7,10)&lt;3,"teste","treino"))</f>
        <v/>
      </c>
      <c r="N1003" s="16"/>
      <c r="O1003" s="16"/>
      <c r="P1003" s="16"/>
      <c r="Q1003" s="17"/>
    </row>
    <row r="1004" customFormat="false" ht="15" hidden="false" customHeight="false" outlineLevel="0" collapsed="false">
      <c r="A1004" s="15" t="str">
        <f aca="false">IF(B1004="","",ROW()-1)</f>
        <v/>
      </c>
      <c r="B1004" s="16"/>
      <c r="C1004" s="16"/>
      <c r="D1004" s="16"/>
      <c r="E1004" s="16"/>
      <c r="F1004" s="17"/>
      <c r="G1004" s="16"/>
      <c r="H1004" s="16"/>
      <c r="I1004" s="16"/>
      <c r="J1004" s="16"/>
      <c r="K1004" s="16"/>
      <c r="L1004" s="16"/>
      <c r="M1004" s="18" t="str">
        <f aca="false">IF(OR(C1004="",D1004=""),"",IF(MOD(COUNTIFS($C$2:C1004,C1004,$D$2:D1004,D1004)*7,10)&lt;3,"teste","treino"))</f>
        <v/>
      </c>
      <c r="N1004" s="16"/>
      <c r="O1004" s="16"/>
      <c r="P1004" s="16"/>
      <c r="Q1004" s="17"/>
    </row>
    <row r="1005" customFormat="false" ht="15" hidden="false" customHeight="false" outlineLevel="0" collapsed="false">
      <c r="A1005" s="15" t="str">
        <f aca="false">IF(B1005="","",ROW()-1)</f>
        <v/>
      </c>
      <c r="B1005" s="16"/>
      <c r="C1005" s="16"/>
      <c r="D1005" s="16"/>
      <c r="E1005" s="16"/>
      <c r="F1005" s="17"/>
      <c r="G1005" s="16"/>
      <c r="H1005" s="16"/>
      <c r="I1005" s="16"/>
      <c r="J1005" s="16"/>
      <c r="K1005" s="16"/>
      <c r="L1005" s="16"/>
      <c r="M1005" s="18" t="str">
        <f aca="false">IF(OR(C1005="",D1005=""),"",IF(MOD(COUNTIFS($C$2:C1005,C1005,$D$2:D1005,D1005)*7,10)&lt;3,"teste","treino"))</f>
        <v/>
      </c>
      <c r="N1005" s="16"/>
      <c r="O1005" s="16"/>
      <c r="P1005" s="16"/>
      <c r="Q1005" s="17"/>
    </row>
    <row r="1006" customFormat="false" ht="15" hidden="false" customHeight="false" outlineLevel="0" collapsed="false">
      <c r="A1006" s="15" t="str">
        <f aca="false">IF(B1006="","",ROW()-1)</f>
        <v/>
      </c>
      <c r="B1006" s="16"/>
      <c r="C1006" s="16"/>
      <c r="D1006" s="16"/>
      <c r="E1006" s="16"/>
      <c r="F1006" s="17"/>
      <c r="G1006" s="16"/>
      <c r="H1006" s="16"/>
      <c r="I1006" s="16"/>
      <c r="J1006" s="16"/>
      <c r="K1006" s="16"/>
      <c r="L1006" s="16"/>
      <c r="M1006" s="18" t="str">
        <f aca="false">IF(OR(C1006="",D1006=""),"",IF(MOD(COUNTIFS($C$2:C1006,C1006,$D$2:D1006,D1006)*7,10)&lt;3,"teste","treino"))</f>
        <v/>
      </c>
      <c r="N1006" s="16"/>
      <c r="O1006" s="16"/>
      <c r="P1006" s="16"/>
      <c r="Q1006" s="17"/>
    </row>
    <row r="1007" customFormat="false" ht="15" hidden="false" customHeight="false" outlineLevel="0" collapsed="false">
      <c r="A1007" s="15" t="str">
        <f aca="false">IF(B1007="","",ROW()-1)</f>
        <v/>
      </c>
      <c r="B1007" s="16"/>
      <c r="C1007" s="16"/>
      <c r="D1007" s="16"/>
      <c r="E1007" s="16"/>
      <c r="F1007" s="17"/>
      <c r="G1007" s="16"/>
      <c r="H1007" s="16"/>
      <c r="I1007" s="16"/>
      <c r="J1007" s="16"/>
      <c r="K1007" s="16"/>
      <c r="L1007" s="16"/>
      <c r="M1007" s="18" t="str">
        <f aca="false">IF(OR(C1007="",D1007=""),"",IF(MOD(COUNTIFS($C$2:C1007,C1007,$D$2:D1007,D1007)*7,10)&lt;3,"teste","treino"))</f>
        <v/>
      </c>
      <c r="N1007" s="16"/>
      <c r="O1007" s="16"/>
      <c r="P1007" s="16"/>
      <c r="Q1007" s="17"/>
    </row>
    <row r="1008" customFormat="false" ht="15" hidden="false" customHeight="false" outlineLevel="0" collapsed="false">
      <c r="A1008" s="15" t="str">
        <f aca="false">IF(B1008="","",ROW()-1)</f>
        <v/>
      </c>
      <c r="B1008" s="16"/>
      <c r="C1008" s="16"/>
      <c r="D1008" s="16"/>
      <c r="E1008" s="16"/>
      <c r="F1008" s="17"/>
      <c r="G1008" s="16"/>
      <c r="H1008" s="16"/>
      <c r="I1008" s="16"/>
      <c r="J1008" s="16"/>
      <c r="K1008" s="16"/>
      <c r="L1008" s="16"/>
      <c r="M1008" s="18" t="str">
        <f aca="false">IF(OR(C1008="",D1008=""),"",IF(MOD(COUNTIFS($C$2:C1008,C1008,$D$2:D1008,D1008)*7,10)&lt;3,"teste","treino"))</f>
        <v/>
      </c>
      <c r="N1008" s="16"/>
      <c r="O1008" s="16"/>
      <c r="P1008" s="16"/>
      <c r="Q1008" s="17"/>
    </row>
    <row r="1009" customFormat="false" ht="15" hidden="false" customHeight="false" outlineLevel="0" collapsed="false">
      <c r="A1009" s="15" t="str">
        <f aca="false">IF(B1009="","",ROW()-1)</f>
        <v/>
      </c>
      <c r="B1009" s="16"/>
      <c r="C1009" s="16"/>
      <c r="D1009" s="16"/>
      <c r="E1009" s="16"/>
      <c r="F1009" s="17"/>
      <c r="G1009" s="16"/>
      <c r="H1009" s="16"/>
      <c r="I1009" s="16"/>
      <c r="J1009" s="16"/>
      <c r="K1009" s="16"/>
      <c r="L1009" s="16"/>
      <c r="M1009" s="18" t="str">
        <f aca="false">IF(OR(C1009="",D1009=""),"",IF(MOD(COUNTIFS($C$2:C1009,C1009,$D$2:D1009,D1009)*7,10)&lt;3,"teste","treino"))</f>
        <v/>
      </c>
      <c r="N1009" s="16"/>
      <c r="O1009" s="16"/>
      <c r="P1009" s="16"/>
      <c r="Q1009" s="17"/>
    </row>
    <row r="1010" customFormat="false" ht="15" hidden="false" customHeight="false" outlineLevel="0" collapsed="false">
      <c r="A1010" s="15" t="str">
        <f aca="false">IF(B1010="","",ROW()-1)</f>
        <v/>
      </c>
      <c r="B1010" s="16"/>
      <c r="C1010" s="16"/>
      <c r="D1010" s="16"/>
      <c r="E1010" s="16"/>
      <c r="F1010" s="17"/>
      <c r="G1010" s="16"/>
      <c r="H1010" s="16"/>
      <c r="I1010" s="16"/>
      <c r="J1010" s="16"/>
      <c r="K1010" s="16"/>
      <c r="L1010" s="16"/>
      <c r="M1010" s="18" t="str">
        <f aca="false">IF(OR(C1010="",D1010=""),"",IF(MOD(COUNTIFS($C$2:C1010,C1010,$D$2:D1010,D1010)*7,10)&lt;3,"teste","treino"))</f>
        <v/>
      </c>
      <c r="N1010" s="16"/>
      <c r="O1010" s="16"/>
      <c r="P1010" s="16"/>
      <c r="Q1010" s="17"/>
    </row>
    <row r="1011" customFormat="false" ht="15" hidden="false" customHeight="false" outlineLevel="0" collapsed="false">
      <c r="A1011" s="15" t="str">
        <f aca="false">IF(B1011="","",ROW()-1)</f>
        <v/>
      </c>
      <c r="B1011" s="16"/>
      <c r="C1011" s="16"/>
      <c r="D1011" s="16"/>
      <c r="E1011" s="16"/>
      <c r="F1011" s="17"/>
      <c r="G1011" s="16"/>
      <c r="H1011" s="16"/>
      <c r="I1011" s="16"/>
      <c r="J1011" s="16"/>
      <c r="K1011" s="16"/>
      <c r="L1011" s="16"/>
      <c r="M1011" s="18" t="str">
        <f aca="false">IF(OR(C1011="",D1011=""),"",IF(MOD(COUNTIFS($C$2:C1011,C1011,$D$2:D1011,D1011)*7,10)&lt;3,"teste","treino"))</f>
        <v/>
      </c>
      <c r="N1011" s="16"/>
      <c r="O1011" s="16"/>
      <c r="P1011" s="16"/>
      <c r="Q1011" s="17"/>
    </row>
    <row r="1012" customFormat="false" ht="15" hidden="false" customHeight="false" outlineLevel="0" collapsed="false">
      <c r="A1012" s="15" t="str">
        <f aca="false">IF(B1012="","",ROW()-1)</f>
        <v/>
      </c>
      <c r="B1012" s="16"/>
      <c r="C1012" s="16"/>
      <c r="D1012" s="16"/>
      <c r="E1012" s="16"/>
      <c r="F1012" s="17"/>
      <c r="G1012" s="16"/>
      <c r="H1012" s="16"/>
      <c r="I1012" s="16"/>
      <c r="J1012" s="16"/>
      <c r="K1012" s="16"/>
      <c r="L1012" s="16"/>
      <c r="M1012" s="18" t="str">
        <f aca="false">IF(OR(C1012="",D1012=""),"",IF(MOD(COUNTIFS($C$2:C1012,C1012,$D$2:D1012,D1012)*7,10)&lt;3,"teste","treino"))</f>
        <v/>
      </c>
      <c r="N1012" s="16"/>
      <c r="O1012" s="16"/>
      <c r="P1012" s="16"/>
      <c r="Q1012" s="17"/>
    </row>
    <row r="1013" customFormat="false" ht="15" hidden="false" customHeight="false" outlineLevel="0" collapsed="false">
      <c r="A1013" s="15" t="str">
        <f aca="false">IF(B1013="","",ROW()-1)</f>
        <v/>
      </c>
      <c r="B1013" s="16"/>
      <c r="C1013" s="16"/>
      <c r="D1013" s="16"/>
      <c r="E1013" s="16"/>
      <c r="F1013" s="17"/>
      <c r="G1013" s="16"/>
      <c r="H1013" s="16"/>
      <c r="I1013" s="16"/>
      <c r="J1013" s="16"/>
      <c r="K1013" s="16"/>
      <c r="L1013" s="16"/>
      <c r="M1013" s="18" t="str">
        <f aca="false">IF(OR(C1013="",D1013=""),"",IF(MOD(COUNTIFS($C$2:C1013,C1013,$D$2:D1013,D1013)*7,10)&lt;3,"teste","treino"))</f>
        <v/>
      </c>
      <c r="N1013" s="16"/>
      <c r="O1013" s="16"/>
      <c r="P1013" s="16"/>
      <c r="Q1013" s="17"/>
    </row>
    <row r="1014" customFormat="false" ht="15" hidden="false" customHeight="false" outlineLevel="0" collapsed="false">
      <c r="A1014" s="15" t="str">
        <f aca="false">IF(B1014="","",ROW()-1)</f>
        <v/>
      </c>
      <c r="B1014" s="16"/>
      <c r="C1014" s="16"/>
      <c r="D1014" s="16"/>
      <c r="E1014" s="16"/>
      <c r="F1014" s="17"/>
      <c r="G1014" s="16"/>
      <c r="H1014" s="16"/>
      <c r="I1014" s="16"/>
      <c r="J1014" s="16"/>
      <c r="K1014" s="16"/>
      <c r="L1014" s="16"/>
      <c r="M1014" s="18" t="str">
        <f aca="false">IF(OR(C1014="",D1014=""),"",IF(MOD(COUNTIFS($C$2:C1014,C1014,$D$2:D1014,D1014)*7,10)&lt;3,"teste","treino"))</f>
        <v/>
      </c>
      <c r="N1014" s="16"/>
      <c r="O1014" s="16"/>
      <c r="P1014" s="16"/>
      <c r="Q1014" s="17"/>
    </row>
    <row r="1015" customFormat="false" ht="15" hidden="false" customHeight="false" outlineLevel="0" collapsed="false">
      <c r="A1015" s="15" t="str">
        <f aca="false">IF(B1015="","",ROW()-1)</f>
        <v/>
      </c>
      <c r="B1015" s="16"/>
      <c r="C1015" s="16"/>
      <c r="D1015" s="16"/>
      <c r="E1015" s="16"/>
      <c r="F1015" s="17"/>
      <c r="G1015" s="16"/>
      <c r="H1015" s="16"/>
      <c r="I1015" s="16"/>
      <c r="J1015" s="16"/>
      <c r="K1015" s="16"/>
      <c r="L1015" s="16"/>
      <c r="M1015" s="18" t="str">
        <f aca="false">IF(OR(C1015="",D1015=""),"",IF(MOD(COUNTIFS($C$2:C1015,C1015,$D$2:D1015,D1015)*7,10)&lt;3,"teste","treino"))</f>
        <v/>
      </c>
      <c r="N1015" s="16"/>
      <c r="O1015" s="16"/>
      <c r="P1015" s="16"/>
      <c r="Q1015" s="17"/>
    </row>
    <row r="1016" customFormat="false" ht="15" hidden="false" customHeight="false" outlineLevel="0" collapsed="false">
      <c r="A1016" s="15" t="str">
        <f aca="false">IF(B1016="","",ROW()-1)</f>
        <v/>
      </c>
      <c r="B1016" s="16"/>
      <c r="C1016" s="16"/>
      <c r="D1016" s="16"/>
      <c r="E1016" s="16"/>
      <c r="F1016" s="17"/>
      <c r="G1016" s="16"/>
      <c r="H1016" s="16"/>
      <c r="I1016" s="16"/>
      <c r="J1016" s="16"/>
      <c r="K1016" s="16"/>
      <c r="L1016" s="16"/>
      <c r="M1016" s="18" t="str">
        <f aca="false">IF(OR(C1016="",D1016=""),"",IF(MOD(COUNTIFS($C$2:C1016,C1016,$D$2:D1016,D1016)*7,10)&lt;3,"teste","treino"))</f>
        <v/>
      </c>
      <c r="N1016" s="16"/>
      <c r="O1016" s="16"/>
      <c r="P1016" s="16"/>
      <c r="Q1016" s="17"/>
    </row>
    <row r="1017" customFormat="false" ht="15" hidden="false" customHeight="false" outlineLevel="0" collapsed="false">
      <c r="A1017" s="15" t="str">
        <f aca="false">IF(B1017="","",ROW()-1)</f>
        <v/>
      </c>
      <c r="B1017" s="16"/>
      <c r="C1017" s="16"/>
      <c r="D1017" s="16"/>
      <c r="E1017" s="16"/>
      <c r="F1017" s="17"/>
      <c r="G1017" s="16"/>
      <c r="H1017" s="16"/>
      <c r="I1017" s="16"/>
      <c r="J1017" s="16"/>
      <c r="K1017" s="16"/>
      <c r="L1017" s="16"/>
      <c r="M1017" s="18" t="str">
        <f aca="false">IF(OR(C1017="",D1017=""),"",IF(MOD(COUNTIFS($C$2:C1017,C1017,$D$2:D1017,D1017)*7,10)&lt;3,"teste","treino"))</f>
        <v/>
      </c>
      <c r="N1017" s="16"/>
      <c r="O1017" s="16"/>
      <c r="P1017" s="16"/>
      <c r="Q1017" s="17"/>
    </row>
    <row r="1018" customFormat="false" ht="15" hidden="false" customHeight="false" outlineLevel="0" collapsed="false">
      <c r="A1018" s="15" t="str">
        <f aca="false">IF(B1018="","",ROW()-1)</f>
        <v/>
      </c>
      <c r="B1018" s="16"/>
      <c r="C1018" s="16"/>
      <c r="D1018" s="16"/>
      <c r="E1018" s="16"/>
      <c r="F1018" s="17"/>
      <c r="G1018" s="16"/>
      <c r="H1018" s="16"/>
      <c r="I1018" s="16"/>
      <c r="J1018" s="16"/>
      <c r="K1018" s="16"/>
      <c r="L1018" s="16"/>
      <c r="M1018" s="18" t="str">
        <f aca="false">IF(OR(C1018="",D1018=""),"",IF(MOD(COUNTIFS($C$2:C1018,C1018,$D$2:D1018,D1018)*7,10)&lt;3,"teste","treino"))</f>
        <v/>
      </c>
      <c r="N1018" s="16"/>
      <c r="O1018" s="16"/>
      <c r="P1018" s="16"/>
      <c r="Q1018" s="17"/>
    </row>
    <row r="1019" customFormat="false" ht="15" hidden="false" customHeight="false" outlineLevel="0" collapsed="false">
      <c r="A1019" s="15" t="str">
        <f aca="false">IF(B1019="","",ROW()-1)</f>
        <v/>
      </c>
      <c r="B1019" s="16"/>
      <c r="C1019" s="16"/>
      <c r="D1019" s="16"/>
      <c r="E1019" s="16"/>
      <c r="F1019" s="17"/>
      <c r="G1019" s="16"/>
      <c r="H1019" s="16"/>
      <c r="I1019" s="16"/>
      <c r="J1019" s="16"/>
      <c r="K1019" s="16"/>
      <c r="L1019" s="16"/>
      <c r="M1019" s="18" t="str">
        <f aca="false">IF(OR(C1019="",D1019=""),"",IF(MOD(COUNTIFS($C$2:C1019,C1019,$D$2:D1019,D1019)*7,10)&lt;3,"teste","treino"))</f>
        <v/>
      </c>
      <c r="N1019" s="16"/>
      <c r="O1019" s="16"/>
      <c r="P1019" s="16"/>
      <c r="Q1019" s="17"/>
    </row>
    <row r="1020" customFormat="false" ht="15" hidden="false" customHeight="false" outlineLevel="0" collapsed="false">
      <c r="A1020" s="15" t="str">
        <f aca="false">IF(B1020="","",ROW()-1)</f>
        <v/>
      </c>
      <c r="B1020" s="16"/>
      <c r="C1020" s="16"/>
      <c r="D1020" s="16"/>
      <c r="E1020" s="16"/>
      <c r="F1020" s="17"/>
      <c r="G1020" s="16"/>
      <c r="H1020" s="16"/>
      <c r="I1020" s="16"/>
      <c r="J1020" s="16"/>
      <c r="K1020" s="16"/>
      <c r="L1020" s="16"/>
      <c r="M1020" s="18" t="str">
        <f aca="false">IF(OR(C1020="",D1020=""),"",IF(MOD(COUNTIFS($C$2:C1020,C1020,$D$2:D1020,D1020)*7,10)&lt;3,"teste","treino"))</f>
        <v/>
      </c>
      <c r="N1020" s="16"/>
      <c r="O1020" s="16"/>
      <c r="P1020" s="16"/>
      <c r="Q1020" s="17"/>
    </row>
    <row r="1021" customFormat="false" ht="15" hidden="false" customHeight="false" outlineLevel="0" collapsed="false">
      <c r="A1021" s="15" t="str">
        <f aca="false">IF(B1021="","",ROW()-1)</f>
        <v/>
      </c>
      <c r="B1021" s="16"/>
      <c r="C1021" s="16"/>
      <c r="D1021" s="16"/>
      <c r="E1021" s="16"/>
      <c r="F1021" s="17"/>
      <c r="G1021" s="16"/>
      <c r="H1021" s="16"/>
      <c r="I1021" s="16"/>
      <c r="J1021" s="16"/>
      <c r="K1021" s="16"/>
      <c r="L1021" s="16"/>
      <c r="M1021" s="18" t="str">
        <f aca="false">IF(OR(C1021="",D1021=""),"",IF(MOD(COUNTIFS($C$2:C1021,C1021,$D$2:D1021,D1021)*7,10)&lt;3,"teste","treino"))</f>
        <v/>
      </c>
      <c r="N1021" s="16"/>
      <c r="O1021" s="16"/>
      <c r="P1021" s="16"/>
      <c r="Q1021" s="17"/>
    </row>
    <row r="1022" customFormat="false" ht="15" hidden="false" customHeight="false" outlineLevel="0" collapsed="false">
      <c r="A1022" s="15" t="str">
        <f aca="false">IF(B1022="","",ROW()-1)</f>
        <v/>
      </c>
      <c r="B1022" s="16"/>
      <c r="C1022" s="16"/>
      <c r="D1022" s="16"/>
      <c r="E1022" s="16"/>
      <c r="F1022" s="17"/>
      <c r="G1022" s="16"/>
      <c r="H1022" s="16"/>
      <c r="I1022" s="16"/>
      <c r="J1022" s="16"/>
      <c r="K1022" s="16"/>
      <c r="L1022" s="16"/>
      <c r="M1022" s="18" t="str">
        <f aca="false">IF(OR(C1022="",D1022=""),"",IF(MOD(COUNTIFS($C$2:C1022,C1022,$D$2:D1022,D1022)*7,10)&lt;3,"teste","treino"))</f>
        <v/>
      </c>
      <c r="N1022" s="16"/>
      <c r="O1022" s="16"/>
      <c r="P1022" s="16"/>
      <c r="Q1022" s="17"/>
    </row>
    <row r="1023" customFormat="false" ht="15" hidden="false" customHeight="false" outlineLevel="0" collapsed="false">
      <c r="A1023" s="15" t="str">
        <f aca="false">IF(B1023="","",ROW()-1)</f>
        <v/>
      </c>
      <c r="B1023" s="16"/>
      <c r="C1023" s="16"/>
      <c r="D1023" s="16"/>
      <c r="E1023" s="16"/>
      <c r="F1023" s="17"/>
      <c r="G1023" s="16"/>
      <c r="H1023" s="16"/>
      <c r="I1023" s="16"/>
      <c r="J1023" s="16"/>
      <c r="K1023" s="16"/>
      <c r="L1023" s="16"/>
      <c r="M1023" s="18" t="str">
        <f aca="false">IF(OR(C1023="",D1023=""),"",IF(MOD(COUNTIFS($C$2:C1023,C1023,$D$2:D1023,D1023)*7,10)&lt;3,"teste","treino"))</f>
        <v/>
      </c>
      <c r="N1023" s="16"/>
      <c r="O1023" s="16"/>
      <c r="P1023" s="16"/>
      <c r="Q1023" s="17"/>
    </row>
    <row r="1024" customFormat="false" ht="15" hidden="false" customHeight="false" outlineLevel="0" collapsed="false">
      <c r="A1024" s="15" t="str">
        <f aca="false">IF(B1024="","",ROW()-1)</f>
        <v/>
      </c>
      <c r="B1024" s="16"/>
      <c r="C1024" s="16"/>
      <c r="D1024" s="16"/>
      <c r="E1024" s="16"/>
      <c r="F1024" s="17"/>
      <c r="G1024" s="16"/>
      <c r="H1024" s="16"/>
      <c r="I1024" s="16"/>
      <c r="J1024" s="16"/>
      <c r="K1024" s="16"/>
      <c r="L1024" s="16"/>
      <c r="M1024" s="18" t="str">
        <f aca="false">IF(OR(C1024="",D1024=""),"",IF(MOD(COUNTIFS($C$2:C1024,C1024,$D$2:D1024,D1024)*7,10)&lt;3,"teste","treino"))</f>
        <v/>
      </c>
      <c r="N1024" s="16"/>
      <c r="O1024" s="16"/>
      <c r="P1024" s="16"/>
      <c r="Q1024" s="17"/>
    </row>
    <row r="1025" customFormat="false" ht="15" hidden="false" customHeight="false" outlineLevel="0" collapsed="false">
      <c r="A1025" s="15" t="str">
        <f aca="false">IF(B1025="","",ROW()-1)</f>
        <v/>
      </c>
      <c r="B1025" s="16"/>
      <c r="C1025" s="16"/>
      <c r="D1025" s="16"/>
      <c r="E1025" s="16"/>
      <c r="F1025" s="17"/>
      <c r="G1025" s="16"/>
      <c r="H1025" s="16"/>
      <c r="I1025" s="16"/>
      <c r="J1025" s="16"/>
      <c r="K1025" s="16"/>
      <c r="L1025" s="16"/>
      <c r="M1025" s="18" t="str">
        <f aca="false">IF(OR(C1025="",D1025=""),"",IF(MOD(COUNTIFS($C$2:C1025,C1025,$D$2:D1025,D1025)*7,10)&lt;3,"teste","treino"))</f>
        <v/>
      </c>
      <c r="N1025" s="16"/>
      <c r="O1025" s="16"/>
      <c r="P1025" s="16"/>
      <c r="Q1025" s="17"/>
    </row>
    <row r="1026" customFormat="false" ht="15" hidden="false" customHeight="false" outlineLevel="0" collapsed="false">
      <c r="A1026" s="15" t="str">
        <f aca="false">IF(B1026="","",ROW()-1)</f>
        <v/>
      </c>
      <c r="B1026" s="16"/>
      <c r="C1026" s="16"/>
      <c r="D1026" s="16"/>
      <c r="E1026" s="16"/>
      <c r="F1026" s="17"/>
      <c r="G1026" s="16"/>
      <c r="H1026" s="16"/>
      <c r="I1026" s="16"/>
      <c r="J1026" s="16"/>
      <c r="K1026" s="16"/>
      <c r="L1026" s="16"/>
      <c r="M1026" s="18" t="str">
        <f aca="false">IF(OR(C1026="",D1026=""),"",IF(MOD(COUNTIFS($C$2:C1026,C1026,$D$2:D1026,D1026)*7,10)&lt;3,"teste","treino"))</f>
        <v/>
      </c>
      <c r="N1026" s="16"/>
      <c r="O1026" s="16"/>
      <c r="P1026" s="16"/>
      <c r="Q1026" s="17"/>
    </row>
    <row r="1027" customFormat="false" ht="15" hidden="false" customHeight="false" outlineLevel="0" collapsed="false">
      <c r="A1027" s="15" t="str">
        <f aca="false">IF(B1027="","",ROW()-1)</f>
        <v/>
      </c>
      <c r="B1027" s="16"/>
      <c r="C1027" s="16"/>
      <c r="D1027" s="16"/>
      <c r="E1027" s="16"/>
      <c r="F1027" s="17"/>
      <c r="G1027" s="16"/>
      <c r="H1027" s="16"/>
      <c r="I1027" s="16"/>
      <c r="J1027" s="16"/>
      <c r="K1027" s="16"/>
      <c r="L1027" s="16"/>
      <c r="M1027" s="18" t="str">
        <f aca="false">IF(OR(C1027="",D1027=""),"",IF(MOD(COUNTIFS($C$2:C1027,C1027,$D$2:D1027,D1027)*7,10)&lt;3,"teste","treino"))</f>
        <v/>
      </c>
      <c r="N1027" s="16"/>
      <c r="O1027" s="16"/>
      <c r="P1027" s="16"/>
      <c r="Q1027" s="17"/>
    </row>
    <row r="1028" customFormat="false" ht="15" hidden="false" customHeight="false" outlineLevel="0" collapsed="false">
      <c r="A1028" s="15" t="str">
        <f aca="false">IF(B1028="","",ROW()-1)</f>
        <v/>
      </c>
      <c r="B1028" s="16"/>
      <c r="C1028" s="16"/>
      <c r="D1028" s="16"/>
      <c r="E1028" s="16"/>
      <c r="F1028" s="17"/>
      <c r="G1028" s="16"/>
      <c r="H1028" s="16"/>
      <c r="I1028" s="16"/>
      <c r="J1028" s="16"/>
      <c r="K1028" s="16"/>
      <c r="L1028" s="16"/>
      <c r="M1028" s="18" t="str">
        <f aca="false">IF(OR(C1028="",D1028=""),"",IF(MOD(COUNTIFS($C$2:C1028,C1028,$D$2:D1028,D1028)*7,10)&lt;3,"teste","treino"))</f>
        <v/>
      </c>
      <c r="N1028" s="16"/>
      <c r="O1028" s="16"/>
      <c r="P1028" s="16"/>
      <c r="Q1028" s="17"/>
    </row>
    <row r="1029" customFormat="false" ht="15" hidden="false" customHeight="false" outlineLevel="0" collapsed="false">
      <c r="A1029" s="15" t="str">
        <f aca="false">IF(B1029="","",ROW()-1)</f>
        <v/>
      </c>
      <c r="B1029" s="16"/>
      <c r="C1029" s="16"/>
      <c r="D1029" s="16"/>
      <c r="E1029" s="16"/>
      <c r="F1029" s="17"/>
      <c r="G1029" s="16"/>
      <c r="H1029" s="16"/>
      <c r="I1029" s="16"/>
      <c r="J1029" s="16"/>
      <c r="K1029" s="16"/>
      <c r="L1029" s="16"/>
      <c r="M1029" s="18" t="str">
        <f aca="false">IF(OR(C1029="",D1029=""),"",IF(MOD(COUNTIFS($C$2:C1029,C1029,$D$2:D1029,D1029)*7,10)&lt;3,"teste","treino"))</f>
        <v/>
      </c>
      <c r="N1029" s="16"/>
      <c r="O1029" s="16"/>
      <c r="P1029" s="16"/>
      <c r="Q1029" s="17"/>
    </row>
    <row r="1030" customFormat="false" ht="15" hidden="false" customHeight="false" outlineLevel="0" collapsed="false">
      <c r="A1030" s="15" t="str">
        <f aca="false">IF(B1030="","",ROW()-1)</f>
        <v/>
      </c>
      <c r="B1030" s="16"/>
      <c r="C1030" s="16"/>
      <c r="D1030" s="16"/>
      <c r="E1030" s="16"/>
      <c r="F1030" s="17"/>
      <c r="G1030" s="16"/>
      <c r="H1030" s="16"/>
      <c r="I1030" s="16"/>
      <c r="J1030" s="16"/>
      <c r="K1030" s="16"/>
      <c r="L1030" s="16"/>
      <c r="M1030" s="18" t="str">
        <f aca="false">IF(OR(C1030="",D1030=""),"",IF(MOD(COUNTIFS($C$2:C1030,C1030,$D$2:D1030,D1030)*7,10)&lt;3,"teste","treino"))</f>
        <v/>
      </c>
      <c r="N1030" s="16"/>
      <c r="O1030" s="16"/>
      <c r="P1030" s="16"/>
      <c r="Q1030" s="17"/>
    </row>
    <row r="1031" customFormat="false" ht="15" hidden="false" customHeight="false" outlineLevel="0" collapsed="false">
      <c r="A1031" s="15" t="str">
        <f aca="false">IF(B1031="","",ROW()-1)</f>
        <v/>
      </c>
      <c r="B1031" s="16"/>
      <c r="C1031" s="16"/>
      <c r="D1031" s="16"/>
      <c r="E1031" s="16"/>
      <c r="F1031" s="17"/>
      <c r="G1031" s="16"/>
      <c r="H1031" s="16"/>
      <c r="I1031" s="16"/>
      <c r="J1031" s="16"/>
      <c r="K1031" s="16"/>
      <c r="L1031" s="16"/>
      <c r="M1031" s="18" t="str">
        <f aca="false">IF(OR(C1031="",D1031=""),"",IF(MOD(COUNTIFS($C$2:C1031,C1031,$D$2:D1031,D1031)*7,10)&lt;3,"teste","treino"))</f>
        <v/>
      </c>
      <c r="N1031" s="16"/>
      <c r="O1031" s="16"/>
      <c r="P1031" s="16"/>
      <c r="Q1031" s="17"/>
    </row>
    <row r="1032" customFormat="false" ht="15" hidden="false" customHeight="false" outlineLevel="0" collapsed="false">
      <c r="A1032" s="15" t="str">
        <f aca="false">IF(B1032="","",ROW()-1)</f>
        <v/>
      </c>
      <c r="B1032" s="16"/>
      <c r="C1032" s="16"/>
      <c r="D1032" s="16"/>
      <c r="E1032" s="16"/>
      <c r="F1032" s="17"/>
      <c r="G1032" s="16"/>
      <c r="H1032" s="16"/>
      <c r="I1032" s="16"/>
      <c r="J1032" s="16"/>
      <c r="K1032" s="16"/>
      <c r="L1032" s="16"/>
      <c r="M1032" s="18" t="str">
        <f aca="false">IF(OR(C1032="",D1032=""),"",IF(MOD(COUNTIFS($C$2:C1032,C1032,$D$2:D1032,D1032)*7,10)&lt;3,"teste","treino"))</f>
        <v/>
      </c>
      <c r="N1032" s="16"/>
      <c r="O1032" s="16"/>
      <c r="P1032" s="16"/>
      <c r="Q1032" s="17"/>
    </row>
    <row r="1033" customFormat="false" ht="15" hidden="false" customHeight="false" outlineLevel="0" collapsed="false">
      <c r="A1033" s="15" t="str">
        <f aca="false">IF(B1033="","",ROW()-1)</f>
        <v/>
      </c>
      <c r="B1033" s="16"/>
      <c r="C1033" s="16"/>
      <c r="D1033" s="16"/>
      <c r="E1033" s="16"/>
      <c r="F1033" s="17"/>
      <c r="G1033" s="16"/>
      <c r="H1033" s="16"/>
      <c r="I1033" s="16"/>
      <c r="J1033" s="16"/>
      <c r="K1033" s="16"/>
      <c r="L1033" s="16"/>
      <c r="M1033" s="18" t="str">
        <f aca="false">IF(OR(C1033="",D1033=""),"",IF(MOD(COUNTIFS($C$2:C1033,C1033,$D$2:D1033,D1033)*7,10)&lt;3,"teste","treino"))</f>
        <v/>
      </c>
      <c r="N1033" s="16"/>
      <c r="O1033" s="16"/>
      <c r="P1033" s="16"/>
      <c r="Q1033" s="17"/>
    </row>
    <row r="1034" customFormat="false" ht="15" hidden="false" customHeight="false" outlineLevel="0" collapsed="false">
      <c r="A1034" s="15" t="str">
        <f aca="false">IF(B1034="","",ROW()-1)</f>
        <v/>
      </c>
      <c r="B1034" s="16"/>
      <c r="C1034" s="16"/>
      <c r="D1034" s="16"/>
      <c r="E1034" s="16"/>
      <c r="F1034" s="17"/>
      <c r="G1034" s="16"/>
      <c r="H1034" s="16"/>
      <c r="I1034" s="16"/>
      <c r="J1034" s="16"/>
      <c r="K1034" s="16"/>
      <c r="L1034" s="16"/>
      <c r="M1034" s="18" t="str">
        <f aca="false">IF(OR(C1034="",D1034=""),"",IF(MOD(COUNTIFS($C$2:C1034,C1034,$D$2:D1034,D1034)*7,10)&lt;3,"teste","treino"))</f>
        <v/>
      </c>
      <c r="N1034" s="16"/>
      <c r="O1034" s="16"/>
      <c r="P1034" s="16"/>
      <c r="Q1034" s="17"/>
    </row>
    <row r="1035" customFormat="false" ht="15" hidden="false" customHeight="false" outlineLevel="0" collapsed="false">
      <c r="A1035" s="15" t="str">
        <f aca="false">IF(B1035="","",ROW()-1)</f>
        <v/>
      </c>
      <c r="B1035" s="16"/>
      <c r="C1035" s="16"/>
      <c r="D1035" s="16"/>
      <c r="E1035" s="16"/>
      <c r="F1035" s="17"/>
      <c r="G1035" s="16"/>
      <c r="H1035" s="16"/>
      <c r="I1035" s="16"/>
      <c r="J1035" s="16"/>
      <c r="K1035" s="16"/>
      <c r="L1035" s="16"/>
      <c r="M1035" s="18" t="str">
        <f aca="false">IF(OR(C1035="",D1035=""),"",IF(MOD(COUNTIFS($C$2:C1035,C1035,$D$2:D1035,D1035)*7,10)&lt;3,"teste","treino"))</f>
        <v/>
      </c>
      <c r="N1035" s="16"/>
      <c r="O1035" s="16"/>
      <c r="P1035" s="16"/>
      <c r="Q1035" s="17"/>
    </row>
    <row r="1036" customFormat="false" ht="15" hidden="false" customHeight="false" outlineLevel="0" collapsed="false">
      <c r="A1036" s="15" t="str">
        <f aca="false">IF(B1036="","",ROW()-1)</f>
        <v/>
      </c>
      <c r="B1036" s="16"/>
      <c r="C1036" s="16"/>
      <c r="D1036" s="16"/>
      <c r="E1036" s="16"/>
      <c r="F1036" s="17"/>
      <c r="G1036" s="16"/>
      <c r="H1036" s="16"/>
      <c r="I1036" s="16"/>
      <c r="J1036" s="16"/>
      <c r="K1036" s="16"/>
      <c r="L1036" s="16"/>
      <c r="M1036" s="18" t="str">
        <f aca="false">IF(OR(C1036="",D1036=""),"",IF(MOD(COUNTIFS($C$2:C1036,C1036,$D$2:D1036,D1036)*7,10)&lt;3,"teste","treino"))</f>
        <v/>
      </c>
      <c r="N1036" s="16"/>
      <c r="O1036" s="16"/>
      <c r="P1036" s="16"/>
      <c r="Q1036" s="17"/>
    </row>
    <row r="1037" customFormat="false" ht="15" hidden="false" customHeight="false" outlineLevel="0" collapsed="false">
      <c r="A1037" s="15" t="str">
        <f aca="false">IF(B1037="","",ROW()-1)</f>
        <v/>
      </c>
      <c r="B1037" s="16"/>
      <c r="C1037" s="16"/>
      <c r="D1037" s="16"/>
      <c r="E1037" s="16"/>
      <c r="F1037" s="17"/>
      <c r="G1037" s="16"/>
      <c r="H1037" s="16"/>
      <c r="I1037" s="16"/>
      <c r="J1037" s="16"/>
      <c r="K1037" s="16"/>
      <c r="L1037" s="16"/>
      <c r="M1037" s="18" t="str">
        <f aca="false">IF(OR(C1037="",D1037=""),"",IF(MOD(COUNTIFS($C$2:C1037,C1037,$D$2:D1037,D1037)*7,10)&lt;3,"teste","treino"))</f>
        <v/>
      </c>
      <c r="N1037" s="16"/>
      <c r="O1037" s="16"/>
      <c r="P1037" s="16"/>
      <c r="Q1037" s="17"/>
    </row>
    <row r="1038" customFormat="false" ht="15" hidden="false" customHeight="false" outlineLevel="0" collapsed="false">
      <c r="A1038" s="15" t="str">
        <f aca="false">IF(B1038="","",ROW()-1)</f>
        <v/>
      </c>
      <c r="B1038" s="16"/>
      <c r="C1038" s="16"/>
      <c r="D1038" s="16"/>
      <c r="E1038" s="16"/>
      <c r="F1038" s="17"/>
      <c r="G1038" s="16"/>
      <c r="H1038" s="16"/>
      <c r="I1038" s="16"/>
      <c r="J1038" s="16"/>
      <c r="K1038" s="16"/>
      <c r="L1038" s="16"/>
      <c r="M1038" s="18" t="str">
        <f aca="false">IF(OR(C1038="",D1038=""),"",IF(MOD(COUNTIFS($C$2:C1038,C1038,$D$2:D1038,D1038)*7,10)&lt;3,"teste","treino"))</f>
        <v/>
      </c>
      <c r="N1038" s="16"/>
      <c r="O1038" s="16"/>
      <c r="P1038" s="16"/>
      <c r="Q1038" s="17"/>
    </row>
    <row r="1039" customFormat="false" ht="15" hidden="false" customHeight="false" outlineLevel="0" collapsed="false">
      <c r="A1039" s="15" t="str">
        <f aca="false">IF(B1039="","",ROW()-1)</f>
        <v/>
      </c>
      <c r="B1039" s="16"/>
      <c r="C1039" s="16"/>
      <c r="D1039" s="16"/>
      <c r="E1039" s="16"/>
      <c r="F1039" s="17"/>
      <c r="G1039" s="16"/>
      <c r="H1039" s="16"/>
      <c r="I1039" s="16"/>
      <c r="J1039" s="16"/>
      <c r="K1039" s="16"/>
      <c r="L1039" s="16"/>
      <c r="M1039" s="18" t="str">
        <f aca="false">IF(OR(C1039="",D1039=""),"",IF(MOD(COUNTIFS($C$2:C1039,C1039,$D$2:D1039,D1039)*7,10)&lt;3,"teste","treino"))</f>
        <v/>
      </c>
      <c r="N1039" s="16"/>
      <c r="O1039" s="16"/>
      <c r="P1039" s="16"/>
      <c r="Q1039" s="17"/>
    </row>
    <row r="1040" customFormat="false" ht="15" hidden="false" customHeight="false" outlineLevel="0" collapsed="false">
      <c r="A1040" s="15" t="str">
        <f aca="false">IF(B1040="","",ROW()-1)</f>
        <v/>
      </c>
      <c r="B1040" s="16"/>
      <c r="C1040" s="16"/>
      <c r="D1040" s="16"/>
      <c r="E1040" s="16"/>
      <c r="F1040" s="17"/>
      <c r="G1040" s="16"/>
      <c r="H1040" s="16"/>
      <c r="I1040" s="16"/>
      <c r="J1040" s="16"/>
      <c r="K1040" s="16"/>
      <c r="L1040" s="16"/>
      <c r="M1040" s="18" t="str">
        <f aca="false">IF(OR(C1040="",D1040=""),"",IF(MOD(COUNTIFS($C$2:C1040,C1040,$D$2:D1040,D1040)*7,10)&lt;3,"teste","treino"))</f>
        <v/>
      </c>
      <c r="N1040" s="16"/>
      <c r="O1040" s="16"/>
      <c r="P1040" s="16"/>
      <c r="Q1040" s="17"/>
    </row>
    <row r="1041" customFormat="false" ht="15" hidden="false" customHeight="false" outlineLevel="0" collapsed="false">
      <c r="A1041" s="15" t="str">
        <f aca="false">IF(B1041="","",ROW()-1)</f>
        <v/>
      </c>
      <c r="B1041" s="16"/>
      <c r="C1041" s="16"/>
      <c r="D1041" s="16"/>
      <c r="E1041" s="16"/>
      <c r="F1041" s="17"/>
      <c r="G1041" s="16"/>
      <c r="H1041" s="16"/>
      <c r="I1041" s="16"/>
      <c r="J1041" s="16"/>
      <c r="K1041" s="16"/>
      <c r="L1041" s="16"/>
      <c r="M1041" s="18" t="str">
        <f aca="false">IF(OR(C1041="",D1041=""),"",IF(MOD(COUNTIFS($C$2:C1041,C1041,$D$2:D1041,D1041)*7,10)&lt;3,"teste","treino"))</f>
        <v/>
      </c>
      <c r="N1041" s="16"/>
      <c r="O1041" s="16"/>
      <c r="P1041" s="16"/>
      <c r="Q1041" s="17"/>
    </row>
    <row r="1042" customFormat="false" ht="15" hidden="false" customHeight="false" outlineLevel="0" collapsed="false">
      <c r="A1042" s="15" t="str">
        <f aca="false">IF(B1042="","",ROW()-1)</f>
        <v/>
      </c>
      <c r="B1042" s="16"/>
      <c r="C1042" s="16"/>
      <c r="D1042" s="16"/>
      <c r="E1042" s="16"/>
      <c r="F1042" s="17"/>
      <c r="G1042" s="16"/>
      <c r="H1042" s="16"/>
      <c r="I1042" s="16"/>
      <c r="J1042" s="16"/>
      <c r="K1042" s="16"/>
      <c r="L1042" s="16"/>
      <c r="M1042" s="18" t="str">
        <f aca="false">IF(OR(C1042="",D1042=""),"",IF(MOD(COUNTIFS($C$2:C1042,C1042,$D$2:D1042,D1042)*7,10)&lt;3,"teste","treino"))</f>
        <v/>
      </c>
      <c r="N1042" s="16"/>
      <c r="O1042" s="16"/>
      <c r="P1042" s="16"/>
      <c r="Q1042" s="17"/>
    </row>
    <row r="1043" customFormat="false" ht="15" hidden="false" customHeight="false" outlineLevel="0" collapsed="false">
      <c r="A1043" s="15" t="str">
        <f aca="false">IF(B1043="","",ROW()-1)</f>
        <v/>
      </c>
      <c r="B1043" s="16"/>
      <c r="C1043" s="16"/>
      <c r="D1043" s="16"/>
      <c r="E1043" s="16"/>
      <c r="F1043" s="17"/>
      <c r="G1043" s="16"/>
      <c r="H1043" s="16"/>
      <c r="I1043" s="16"/>
      <c r="J1043" s="16"/>
      <c r="K1043" s="16"/>
      <c r="L1043" s="16"/>
      <c r="M1043" s="18" t="str">
        <f aca="false">IF(OR(C1043="",D1043=""),"",IF(MOD(COUNTIFS($C$2:C1043,C1043,$D$2:D1043,D1043)*7,10)&lt;3,"teste","treino"))</f>
        <v/>
      </c>
      <c r="N1043" s="16"/>
      <c r="O1043" s="16"/>
      <c r="P1043" s="16"/>
      <c r="Q1043" s="17"/>
    </row>
    <row r="1044" customFormat="false" ht="15" hidden="false" customHeight="false" outlineLevel="0" collapsed="false">
      <c r="A1044" s="15" t="str">
        <f aca="false">IF(B1044="","",ROW()-1)</f>
        <v/>
      </c>
      <c r="B1044" s="16"/>
      <c r="C1044" s="16"/>
      <c r="D1044" s="16"/>
      <c r="E1044" s="16"/>
      <c r="F1044" s="17"/>
      <c r="G1044" s="16"/>
      <c r="H1044" s="16"/>
      <c r="I1044" s="16"/>
      <c r="J1044" s="16"/>
      <c r="K1044" s="16"/>
      <c r="L1044" s="16"/>
      <c r="M1044" s="18" t="str">
        <f aca="false">IF(OR(C1044="",D1044=""),"",IF(MOD(COUNTIFS($C$2:C1044,C1044,$D$2:D1044,D1044)*7,10)&lt;3,"teste","treino"))</f>
        <v/>
      </c>
      <c r="N1044" s="16"/>
      <c r="O1044" s="16"/>
      <c r="P1044" s="16"/>
      <c r="Q1044" s="17"/>
    </row>
    <row r="1045" customFormat="false" ht="15" hidden="false" customHeight="false" outlineLevel="0" collapsed="false">
      <c r="A1045" s="15" t="str">
        <f aca="false">IF(B1045="","",ROW()-1)</f>
        <v/>
      </c>
      <c r="B1045" s="16"/>
      <c r="C1045" s="16"/>
      <c r="D1045" s="16"/>
      <c r="E1045" s="16"/>
      <c r="F1045" s="17"/>
      <c r="G1045" s="16"/>
      <c r="H1045" s="16"/>
      <c r="I1045" s="16"/>
      <c r="J1045" s="16"/>
      <c r="K1045" s="16"/>
      <c r="L1045" s="16"/>
      <c r="M1045" s="18" t="str">
        <f aca="false">IF(OR(C1045="",D1045=""),"",IF(MOD(COUNTIFS($C$2:C1045,C1045,$D$2:D1045,D1045)*7,10)&lt;3,"teste","treino"))</f>
        <v/>
      </c>
      <c r="N1045" s="16"/>
      <c r="O1045" s="16"/>
      <c r="P1045" s="16"/>
      <c r="Q1045" s="17"/>
    </row>
    <row r="1046" customFormat="false" ht="15" hidden="false" customHeight="false" outlineLevel="0" collapsed="false">
      <c r="A1046" s="15" t="str">
        <f aca="false">IF(B1046="","",ROW()-1)</f>
        <v/>
      </c>
      <c r="B1046" s="16"/>
      <c r="C1046" s="16"/>
      <c r="D1046" s="16"/>
      <c r="E1046" s="16"/>
      <c r="F1046" s="17"/>
      <c r="G1046" s="16"/>
      <c r="H1046" s="16"/>
      <c r="I1046" s="16"/>
      <c r="J1046" s="16"/>
      <c r="K1046" s="16"/>
      <c r="L1046" s="16"/>
      <c r="M1046" s="18" t="str">
        <f aca="false">IF(OR(C1046="",D1046=""),"",IF(MOD(COUNTIFS($C$2:C1046,C1046,$D$2:D1046,D1046)*7,10)&lt;3,"teste","treino"))</f>
        <v/>
      </c>
      <c r="N1046" s="16"/>
      <c r="O1046" s="16"/>
      <c r="P1046" s="16"/>
      <c r="Q1046" s="17"/>
    </row>
    <row r="1047" customFormat="false" ht="15" hidden="false" customHeight="false" outlineLevel="0" collapsed="false">
      <c r="A1047" s="15" t="str">
        <f aca="false">IF(B1047="","",ROW()-1)</f>
        <v/>
      </c>
      <c r="B1047" s="16"/>
      <c r="C1047" s="16"/>
      <c r="D1047" s="16"/>
      <c r="E1047" s="16"/>
      <c r="F1047" s="17"/>
      <c r="G1047" s="16"/>
      <c r="H1047" s="16"/>
      <c r="I1047" s="16"/>
      <c r="J1047" s="16"/>
      <c r="K1047" s="16"/>
      <c r="L1047" s="16"/>
      <c r="M1047" s="18" t="str">
        <f aca="false">IF(OR(C1047="",D1047=""),"",IF(MOD(COUNTIFS($C$2:C1047,C1047,$D$2:D1047,D1047)*7,10)&lt;3,"teste","treino"))</f>
        <v/>
      </c>
      <c r="N1047" s="16"/>
      <c r="O1047" s="16"/>
      <c r="P1047" s="16"/>
      <c r="Q1047" s="17"/>
    </row>
    <row r="1048" customFormat="false" ht="15" hidden="false" customHeight="false" outlineLevel="0" collapsed="false">
      <c r="A1048" s="15" t="str">
        <f aca="false">IF(B1048="","",ROW()-1)</f>
        <v/>
      </c>
      <c r="B1048" s="16"/>
      <c r="C1048" s="16"/>
      <c r="D1048" s="16"/>
      <c r="E1048" s="16"/>
      <c r="F1048" s="17"/>
      <c r="G1048" s="16"/>
      <c r="H1048" s="16"/>
      <c r="I1048" s="16"/>
      <c r="J1048" s="16"/>
      <c r="K1048" s="16"/>
      <c r="L1048" s="16"/>
      <c r="M1048" s="18" t="str">
        <f aca="false">IF(OR(C1048="",D1048=""),"",IF(MOD(COUNTIFS($C$2:C1048,C1048,$D$2:D1048,D1048)*7,10)&lt;3,"teste","treino"))</f>
        <v/>
      </c>
      <c r="N1048" s="16"/>
      <c r="O1048" s="16"/>
      <c r="P1048" s="16"/>
      <c r="Q1048" s="17"/>
    </row>
    <row r="1049" customFormat="false" ht="15" hidden="false" customHeight="false" outlineLevel="0" collapsed="false">
      <c r="A1049" s="15" t="str">
        <f aca="false">IF(B1049="","",ROW()-1)</f>
        <v/>
      </c>
      <c r="B1049" s="16"/>
      <c r="C1049" s="16"/>
      <c r="D1049" s="16"/>
      <c r="E1049" s="16"/>
      <c r="F1049" s="17"/>
      <c r="G1049" s="16"/>
      <c r="H1049" s="16"/>
      <c r="I1049" s="16"/>
      <c r="J1049" s="16"/>
      <c r="K1049" s="16"/>
      <c r="L1049" s="16"/>
      <c r="M1049" s="18" t="str">
        <f aca="false">IF(OR(C1049="",D1049=""),"",IF(MOD(COUNTIFS($C$2:C1049,C1049,$D$2:D1049,D1049)*7,10)&lt;3,"teste","treino"))</f>
        <v/>
      </c>
      <c r="N1049" s="16"/>
      <c r="O1049" s="16"/>
      <c r="P1049" s="16"/>
      <c r="Q1049" s="17"/>
    </row>
    <row r="1050" customFormat="false" ht="15" hidden="false" customHeight="false" outlineLevel="0" collapsed="false">
      <c r="A1050" s="15" t="str">
        <f aca="false">IF(B1050="","",ROW()-1)</f>
        <v/>
      </c>
      <c r="B1050" s="16"/>
      <c r="C1050" s="16"/>
      <c r="D1050" s="16"/>
      <c r="E1050" s="16"/>
      <c r="F1050" s="17"/>
      <c r="G1050" s="16"/>
      <c r="H1050" s="16"/>
      <c r="I1050" s="16"/>
      <c r="J1050" s="16"/>
      <c r="K1050" s="16"/>
      <c r="L1050" s="16"/>
      <c r="M1050" s="18" t="str">
        <f aca="false">IF(OR(C1050="",D1050=""),"",IF(MOD(COUNTIFS($C$2:C1050,C1050,$D$2:D1050,D1050)*7,10)&lt;3,"teste","treino"))</f>
        <v/>
      </c>
      <c r="N1050" s="16"/>
      <c r="O1050" s="16"/>
      <c r="P1050" s="16"/>
      <c r="Q1050" s="17"/>
    </row>
    <row r="1051" customFormat="false" ht="15" hidden="false" customHeight="false" outlineLevel="0" collapsed="false">
      <c r="A1051" s="15" t="str">
        <f aca="false">IF(B1051="","",ROW()-1)</f>
        <v/>
      </c>
      <c r="B1051" s="16"/>
      <c r="C1051" s="16"/>
      <c r="D1051" s="16"/>
      <c r="E1051" s="16"/>
      <c r="F1051" s="17"/>
      <c r="G1051" s="16"/>
      <c r="H1051" s="16"/>
      <c r="I1051" s="16"/>
      <c r="J1051" s="16"/>
      <c r="K1051" s="16"/>
      <c r="L1051" s="16"/>
      <c r="M1051" s="18" t="str">
        <f aca="false">IF(OR(C1051="",D1051=""),"",IF(MOD(COUNTIFS($C$2:C1051,C1051,$D$2:D1051,D1051)*7,10)&lt;3,"teste","treino"))</f>
        <v/>
      </c>
      <c r="N1051" s="16"/>
      <c r="O1051" s="16"/>
      <c r="P1051" s="16"/>
      <c r="Q1051" s="17"/>
    </row>
    <row r="1052" customFormat="false" ht="15" hidden="false" customHeight="false" outlineLevel="0" collapsed="false">
      <c r="A1052" s="15" t="str">
        <f aca="false">IF(B1052="","",ROW()-1)</f>
        <v/>
      </c>
      <c r="B1052" s="16"/>
      <c r="C1052" s="16"/>
      <c r="D1052" s="16"/>
      <c r="E1052" s="16"/>
      <c r="F1052" s="17"/>
      <c r="G1052" s="16"/>
      <c r="H1052" s="16"/>
      <c r="I1052" s="16"/>
      <c r="J1052" s="16"/>
      <c r="K1052" s="16"/>
      <c r="L1052" s="16"/>
      <c r="M1052" s="18" t="str">
        <f aca="false">IF(OR(C1052="",D1052=""),"",IF(MOD(COUNTIFS($C$2:C1052,C1052,$D$2:D1052,D1052)*7,10)&lt;3,"teste","treino"))</f>
        <v/>
      </c>
      <c r="N1052" s="16"/>
      <c r="O1052" s="16"/>
      <c r="P1052" s="16"/>
      <c r="Q1052" s="17"/>
    </row>
    <row r="1053" customFormat="false" ht="15" hidden="false" customHeight="false" outlineLevel="0" collapsed="false">
      <c r="A1053" s="15" t="str">
        <f aca="false">IF(B1053="","",ROW()-1)</f>
        <v/>
      </c>
      <c r="B1053" s="16"/>
      <c r="C1053" s="16"/>
      <c r="D1053" s="16"/>
      <c r="E1053" s="16"/>
      <c r="F1053" s="17"/>
      <c r="G1053" s="16"/>
      <c r="H1053" s="16"/>
      <c r="I1053" s="16"/>
      <c r="J1053" s="16"/>
      <c r="K1053" s="16"/>
      <c r="L1053" s="16"/>
      <c r="M1053" s="18" t="str">
        <f aca="false">IF(OR(C1053="",D1053=""),"",IF(MOD(COUNTIFS($C$2:C1053,C1053,$D$2:D1053,D1053)*7,10)&lt;3,"teste","treino"))</f>
        <v/>
      </c>
      <c r="N1053" s="16"/>
      <c r="O1053" s="16"/>
      <c r="P1053" s="16"/>
      <c r="Q1053" s="17"/>
    </row>
    <row r="1054" customFormat="false" ht="15" hidden="false" customHeight="false" outlineLevel="0" collapsed="false">
      <c r="A1054" s="15" t="str">
        <f aca="false">IF(B1054="","",ROW()-1)</f>
        <v/>
      </c>
      <c r="B1054" s="16"/>
      <c r="C1054" s="16"/>
      <c r="D1054" s="16"/>
      <c r="E1054" s="16"/>
      <c r="F1054" s="17"/>
      <c r="G1054" s="16"/>
      <c r="H1054" s="16"/>
      <c r="I1054" s="16"/>
      <c r="J1054" s="16"/>
      <c r="K1054" s="16"/>
      <c r="L1054" s="16"/>
      <c r="M1054" s="18" t="str">
        <f aca="false">IF(OR(C1054="",D1054=""),"",IF(MOD(COUNTIFS($C$2:C1054,C1054,$D$2:D1054,D1054)*7,10)&lt;3,"teste","treino"))</f>
        <v/>
      </c>
      <c r="N1054" s="16"/>
      <c r="O1054" s="16"/>
      <c r="P1054" s="16"/>
      <c r="Q1054" s="17"/>
    </row>
    <row r="1055" customFormat="false" ht="15" hidden="false" customHeight="false" outlineLevel="0" collapsed="false">
      <c r="A1055" s="15" t="str">
        <f aca="false">IF(B1055="","",ROW()-1)</f>
        <v/>
      </c>
      <c r="B1055" s="16"/>
      <c r="C1055" s="16"/>
      <c r="D1055" s="16"/>
      <c r="E1055" s="16"/>
      <c r="F1055" s="17"/>
      <c r="G1055" s="16"/>
      <c r="H1055" s="16"/>
      <c r="I1055" s="16"/>
      <c r="J1055" s="16"/>
      <c r="K1055" s="16"/>
      <c r="L1055" s="16"/>
      <c r="M1055" s="18" t="str">
        <f aca="false">IF(OR(C1055="",D1055=""),"",IF(MOD(COUNTIFS($C$2:C1055,C1055,$D$2:D1055,D1055)*7,10)&lt;3,"teste","treino"))</f>
        <v/>
      </c>
      <c r="N1055" s="16"/>
      <c r="O1055" s="16"/>
      <c r="P1055" s="16"/>
      <c r="Q1055" s="17"/>
    </row>
    <row r="1056" customFormat="false" ht="15" hidden="false" customHeight="false" outlineLevel="0" collapsed="false">
      <c r="A1056" s="15" t="str">
        <f aca="false">IF(B1056="","",ROW()-1)</f>
        <v/>
      </c>
      <c r="B1056" s="16"/>
      <c r="C1056" s="16"/>
      <c r="D1056" s="16"/>
      <c r="E1056" s="16"/>
      <c r="F1056" s="17"/>
      <c r="G1056" s="16"/>
      <c r="H1056" s="16"/>
      <c r="I1056" s="16"/>
      <c r="J1056" s="16"/>
      <c r="K1056" s="16"/>
      <c r="L1056" s="16"/>
      <c r="M1056" s="18" t="str">
        <f aca="false">IF(OR(C1056="",D1056=""),"",IF(MOD(COUNTIFS($C$2:C1056,C1056,$D$2:D1056,D1056)*7,10)&lt;3,"teste","treino"))</f>
        <v/>
      </c>
      <c r="N1056" s="16"/>
      <c r="O1056" s="16"/>
      <c r="P1056" s="16"/>
      <c r="Q1056" s="17"/>
    </row>
    <row r="1057" customFormat="false" ht="15" hidden="false" customHeight="false" outlineLevel="0" collapsed="false">
      <c r="A1057" s="15" t="str">
        <f aca="false">IF(B1057="","",ROW()-1)</f>
        <v/>
      </c>
      <c r="B1057" s="16"/>
      <c r="C1057" s="16"/>
      <c r="D1057" s="16"/>
      <c r="E1057" s="16"/>
      <c r="F1057" s="17"/>
      <c r="G1057" s="16"/>
      <c r="H1057" s="16"/>
      <c r="I1057" s="16"/>
      <c r="J1057" s="16"/>
      <c r="K1057" s="16"/>
      <c r="L1057" s="16"/>
      <c r="M1057" s="18" t="str">
        <f aca="false">IF(OR(C1057="",D1057=""),"",IF(MOD(COUNTIFS($C$2:C1057,C1057,$D$2:D1057,D1057)*7,10)&lt;3,"teste","treino"))</f>
        <v/>
      </c>
      <c r="N1057" s="16"/>
      <c r="O1057" s="16"/>
      <c r="P1057" s="16"/>
      <c r="Q1057" s="17"/>
    </row>
    <row r="1058" customFormat="false" ht="15" hidden="false" customHeight="false" outlineLevel="0" collapsed="false">
      <c r="A1058" s="15" t="str">
        <f aca="false">IF(B1058="","",ROW()-1)</f>
        <v/>
      </c>
      <c r="B1058" s="16"/>
      <c r="C1058" s="16"/>
      <c r="D1058" s="16"/>
      <c r="E1058" s="16"/>
      <c r="F1058" s="17"/>
      <c r="G1058" s="16"/>
      <c r="H1058" s="16"/>
      <c r="I1058" s="16"/>
      <c r="J1058" s="16"/>
      <c r="K1058" s="16"/>
      <c r="L1058" s="16"/>
      <c r="M1058" s="18" t="str">
        <f aca="false">IF(OR(C1058="",D1058=""),"",IF(MOD(COUNTIFS($C$2:C1058,C1058,$D$2:D1058,D1058)*7,10)&lt;3,"teste","treino"))</f>
        <v/>
      </c>
      <c r="N1058" s="16"/>
      <c r="O1058" s="16"/>
      <c r="P1058" s="16"/>
      <c r="Q1058" s="17"/>
    </row>
    <row r="1059" customFormat="false" ht="15" hidden="false" customHeight="false" outlineLevel="0" collapsed="false">
      <c r="A1059" s="15" t="str">
        <f aca="false">IF(B1059="","",ROW()-1)</f>
        <v/>
      </c>
      <c r="B1059" s="16"/>
      <c r="C1059" s="16"/>
      <c r="D1059" s="16"/>
      <c r="E1059" s="16"/>
      <c r="F1059" s="17"/>
      <c r="G1059" s="16"/>
      <c r="H1059" s="16"/>
      <c r="I1059" s="16"/>
      <c r="J1059" s="16"/>
      <c r="K1059" s="16"/>
      <c r="L1059" s="16"/>
      <c r="M1059" s="18" t="str">
        <f aca="false">IF(OR(C1059="",D1059=""),"",IF(MOD(COUNTIFS($C$2:C1059,C1059,$D$2:D1059,D1059)*7,10)&lt;3,"teste","treino"))</f>
        <v/>
      </c>
      <c r="N1059" s="16"/>
      <c r="O1059" s="16"/>
      <c r="P1059" s="16"/>
      <c r="Q1059" s="17"/>
    </row>
    <row r="1060" customFormat="false" ht="15" hidden="false" customHeight="false" outlineLevel="0" collapsed="false">
      <c r="A1060" s="15" t="str">
        <f aca="false">IF(B1060="","",ROW()-1)</f>
        <v/>
      </c>
      <c r="B1060" s="16"/>
      <c r="C1060" s="16"/>
      <c r="D1060" s="16"/>
      <c r="E1060" s="16"/>
      <c r="F1060" s="17"/>
      <c r="G1060" s="16"/>
      <c r="H1060" s="16"/>
      <c r="I1060" s="16"/>
      <c r="J1060" s="16"/>
      <c r="K1060" s="16"/>
      <c r="L1060" s="16"/>
      <c r="M1060" s="18" t="str">
        <f aca="false">IF(OR(C1060="",D1060=""),"",IF(MOD(COUNTIFS($C$2:C1060,C1060,$D$2:D1060,D1060)*7,10)&lt;3,"teste","treino"))</f>
        <v/>
      </c>
      <c r="N1060" s="16"/>
      <c r="O1060" s="16"/>
      <c r="P1060" s="16"/>
      <c r="Q1060" s="17"/>
    </row>
    <row r="1061" customFormat="false" ht="15" hidden="false" customHeight="false" outlineLevel="0" collapsed="false">
      <c r="A1061" s="15" t="str">
        <f aca="false">IF(B1061="","",ROW()-1)</f>
        <v/>
      </c>
      <c r="B1061" s="16"/>
      <c r="C1061" s="16"/>
      <c r="D1061" s="16"/>
      <c r="E1061" s="16"/>
      <c r="F1061" s="17"/>
      <c r="G1061" s="16"/>
      <c r="H1061" s="16"/>
      <c r="I1061" s="16"/>
      <c r="J1061" s="16"/>
      <c r="K1061" s="16"/>
      <c r="L1061" s="16"/>
      <c r="M1061" s="18" t="str">
        <f aca="false">IF(OR(C1061="",D1061=""),"",IF(MOD(COUNTIFS($C$2:C1061,C1061,$D$2:D1061,D1061)*7,10)&lt;3,"teste","treino"))</f>
        <v/>
      </c>
      <c r="N1061" s="16"/>
      <c r="O1061" s="16"/>
      <c r="P1061" s="16"/>
      <c r="Q1061" s="17"/>
    </row>
    <row r="1062" customFormat="false" ht="15" hidden="false" customHeight="false" outlineLevel="0" collapsed="false">
      <c r="A1062" s="15" t="str">
        <f aca="false">IF(B1062="","",ROW()-1)</f>
        <v/>
      </c>
      <c r="B1062" s="16"/>
      <c r="C1062" s="16"/>
      <c r="D1062" s="16"/>
      <c r="E1062" s="16"/>
      <c r="F1062" s="17"/>
      <c r="G1062" s="16"/>
      <c r="H1062" s="16"/>
      <c r="I1062" s="16"/>
      <c r="J1062" s="16"/>
      <c r="K1062" s="16"/>
      <c r="L1062" s="16"/>
      <c r="M1062" s="18" t="str">
        <f aca="false">IF(OR(C1062="",D1062=""),"",IF(MOD(COUNTIFS($C$2:C1062,C1062,$D$2:D1062,D1062)*7,10)&lt;3,"teste","treino"))</f>
        <v/>
      </c>
      <c r="N1062" s="16"/>
      <c r="O1062" s="16"/>
      <c r="P1062" s="16"/>
      <c r="Q1062" s="17"/>
    </row>
    <row r="1063" customFormat="false" ht="15" hidden="false" customHeight="false" outlineLevel="0" collapsed="false">
      <c r="A1063" s="15" t="str">
        <f aca="false">IF(B1063="","",ROW()-1)</f>
        <v/>
      </c>
      <c r="B1063" s="16"/>
      <c r="C1063" s="16"/>
      <c r="D1063" s="16"/>
      <c r="E1063" s="16"/>
      <c r="F1063" s="17"/>
      <c r="G1063" s="16"/>
      <c r="H1063" s="16"/>
      <c r="I1063" s="16"/>
      <c r="J1063" s="16"/>
      <c r="K1063" s="16"/>
      <c r="L1063" s="16"/>
      <c r="M1063" s="18" t="str">
        <f aca="false">IF(OR(C1063="",D1063=""),"",IF(MOD(COUNTIFS($C$2:C1063,C1063,$D$2:D1063,D1063)*7,10)&lt;3,"teste","treino"))</f>
        <v/>
      </c>
      <c r="N1063" s="16"/>
      <c r="O1063" s="16"/>
      <c r="P1063" s="16"/>
      <c r="Q1063" s="17"/>
    </row>
    <row r="1064" customFormat="false" ht="15" hidden="false" customHeight="false" outlineLevel="0" collapsed="false">
      <c r="A1064" s="15" t="str">
        <f aca="false">IF(B1064="","",ROW()-1)</f>
        <v/>
      </c>
      <c r="B1064" s="16"/>
      <c r="C1064" s="16"/>
      <c r="D1064" s="16"/>
      <c r="E1064" s="16"/>
      <c r="F1064" s="17"/>
      <c r="G1064" s="16"/>
      <c r="H1064" s="16"/>
      <c r="I1064" s="16"/>
      <c r="J1064" s="16"/>
      <c r="K1064" s="16"/>
      <c r="L1064" s="16"/>
      <c r="M1064" s="18" t="str">
        <f aca="false">IF(OR(C1064="",D1064=""),"",IF(MOD(COUNTIFS($C$2:C1064,C1064,$D$2:D1064,D1064)*7,10)&lt;3,"teste","treino"))</f>
        <v/>
      </c>
      <c r="N1064" s="16"/>
      <c r="O1064" s="16"/>
      <c r="P1064" s="16"/>
      <c r="Q1064" s="17"/>
    </row>
    <row r="1065" customFormat="false" ht="15" hidden="false" customHeight="false" outlineLevel="0" collapsed="false">
      <c r="A1065" s="15" t="str">
        <f aca="false">IF(B1065="","",ROW()-1)</f>
        <v/>
      </c>
      <c r="B1065" s="16"/>
      <c r="C1065" s="16"/>
      <c r="D1065" s="16"/>
      <c r="E1065" s="16"/>
      <c r="F1065" s="17"/>
      <c r="G1065" s="16"/>
      <c r="H1065" s="16"/>
      <c r="I1065" s="16"/>
      <c r="J1065" s="16"/>
      <c r="K1065" s="16"/>
      <c r="L1065" s="16"/>
      <c r="M1065" s="18" t="str">
        <f aca="false">IF(OR(C1065="",D1065=""),"",IF(MOD(COUNTIFS($C$2:C1065,C1065,$D$2:D1065,D1065)*7,10)&lt;3,"teste","treino"))</f>
        <v/>
      </c>
      <c r="N1065" s="16"/>
      <c r="O1065" s="16"/>
      <c r="P1065" s="16"/>
      <c r="Q1065" s="17"/>
    </row>
    <row r="1066" customFormat="false" ht="15" hidden="false" customHeight="false" outlineLevel="0" collapsed="false">
      <c r="A1066" s="15" t="str">
        <f aca="false">IF(B1066="","",ROW()-1)</f>
        <v/>
      </c>
      <c r="B1066" s="16"/>
      <c r="C1066" s="16"/>
      <c r="D1066" s="16"/>
      <c r="E1066" s="16"/>
      <c r="F1066" s="17"/>
      <c r="G1066" s="16"/>
      <c r="H1066" s="16"/>
      <c r="I1066" s="16"/>
      <c r="J1066" s="16"/>
      <c r="K1066" s="16"/>
      <c r="L1066" s="16"/>
      <c r="M1066" s="18" t="str">
        <f aca="false">IF(OR(C1066="",D1066=""),"",IF(MOD(COUNTIFS($C$2:C1066,C1066,$D$2:D1066,D1066)*7,10)&lt;3,"teste","treino"))</f>
        <v/>
      </c>
      <c r="N1066" s="16"/>
      <c r="O1066" s="16"/>
      <c r="P1066" s="16"/>
      <c r="Q1066" s="17"/>
    </row>
    <row r="1067" customFormat="false" ht="15" hidden="false" customHeight="false" outlineLevel="0" collapsed="false">
      <c r="A1067" s="15" t="str">
        <f aca="false">IF(B1067="","",ROW()-1)</f>
        <v/>
      </c>
      <c r="B1067" s="16"/>
      <c r="C1067" s="16"/>
      <c r="D1067" s="16"/>
      <c r="E1067" s="16"/>
      <c r="F1067" s="17"/>
      <c r="G1067" s="16"/>
      <c r="H1067" s="16"/>
      <c r="I1067" s="16"/>
      <c r="J1067" s="16"/>
      <c r="K1067" s="16"/>
      <c r="L1067" s="16"/>
      <c r="M1067" s="18" t="str">
        <f aca="false">IF(OR(C1067="",D1067=""),"",IF(MOD(COUNTIFS($C$2:C1067,C1067,$D$2:D1067,D1067)*7,10)&lt;3,"teste","treino"))</f>
        <v/>
      </c>
      <c r="N1067" s="16"/>
      <c r="O1067" s="16"/>
      <c r="P1067" s="16"/>
      <c r="Q1067" s="17"/>
    </row>
    <row r="1068" customFormat="false" ht="15" hidden="false" customHeight="false" outlineLevel="0" collapsed="false">
      <c r="A1068" s="15" t="str">
        <f aca="false">IF(B1068="","",ROW()-1)</f>
        <v/>
      </c>
      <c r="B1068" s="16"/>
      <c r="C1068" s="16"/>
      <c r="D1068" s="16"/>
      <c r="E1068" s="16"/>
      <c r="F1068" s="17"/>
      <c r="G1068" s="16"/>
      <c r="H1068" s="16"/>
      <c r="I1068" s="16"/>
      <c r="J1068" s="16"/>
      <c r="K1068" s="16"/>
      <c r="L1068" s="16"/>
      <c r="M1068" s="18" t="str">
        <f aca="false">IF(OR(C1068="",D1068=""),"",IF(MOD(COUNTIFS($C$2:C1068,C1068,$D$2:D1068,D1068)*7,10)&lt;3,"teste","treino"))</f>
        <v/>
      </c>
      <c r="N1068" s="16"/>
      <c r="O1068" s="16"/>
      <c r="P1068" s="16"/>
      <c r="Q1068" s="17"/>
    </row>
    <row r="1069" customFormat="false" ht="15" hidden="false" customHeight="false" outlineLevel="0" collapsed="false">
      <c r="A1069" s="15" t="str">
        <f aca="false">IF(B1069="","",ROW()-1)</f>
        <v/>
      </c>
      <c r="B1069" s="16"/>
      <c r="C1069" s="16"/>
      <c r="D1069" s="16"/>
      <c r="E1069" s="16"/>
      <c r="F1069" s="17"/>
      <c r="G1069" s="16"/>
      <c r="H1069" s="16"/>
      <c r="I1069" s="16"/>
      <c r="J1069" s="16"/>
      <c r="K1069" s="16"/>
      <c r="L1069" s="16"/>
      <c r="M1069" s="18" t="str">
        <f aca="false">IF(OR(C1069="",D1069=""),"",IF(MOD(COUNTIFS($C$2:C1069,C1069,$D$2:D1069,D1069)*7,10)&lt;3,"teste","treino"))</f>
        <v/>
      </c>
      <c r="N1069" s="16"/>
      <c r="O1069" s="16"/>
      <c r="P1069" s="16"/>
      <c r="Q1069" s="17"/>
    </row>
    <row r="1070" customFormat="false" ht="15" hidden="false" customHeight="false" outlineLevel="0" collapsed="false">
      <c r="A1070" s="15" t="str">
        <f aca="false">IF(B1070="","",ROW()-1)</f>
        <v/>
      </c>
      <c r="B1070" s="16"/>
      <c r="C1070" s="16"/>
      <c r="D1070" s="16"/>
      <c r="E1070" s="16"/>
      <c r="F1070" s="17"/>
      <c r="G1070" s="16"/>
      <c r="H1070" s="16"/>
      <c r="I1070" s="16"/>
      <c r="J1070" s="16"/>
      <c r="K1070" s="16"/>
      <c r="L1070" s="16"/>
      <c r="M1070" s="18" t="str">
        <f aca="false">IF(OR(C1070="",D1070=""),"",IF(MOD(COUNTIFS($C$2:C1070,C1070,$D$2:D1070,D1070)*7,10)&lt;3,"teste","treino"))</f>
        <v/>
      </c>
      <c r="N1070" s="16"/>
      <c r="O1070" s="16"/>
      <c r="P1070" s="16"/>
      <c r="Q1070" s="17"/>
    </row>
    <row r="1071" customFormat="false" ht="15" hidden="false" customHeight="false" outlineLevel="0" collapsed="false">
      <c r="A1071" s="15" t="str">
        <f aca="false">IF(B1071="","",ROW()-1)</f>
        <v/>
      </c>
      <c r="B1071" s="16"/>
      <c r="C1071" s="16"/>
      <c r="D1071" s="16"/>
      <c r="E1071" s="16"/>
      <c r="F1071" s="17"/>
      <c r="G1071" s="16"/>
      <c r="H1071" s="16"/>
      <c r="I1071" s="16"/>
      <c r="J1071" s="16"/>
      <c r="K1071" s="16"/>
      <c r="L1071" s="16"/>
      <c r="M1071" s="18" t="str">
        <f aca="false">IF(OR(C1071="",D1071=""),"",IF(MOD(COUNTIFS($C$2:C1071,C1071,$D$2:D1071,D1071)*7,10)&lt;3,"teste","treino"))</f>
        <v/>
      </c>
      <c r="N1071" s="16"/>
      <c r="O1071" s="16"/>
      <c r="P1071" s="16"/>
      <c r="Q1071" s="17"/>
    </row>
    <row r="1072" customFormat="false" ht="15" hidden="false" customHeight="false" outlineLevel="0" collapsed="false">
      <c r="A1072" s="15" t="str">
        <f aca="false">IF(B1072="","",ROW()-1)</f>
        <v/>
      </c>
      <c r="B1072" s="16"/>
      <c r="C1072" s="16"/>
      <c r="D1072" s="16"/>
      <c r="E1072" s="16"/>
      <c r="F1072" s="17"/>
      <c r="G1072" s="16"/>
      <c r="H1072" s="16"/>
      <c r="I1072" s="16"/>
      <c r="J1072" s="16"/>
      <c r="K1072" s="16"/>
      <c r="L1072" s="16"/>
      <c r="M1072" s="18" t="str">
        <f aca="false">IF(OR(C1072="",D1072=""),"",IF(MOD(COUNTIFS($C$2:C1072,C1072,$D$2:D1072,D1072)*7,10)&lt;3,"teste","treino"))</f>
        <v/>
      </c>
      <c r="N1072" s="16"/>
      <c r="O1072" s="16"/>
      <c r="P1072" s="16"/>
      <c r="Q1072" s="17"/>
    </row>
    <row r="1073" customFormat="false" ht="15" hidden="false" customHeight="false" outlineLevel="0" collapsed="false">
      <c r="A1073" s="15" t="str">
        <f aca="false">IF(B1073="","",ROW()-1)</f>
        <v/>
      </c>
      <c r="B1073" s="16"/>
      <c r="C1073" s="16"/>
      <c r="D1073" s="16"/>
      <c r="E1073" s="16"/>
      <c r="F1073" s="17"/>
      <c r="G1073" s="16"/>
      <c r="H1073" s="16"/>
      <c r="I1073" s="16"/>
      <c r="J1073" s="16"/>
      <c r="K1073" s="16"/>
      <c r="L1073" s="16"/>
      <c r="M1073" s="18" t="str">
        <f aca="false">IF(OR(C1073="",D1073=""),"",IF(MOD(COUNTIFS($C$2:C1073,C1073,$D$2:D1073,D1073)*7,10)&lt;3,"teste","treino"))</f>
        <v/>
      </c>
      <c r="N1073" s="16"/>
      <c r="O1073" s="16"/>
      <c r="P1073" s="16"/>
      <c r="Q1073" s="17"/>
    </row>
    <row r="1074" customFormat="false" ht="15" hidden="false" customHeight="false" outlineLevel="0" collapsed="false">
      <c r="A1074" s="15" t="str">
        <f aca="false">IF(B1074="","",ROW()-1)</f>
        <v/>
      </c>
      <c r="B1074" s="16"/>
      <c r="C1074" s="16"/>
      <c r="D1074" s="16"/>
      <c r="E1074" s="16"/>
      <c r="F1074" s="17"/>
      <c r="G1074" s="16"/>
      <c r="H1074" s="16"/>
      <c r="I1074" s="16"/>
      <c r="J1074" s="16"/>
      <c r="K1074" s="16"/>
      <c r="L1074" s="16"/>
      <c r="M1074" s="18" t="str">
        <f aca="false">IF(OR(C1074="",D1074=""),"",IF(MOD(COUNTIFS($C$2:C1074,C1074,$D$2:D1074,D1074)*7,10)&lt;3,"teste","treino"))</f>
        <v/>
      </c>
      <c r="N1074" s="16"/>
      <c r="O1074" s="16"/>
      <c r="P1074" s="16"/>
      <c r="Q1074" s="17"/>
    </row>
    <row r="1075" customFormat="false" ht="15" hidden="false" customHeight="false" outlineLevel="0" collapsed="false">
      <c r="A1075" s="15" t="str">
        <f aca="false">IF(B1075="","",ROW()-1)</f>
        <v/>
      </c>
      <c r="B1075" s="16"/>
      <c r="C1075" s="16"/>
      <c r="D1075" s="16"/>
      <c r="E1075" s="16"/>
      <c r="F1075" s="17"/>
      <c r="G1075" s="16"/>
      <c r="H1075" s="16"/>
      <c r="I1075" s="16"/>
      <c r="J1075" s="16"/>
      <c r="K1075" s="16"/>
      <c r="L1075" s="16"/>
      <c r="M1075" s="18" t="str">
        <f aca="false">IF(OR(C1075="",D1075=""),"",IF(MOD(COUNTIFS($C$2:C1075,C1075,$D$2:D1075,D1075)*7,10)&lt;3,"teste","treino"))</f>
        <v/>
      </c>
      <c r="N1075" s="16"/>
      <c r="O1075" s="16"/>
      <c r="P1075" s="16"/>
      <c r="Q1075" s="17"/>
    </row>
    <row r="1076" customFormat="false" ht="15" hidden="false" customHeight="false" outlineLevel="0" collapsed="false">
      <c r="A1076" s="15" t="str">
        <f aca="false">IF(B1076="","",ROW()-1)</f>
        <v/>
      </c>
      <c r="B1076" s="16"/>
      <c r="C1076" s="16"/>
      <c r="D1076" s="16"/>
      <c r="E1076" s="16"/>
      <c r="F1076" s="17"/>
      <c r="G1076" s="16"/>
      <c r="H1076" s="16"/>
      <c r="I1076" s="16"/>
      <c r="J1076" s="16"/>
      <c r="K1076" s="16"/>
      <c r="L1076" s="16"/>
      <c r="M1076" s="18" t="str">
        <f aca="false">IF(OR(C1076="",D1076=""),"",IF(MOD(COUNTIFS($C$2:C1076,C1076,$D$2:D1076,D1076)*7,10)&lt;3,"teste","treino"))</f>
        <v/>
      </c>
      <c r="N1076" s="16"/>
      <c r="O1076" s="16"/>
      <c r="P1076" s="16"/>
      <c r="Q1076" s="17"/>
    </row>
    <row r="1077" customFormat="false" ht="15" hidden="false" customHeight="false" outlineLevel="0" collapsed="false">
      <c r="A1077" s="15" t="str">
        <f aca="false">IF(B1077="","",ROW()-1)</f>
        <v/>
      </c>
      <c r="B1077" s="16"/>
      <c r="C1077" s="16"/>
      <c r="D1077" s="16"/>
      <c r="E1077" s="16"/>
      <c r="F1077" s="17"/>
      <c r="G1077" s="16"/>
      <c r="H1077" s="16"/>
      <c r="I1077" s="16"/>
      <c r="J1077" s="16"/>
      <c r="K1077" s="16"/>
      <c r="L1077" s="16"/>
      <c r="M1077" s="18" t="str">
        <f aca="false">IF(OR(C1077="",D1077=""),"",IF(MOD(COUNTIFS($C$2:C1077,C1077,$D$2:D1077,D1077)*7,10)&lt;3,"teste","treino"))</f>
        <v/>
      </c>
      <c r="N1077" s="16"/>
      <c r="O1077" s="16"/>
      <c r="P1077" s="16"/>
      <c r="Q1077" s="17"/>
    </row>
    <row r="1078" customFormat="false" ht="15" hidden="false" customHeight="false" outlineLevel="0" collapsed="false">
      <c r="A1078" s="15" t="str">
        <f aca="false">IF(B1078="","",ROW()-1)</f>
        <v/>
      </c>
      <c r="B1078" s="16"/>
      <c r="C1078" s="16"/>
      <c r="D1078" s="16"/>
      <c r="E1078" s="16"/>
      <c r="F1078" s="17"/>
      <c r="G1078" s="16"/>
      <c r="H1078" s="16"/>
      <c r="I1078" s="16"/>
      <c r="J1078" s="16"/>
      <c r="K1078" s="16"/>
      <c r="L1078" s="16"/>
      <c r="M1078" s="18" t="str">
        <f aca="false">IF(OR(C1078="",D1078=""),"",IF(MOD(COUNTIFS($C$2:C1078,C1078,$D$2:D1078,D1078)*7,10)&lt;3,"teste","treino"))</f>
        <v/>
      </c>
      <c r="N1078" s="16"/>
      <c r="O1078" s="16"/>
      <c r="P1078" s="16"/>
      <c r="Q1078" s="17"/>
    </row>
    <row r="1079" customFormat="false" ht="15" hidden="false" customHeight="false" outlineLevel="0" collapsed="false">
      <c r="A1079" s="15" t="str">
        <f aca="false">IF(B1079="","",ROW()-1)</f>
        <v/>
      </c>
      <c r="B1079" s="16"/>
      <c r="C1079" s="16"/>
      <c r="D1079" s="16"/>
      <c r="E1079" s="16"/>
      <c r="F1079" s="17"/>
      <c r="G1079" s="16"/>
      <c r="H1079" s="16"/>
      <c r="I1079" s="16"/>
      <c r="J1079" s="16"/>
      <c r="K1079" s="16"/>
      <c r="L1079" s="16"/>
      <c r="M1079" s="18" t="str">
        <f aca="false">IF(OR(C1079="",D1079=""),"",IF(MOD(COUNTIFS($C$2:C1079,C1079,$D$2:D1079,D1079)*7,10)&lt;3,"teste","treino"))</f>
        <v/>
      </c>
      <c r="N1079" s="16"/>
      <c r="O1079" s="16"/>
      <c r="P1079" s="16"/>
      <c r="Q1079" s="17"/>
    </row>
    <row r="1080" customFormat="false" ht="15" hidden="false" customHeight="false" outlineLevel="0" collapsed="false">
      <c r="A1080" s="15" t="str">
        <f aca="false">IF(B1080="","",ROW()-1)</f>
        <v/>
      </c>
      <c r="B1080" s="16"/>
      <c r="C1080" s="16"/>
      <c r="D1080" s="16"/>
      <c r="E1080" s="16"/>
      <c r="F1080" s="17"/>
      <c r="G1080" s="16"/>
      <c r="H1080" s="16"/>
      <c r="I1080" s="16"/>
      <c r="J1080" s="16"/>
      <c r="K1080" s="16"/>
      <c r="L1080" s="16"/>
      <c r="M1080" s="18" t="str">
        <f aca="false">IF(OR(C1080="",D1080=""),"",IF(MOD(COUNTIFS($C$2:C1080,C1080,$D$2:D1080,D1080)*7,10)&lt;3,"teste","treino"))</f>
        <v/>
      </c>
      <c r="N1080" s="16"/>
      <c r="O1080" s="16"/>
      <c r="P1080" s="16"/>
      <c r="Q1080" s="17"/>
    </row>
    <row r="1081" customFormat="false" ht="15" hidden="false" customHeight="false" outlineLevel="0" collapsed="false">
      <c r="A1081" s="15" t="str">
        <f aca="false">IF(B1081="","",ROW()-1)</f>
        <v/>
      </c>
      <c r="B1081" s="16"/>
      <c r="C1081" s="16"/>
      <c r="D1081" s="16"/>
      <c r="E1081" s="16"/>
      <c r="F1081" s="17"/>
      <c r="G1081" s="16"/>
      <c r="H1081" s="16"/>
      <c r="I1081" s="16"/>
      <c r="J1081" s="16"/>
      <c r="K1081" s="16"/>
      <c r="L1081" s="16"/>
      <c r="M1081" s="18" t="str">
        <f aca="false">IF(OR(C1081="",D1081=""),"",IF(MOD(COUNTIFS($C$2:C1081,C1081,$D$2:D1081,D1081)*7,10)&lt;3,"teste","treino"))</f>
        <v/>
      </c>
      <c r="N1081" s="16"/>
      <c r="O1081" s="16"/>
      <c r="P1081" s="16"/>
      <c r="Q1081" s="17"/>
    </row>
    <row r="1082" customFormat="false" ht="15" hidden="false" customHeight="false" outlineLevel="0" collapsed="false">
      <c r="A1082" s="15" t="str">
        <f aca="false">IF(B1082="","",ROW()-1)</f>
        <v/>
      </c>
      <c r="B1082" s="16"/>
      <c r="C1082" s="16"/>
      <c r="D1082" s="16"/>
      <c r="E1082" s="16"/>
      <c r="F1082" s="17"/>
      <c r="G1082" s="16"/>
      <c r="H1082" s="16"/>
      <c r="I1082" s="16"/>
      <c r="J1082" s="16"/>
      <c r="K1082" s="16"/>
      <c r="L1082" s="16"/>
      <c r="M1082" s="18" t="str">
        <f aca="false">IF(OR(C1082="",D1082=""),"",IF(MOD(COUNTIFS($C$2:C1082,C1082,$D$2:D1082,D1082)*7,10)&lt;3,"teste","treino"))</f>
        <v/>
      </c>
      <c r="N1082" s="16"/>
      <c r="O1082" s="16"/>
      <c r="P1082" s="16"/>
      <c r="Q1082" s="17"/>
    </row>
    <row r="1083" customFormat="false" ht="15" hidden="false" customHeight="false" outlineLevel="0" collapsed="false">
      <c r="A1083" s="15" t="str">
        <f aca="false">IF(B1083="","",ROW()-1)</f>
        <v/>
      </c>
      <c r="B1083" s="16"/>
      <c r="C1083" s="16"/>
      <c r="D1083" s="16"/>
      <c r="E1083" s="16"/>
      <c r="F1083" s="17"/>
      <c r="G1083" s="16"/>
      <c r="H1083" s="16"/>
      <c r="I1083" s="16"/>
      <c r="J1083" s="16"/>
      <c r="K1083" s="16"/>
      <c r="L1083" s="16"/>
      <c r="M1083" s="18" t="str">
        <f aca="false">IF(OR(C1083="",D1083=""),"",IF(MOD(COUNTIFS($C$2:C1083,C1083,$D$2:D1083,D1083)*7,10)&lt;3,"teste","treino"))</f>
        <v/>
      </c>
      <c r="N1083" s="16"/>
      <c r="O1083" s="16"/>
      <c r="P1083" s="16"/>
      <c r="Q1083" s="17"/>
    </row>
    <row r="1084" customFormat="false" ht="15" hidden="false" customHeight="false" outlineLevel="0" collapsed="false">
      <c r="A1084" s="15" t="str">
        <f aca="false">IF(B1084="","",ROW()-1)</f>
        <v/>
      </c>
      <c r="B1084" s="16"/>
      <c r="C1084" s="16"/>
      <c r="D1084" s="16"/>
      <c r="E1084" s="16"/>
      <c r="F1084" s="17"/>
      <c r="G1084" s="16"/>
      <c r="H1084" s="16"/>
      <c r="I1084" s="16"/>
      <c r="J1084" s="16"/>
      <c r="K1084" s="16"/>
      <c r="L1084" s="16"/>
      <c r="M1084" s="18" t="str">
        <f aca="false">IF(OR(C1084="",D1084=""),"",IF(MOD(COUNTIFS($C$2:C1084,C1084,$D$2:D1084,D1084)*7,10)&lt;3,"teste","treino"))</f>
        <v/>
      </c>
      <c r="N1084" s="16"/>
      <c r="O1084" s="16"/>
      <c r="P1084" s="16"/>
      <c r="Q1084" s="17"/>
    </row>
    <row r="1085" customFormat="false" ht="15" hidden="false" customHeight="false" outlineLevel="0" collapsed="false">
      <c r="A1085" s="15" t="str">
        <f aca="false">IF(B1085="","",ROW()-1)</f>
        <v/>
      </c>
      <c r="B1085" s="16"/>
      <c r="C1085" s="16"/>
      <c r="D1085" s="16"/>
      <c r="E1085" s="16"/>
      <c r="F1085" s="17"/>
      <c r="G1085" s="16"/>
      <c r="H1085" s="16"/>
      <c r="I1085" s="16"/>
      <c r="J1085" s="16"/>
      <c r="K1085" s="16"/>
      <c r="L1085" s="16"/>
      <c r="M1085" s="18" t="str">
        <f aca="false">IF(OR(C1085="",D1085=""),"",IF(MOD(COUNTIFS($C$2:C1085,C1085,$D$2:D1085,D1085)*7,10)&lt;3,"teste","treino"))</f>
        <v/>
      </c>
      <c r="N1085" s="16"/>
      <c r="O1085" s="16"/>
      <c r="P1085" s="16"/>
      <c r="Q1085" s="17"/>
    </row>
    <row r="1086" customFormat="false" ht="15" hidden="false" customHeight="false" outlineLevel="0" collapsed="false">
      <c r="A1086" s="15" t="str">
        <f aca="false">IF(B1086="","",ROW()-1)</f>
        <v/>
      </c>
      <c r="B1086" s="16"/>
      <c r="C1086" s="16"/>
      <c r="D1086" s="16"/>
      <c r="E1086" s="16"/>
      <c r="F1086" s="17"/>
      <c r="G1086" s="16"/>
      <c r="H1086" s="16"/>
      <c r="I1086" s="16"/>
      <c r="J1086" s="16"/>
      <c r="K1086" s="16"/>
      <c r="L1086" s="16"/>
      <c r="M1086" s="18" t="str">
        <f aca="false">IF(OR(C1086="",D1086=""),"",IF(MOD(COUNTIFS($C$2:C1086,C1086,$D$2:D1086,D1086)*7,10)&lt;3,"teste","treino"))</f>
        <v/>
      </c>
      <c r="N1086" s="16"/>
      <c r="O1086" s="16"/>
      <c r="P1086" s="16"/>
      <c r="Q1086" s="17"/>
    </row>
    <row r="1087" customFormat="false" ht="15" hidden="false" customHeight="false" outlineLevel="0" collapsed="false">
      <c r="A1087" s="15" t="str">
        <f aca="false">IF(B1087="","",ROW()-1)</f>
        <v/>
      </c>
      <c r="B1087" s="16"/>
      <c r="C1087" s="16"/>
      <c r="D1087" s="16"/>
      <c r="E1087" s="16"/>
      <c r="F1087" s="17"/>
      <c r="G1087" s="16"/>
      <c r="H1087" s="16"/>
      <c r="I1087" s="16"/>
      <c r="J1087" s="16"/>
      <c r="K1087" s="16"/>
      <c r="L1087" s="16"/>
      <c r="M1087" s="18" t="str">
        <f aca="false">IF(OR(C1087="",D1087=""),"",IF(MOD(COUNTIFS($C$2:C1087,C1087,$D$2:D1087,D1087)*7,10)&lt;3,"teste","treino"))</f>
        <v/>
      </c>
      <c r="N1087" s="16"/>
      <c r="O1087" s="16"/>
      <c r="P1087" s="16"/>
      <c r="Q1087" s="17"/>
    </row>
    <row r="1088" customFormat="false" ht="15" hidden="false" customHeight="false" outlineLevel="0" collapsed="false">
      <c r="A1088" s="15" t="str">
        <f aca="false">IF(B1088="","",ROW()-1)</f>
        <v/>
      </c>
      <c r="B1088" s="16"/>
      <c r="C1088" s="16"/>
      <c r="D1088" s="16"/>
      <c r="E1088" s="16"/>
      <c r="F1088" s="17"/>
      <c r="G1088" s="16"/>
      <c r="H1088" s="16"/>
      <c r="I1088" s="16"/>
      <c r="J1088" s="16"/>
      <c r="K1088" s="16"/>
      <c r="L1088" s="16"/>
      <c r="M1088" s="18" t="str">
        <f aca="false">IF(OR(C1088="",D1088=""),"",IF(MOD(COUNTIFS($C$2:C1088,C1088,$D$2:D1088,D1088)*7,10)&lt;3,"teste","treino"))</f>
        <v/>
      </c>
      <c r="N1088" s="16"/>
      <c r="O1088" s="16"/>
      <c r="P1088" s="16"/>
      <c r="Q1088" s="17"/>
    </row>
    <row r="1089" customFormat="false" ht="15" hidden="false" customHeight="false" outlineLevel="0" collapsed="false">
      <c r="A1089" s="15" t="str">
        <f aca="false">IF(B1089="","",ROW()-1)</f>
        <v/>
      </c>
      <c r="B1089" s="16"/>
      <c r="C1089" s="16"/>
      <c r="D1089" s="16"/>
      <c r="E1089" s="16"/>
      <c r="F1089" s="17"/>
      <c r="G1089" s="16"/>
      <c r="H1089" s="16"/>
      <c r="I1089" s="16"/>
      <c r="J1089" s="16"/>
      <c r="K1089" s="16"/>
      <c r="L1089" s="16"/>
      <c r="M1089" s="18" t="str">
        <f aca="false">IF(OR(C1089="",D1089=""),"",IF(MOD(COUNTIFS($C$2:C1089,C1089,$D$2:D1089,D1089)*7,10)&lt;3,"teste","treino"))</f>
        <v/>
      </c>
      <c r="N1089" s="16"/>
      <c r="O1089" s="16"/>
      <c r="P1089" s="16"/>
      <c r="Q1089" s="17"/>
    </row>
    <row r="1090" customFormat="false" ht="15" hidden="false" customHeight="false" outlineLevel="0" collapsed="false">
      <c r="A1090" s="15" t="str">
        <f aca="false">IF(B1090="","",ROW()-1)</f>
        <v/>
      </c>
      <c r="B1090" s="16"/>
      <c r="C1090" s="16"/>
      <c r="D1090" s="16"/>
      <c r="E1090" s="16"/>
      <c r="F1090" s="17"/>
      <c r="G1090" s="16"/>
      <c r="H1090" s="16"/>
      <c r="I1090" s="16"/>
      <c r="J1090" s="16"/>
      <c r="K1090" s="16"/>
      <c r="L1090" s="16"/>
      <c r="M1090" s="18" t="str">
        <f aca="false">IF(OR(C1090="",D1090=""),"",IF(MOD(COUNTIFS($C$2:C1090,C1090,$D$2:D1090,D1090)*7,10)&lt;3,"teste","treino"))</f>
        <v/>
      </c>
      <c r="N1090" s="16"/>
      <c r="O1090" s="16"/>
      <c r="P1090" s="16"/>
      <c r="Q1090" s="17"/>
    </row>
    <row r="1091" customFormat="false" ht="15" hidden="false" customHeight="false" outlineLevel="0" collapsed="false">
      <c r="A1091" s="15" t="str">
        <f aca="false">IF(B1091="","",ROW()-1)</f>
        <v/>
      </c>
      <c r="B1091" s="16"/>
      <c r="C1091" s="16"/>
      <c r="D1091" s="16"/>
      <c r="E1091" s="16"/>
      <c r="F1091" s="17"/>
      <c r="G1091" s="16"/>
      <c r="H1091" s="16"/>
      <c r="I1091" s="16"/>
      <c r="J1091" s="16"/>
      <c r="K1091" s="16"/>
      <c r="L1091" s="16"/>
      <c r="M1091" s="18" t="str">
        <f aca="false">IF(OR(C1091="",D1091=""),"",IF(MOD(COUNTIFS($C$2:C1091,C1091,$D$2:D1091,D1091)*7,10)&lt;3,"teste","treino"))</f>
        <v/>
      </c>
      <c r="N1091" s="16"/>
      <c r="O1091" s="16"/>
      <c r="P1091" s="16"/>
      <c r="Q1091" s="17"/>
    </row>
    <row r="1092" customFormat="false" ht="15" hidden="false" customHeight="false" outlineLevel="0" collapsed="false">
      <c r="A1092" s="15" t="str">
        <f aca="false">IF(B1092="","",ROW()-1)</f>
        <v/>
      </c>
      <c r="B1092" s="16"/>
      <c r="C1092" s="16"/>
      <c r="D1092" s="16"/>
      <c r="E1092" s="16"/>
      <c r="F1092" s="17"/>
      <c r="G1092" s="16"/>
      <c r="H1092" s="16"/>
      <c r="I1092" s="16"/>
      <c r="J1092" s="16"/>
      <c r="K1092" s="16"/>
      <c r="L1092" s="16"/>
      <c r="M1092" s="18" t="str">
        <f aca="false">IF(OR(C1092="",D1092=""),"",IF(MOD(COUNTIFS($C$2:C1092,C1092,$D$2:D1092,D1092)*7,10)&lt;3,"teste","treino"))</f>
        <v/>
      </c>
      <c r="N1092" s="16"/>
      <c r="O1092" s="16"/>
      <c r="P1092" s="16"/>
      <c r="Q1092" s="17"/>
    </row>
    <row r="1093" customFormat="false" ht="15" hidden="false" customHeight="false" outlineLevel="0" collapsed="false">
      <c r="A1093" s="15" t="str">
        <f aca="false">IF(B1093="","",ROW()-1)</f>
        <v/>
      </c>
      <c r="B1093" s="16"/>
      <c r="C1093" s="16"/>
      <c r="D1093" s="16"/>
      <c r="E1093" s="16"/>
      <c r="F1093" s="17"/>
      <c r="G1093" s="16"/>
      <c r="H1093" s="16"/>
      <c r="I1093" s="16"/>
      <c r="J1093" s="16"/>
      <c r="K1093" s="16"/>
      <c r="L1093" s="16"/>
      <c r="M1093" s="18" t="str">
        <f aca="false">IF(OR(C1093="",D1093=""),"",IF(MOD(COUNTIFS($C$2:C1093,C1093,$D$2:D1093,D1093)*7,10)&lt;3,"teste","treino"))</f>
        <v/>
      </c>
      <c r="N1093" s="16"/>
      <c r="O1093" s="16"/>
      <c r="P1093" s="16"/>
      <c r="Q1093" s="17"/>
    </row>
    <row r="1094" customFormat="false" ht="15" hidden="false" customHeight="false" outlineLevel="0" collapsed="false">
      <c r="A1094" s="15" t="str">
        <f aca="false">IF(B1094="","",ROW()-1)</f>
        <v/>
      </c>
      <c r="B1094" s="16"/>
      <c r="C1094" s="16"/>
      <c r="D1094" s="16"/>
      <c r="E1094" s="16"/>
      <c r="F1094" s="17"/>
      <c r="G1094" s="16"/>
      <c r="H1094" s="16"/>
      <c r="I1094" s="16"/>
      <c r="J1094" s="16"/>
      <c r="K1094" s="16"/>
      <c r="L1094" s="16"/>
      <c r="M1094" s="18" t="str">
        <f aca="false">IF(OR(C1094="",D1094=""),"",IF(MOD(COUNTIFS($C$2:C1094,C1094,$D$2:D1094,D1094)*7,10)&lt;3,"teste","treino"))</f>
        <v/>
      </c>
      <c r="N1094" s="16"/>
      <c r="O1094" s="16"/>
      <c r="P1094" s="16"/>
      <c r="Q1094" s="17"/>
    </row>
    <row r="1095" customFormat="false" ht="15" hidden="false" customHeight="false" outlineLevel="0" collapsed="false">
      <c r="A1095" s="15" t="str">
        <f aca="false">IF(B1095="","",ROW()-1)</f>
        <v/>
      </c>
      <c r="B1095" s="16"/>
      <c r="C1095" s="16"/>
      <c r="D1095" s="16"/>
      <c r="E1095" s="16"/>
      <c r="F1095" s="17"/>
      <c r="G1095" s="16"/>
      <c r="H1095" s="16"/>
      <c r="I1095" s="16"/>
      <c r="J1095" s="16"/>
      <c r="K1095" s="16"/>
      <c r="L1095" s="16"/>
      <c r="M1095" s="18" t="str">
        <f aca="false">IF(OR(C1095="",D1095=""),"",IF(MOD(COUNTIFS($C$2:C1095,C1095,$D$2:D1095,D1095)*7,10)&lt;3,"teste","treino"))</f>
        <v/>
      </c>
      <c r="N1095" s="16"/>
      <c r="O1095" s="16"/>
      <c r="P1095" s="16"/>
      <c r="Q1095" s="17"/>
    </row>
    <row r="1096" customFormat="false" ht="15" hidden="false" customHeight="false" outlineLevel="0" collapsed="false">
      <c r="A1096" s="15" t="str">
        <f aca="false">IF(B1096="","",ROW()-1)</f>
        <v/>
      </c>
      <c r="B1096" s="16"/>
      <c r="C1096" s="16"/>
      <c r="D1096" s="16"/>
      <c r="E1096" s="16"/>
      <c r="F1096" s="17"/>
      <c r="G1096" s="16"/>
      <c r="H1096" s="16"/>
      <c r="I1096" s="16"/>
      <c r="J1096" s="16"/>
      <c r="K1096" s="16"/>
      <c r="L1096" s="16"/>
      <c r="M1096" s="18" t="str">
        <f aca="false">IF(OR(C1096="",D1096=""),"",IF(MOD(COUNTIFS($C$2:C1096,C1096,$D$2:D1096,D1096)*7,10)&lt;3,"teste","treino"))</f>
        <v/>
      </c>
      <c r="N1096" s="16"/>
      <c r="O1096" s="16"/>
      <c r="P1096" s="16"/>
      <c r="Q1096" s="17"/>
    </row>
    <row r="1097" customFormat="false" ht="15" hidden="false" customHeight="false" outlineLevel="0" collapsed="false">
      <c r="A1097" s="15" t="str">
        <f aca="false">IF(B1097="","",ROW()-1)</f>
        <v/>
      </c>
      <c r="B1097" s="16"/>
      <c r="C1097" s="16"/>
      <c r="D1097" s="16"/>
      <c r="E1097" s="16"/>
      <c r="F1097" s="17"/>
      <c r="G1097" s="16"/>
      <c r="H1097" s="16"/>
      <c r="I1097" s="16"/>
      <c r="J1097" s="16"/>
      <c r="K1097" s="16"/>
      <c r="L1097" s="16"/>
      <c r="M1097" s="18" t="str">
        <f aca="false">IF(OR(C1097="",D1097=""),"",IF(MOD(COUNTIFS($C$2:C1097,C1097,$D$2:D1097,D1097)*7,10)&lt;3,"teste","treino"))</f>
        <v/>
      </c>
      <c r="N1097" s="16"/>
      <c r="O1097" s="16"/>
      <c r="P1097" s="16"/>
      <c r="Q1097" s="17"/>
    </row>
    <row r="1098" customFormat="false" ht="15" hidden="false" customHeight="false" outlineLevel="0" collapsed="false">
      <c r="A1098" s="15" t="str">
        <f aca="false">IF(B1098="","",ROW()-1)</f>
        <v/>
      </c>
      <c r="B1098" s="16"/>
      <c r="C1098" s="16"/>
      <c r="D1098" s="16"/>
      <c r="E1098" s="16"/>
      <c r="F1098" s="17"/>
      <c r="G1098" s="16"/>
      <c r="H1098" s="16"/>
      <c r="I1098" s="16"/>
      <c r="J1098" s="16"/>
      <c r="K1098" s="16"/>
      <c r="L1098" s="16"/>
      <c r="M1098" s="18" t="str">
        <f aca="false">IF(OR(C1098="",D1098=""),"",IF(MOD(COUNTIFS($C$2:C1098,C1098,$D$2:D1098,D1098)*7,10)&lt;3,"teste","treino"))</f>
        <v/>
      </c>
      <c r="N1098" s="16"/>
      <c r="O1098" s="16"/>
      <c r="P1098" s="16"/>
      <c r="Q1098" s="17"/>
    </row>
    <row r="1099" customFormat="false" ht="15" hidden="false" customHeight="false" outlineLevel="0" collapsed="false">
      <c r="A1099" s="15" t="str">
        <f aca="false">IF(B1099="","",ROW()-1)</f>
        <v/>
      </c>
      <c r="B1099" s="16"/>
      <c r="C1099" s="16"/>
      <c r="D1099" s="16"/>
      <c r="E1099" s="16"/>
      <c r="F1099" s="17"/>
      <c r="G1099" s="16"/>
      <c r="H1099" s="16"/>
      <c r="I1099" s="16"/>
      <c r="J1099" s="16"/>
      <c r="K1099" s="16"/>
      <c r="L1099" s="16"/>
      <c r="M1099" s="18" t="str">
        <f aca="false">IF(OR(C1099="",D1099=""),"",IF(MOD(COUNTIFS($C$2:C1099,C1099,$D$2:D1099,D1099)*7,10)&lt;3,"teste","treino"))</f>
        <v/>
      </c>
      <c r="N1099" s="16"/>
      <c r="O1099" s="16"/>
      <c r="P1099" s="16"/>
      <c r="Q1099" s="17"/>
    </row>
    <row r="1100" customFormat="false" ht="15" hidden="false" customHeight="false" outlineLevel="0" collapsed="false">
      <c r="A1100" s="15" t="str">
        <f aca="false">IF(B1100="","",ROW()-1)</f>
        <v/>
      </c>
      <c r="B1100" s="16"/>
      <c r="C1100" s="16"/>
      <c r="D1100" s="16"/>
      <c r="E1100" s="16"/>
      <c r="F1100" s="17"/>
      <c r="G1100" s="16"/>
      <c r="H1100" s="16"/>
      <c r="I1100" s="16"/>
      <c r="J1100" s="16"/>
      <c r="K1100" s="16"/>
      <c r="L1100" s="16"/>
      <c r="M1100" s="18" t="str">
        <f aca="false">IF(OR(C1100="",D1100=""),"",IF(MOD(COUNTIFS($C$2:C1100,C1100,$D$2:D1100,D1100)*7,10)&lt;3,"teste","treino"))</f>
        <v/>
      </c>
      <c r="N1100" s="16"/>
      <c r="O1100" s="16"/>
      <c r="P1100" s="16"/>
      <c r="Q1100" s="17"/>
    </row>
    <row r="1101" customFormat="false" ht="15" hidden="false" customHeight="false" outlineLevel="0" collapsed="false">
      <c r="A1101" s="15" t="str">
        <f aca="false">IF(B1101="","",ROW()-1)</f>
        <v/>
      </c>
      <c r="B1101" s="16"/>
      <c r="C1101" s="16"/>
      <c r="D1101" s="16"/>
      <c r="E1101" s="16"/>
      <c r="F1101" s="17"/>
      <c r="G1101" s="16"/>
      <c r="H1101" s="16"/>
      <c r="I1101" s="16"/>
      <c r="J1101" s="16"/>
      <c r="K1101" s="16"/>
      <c r="L1101" s="16"/>
      <c r="M1101" s="18" t="str">
        <f aca="false">IF(OR(C1101="",D1101=""),"",IF(MOD(COUNTIFS($C$2:C1101,C1101,$D$2:D1101,D1101)*7,10)&lt;3,"teste","treino"))</f>
        <v/>
      </c>
      <c r="N1101" s="16"/>
      <c r="O1101" s="16"/>
      <c r="P1101" s="16"/>
      <c r="Q1101" s="17"/>
    </row>
    <row r="1102" customFormat="false" ht="15" hidden="false" customHeight="false" outlineLevel="0" collapsed="false">
      <c r="A1102" s="15" t="str">
        <f aca="false">IF(B1102="","",ROW()-1)</f>
        <v/>
      </c>
      <c r="B1102" s="16"/>
      <c r="C1102" s="16"/>
      <c r="D1102" s="16"/>
      <c r="E1102" s="16"/>
      <c r="F1102" s="17"/>
      <c r="G1102" s="16"/>
      <c r="H1102" s="16"/>
      <c r="I1102" s="16"/>
      <c r="J1102" s="16"/>
      <c r="K1102" s="16"/>
      <c r="L1102" s="16"/>
      <c r="M1102" s="18" t="str">
        <f aca="false">IF(OR(C1102="",D1102=""),"",IF(MOD(COUNTIFS($C$2:C1102,C1102,$D$2:D1102,D1102)*7,10)&lt;3,"teste","treino"))</f>
        <v/>
      </c>
      <c r="N1102" s="16"/>
      <c r="O1102" s="16"/>
      <c r="P1102" s="16"/>
      <c r="Q1102" s="17"/>
    </row>
    <row r="1103" customFormat="false" ht="15" hidden="false" customHeight="false" outlineLevel="0" collapsed="false">
      <c r="A1103" s="15" t="str">
        <f aca="false">IF(B1103="","",ROW()-1)</f>
        <v/>
      </c>
      <c r="B1103" s="16"/>
      <c r="C1103" s="16"/>
      <c r="D1103" s="16"/>
      <c r="E1103" s="16"/>
      <c r="F1103" s="17"/>
      <c r="G1103" s="16"/>
      <c r="H1103" s="16"/>
      <c r="I1103" s="16"/>
      <c r="J1103" s="16"/>
      <c r="K1103" s="16"/>
      <c r="L1103" s="16"/>
      <c r="M1103" s="18" t="str">
        <f aca="false">IF(OR(C1103="",D1103=""),"",IF(MOD(COUNTIFS($C$2:C1103,C1103,$D$2:D1103,D1103)*7,10)&lt;3,"teste","treino"))</f>
        <v/>
      </c>
      <c r="N1103" s="16"/>
      <c r="O1103" s="16"/>
      <c r="P1103" s="16"/>
      <c r="Q1103" s="17"/>
    </row>
    <row r="1104" customFormat="false" ht="15" hidden="false" customHeight="false" outlineLevel="0" collapsed="false">
      <c r="A1104" s="15" t="str">
        <f aca="false">IF(B1104="","",ROW()-1)</f>
        <v/>
      </c>
      <c r="B1104" s="16"/>
      <c r="C1104" s="16"/>
      <c r="D1104" s="16"/>
      <c r="E1104" s="16"/>
      <c r="F1104" s="17"/>
      <c r="G1104" s="16"/>
      <c r="H1104" s="16"/>
      <c r="I1104" s="16"/>
      <c r="J1104" s="16"/>
      <c r="K1104" s="16"/>
      <c r="L1104" s="16"/>
      <c r="M1104" s="18" t="str">
        <f aca="false">IF(OR(C1104="",D1104=""),"",IF(MOD(COUNTIFS($C$2:C1104,C1104,$D$2:D1104,D1104)*7,10)&lt;3,"teste","treino"))</f>
        <v/>
      </c>
      <c r="N1104" s="16"/>
      <c r="O1104" s="16"/>
      <c r="P1104" s="16"/>
      <c r="Q1104" s="17"/>
    </row>
    <row r="1105" customFormat="false" ht="15" hidden="false" customHeight="false" outlineLevel="0" collapsed="false">
      <c r="A1105" s="15" t="str">
        <f aca="false">IF(B1105="","",ROW()-1)</f>
        <v/>
      </c>
      <c r="B1105" s="16"/>
      <c r="C1105" s="16"/>
      <c r="D1105" s="16"/>
      <c r="E1105" s="16"/>
      <c r="F1105" s="17"/>
      <c r="G1105" s="16"/>
      <c r="H1105" s="16"/>
      <c r="I1105" s="16"/>
      <c r="J1105" s="16"/>
      <c r="K1105" s="16"/>
      <c r="L1105" s="16"/>
      <c r="M1105" s="18" t="str">
        <f aca="false">IF(OR(C1105="",D1105=""),"",IF(MOD(COUNTIFS($C$2:C1105,C1105,$D$2:D1105,D1105)*7,10)&lt;3,"teste","treino"))</f>
        <v/>
      </c>
      <c r="N1105" s="16"/>
      <c r="O1105" s="16"/>
      <c r="P1105" s="16"/>
      <c r="Q1105" s="17"/>
    </row>
    <row r="1106" customFormat="false" ht="15" hidden="false" customHeight="false" outlineLevel="0" collapsed="false">
      <c r="A1106" s="15" t="str">
        <f aca="false">IF(B1106="","",ROW()-1)</f>
        <v/>
      </c>
      <c r="B1106" s="16"/>
      <c r="C1106" s="16"/>
      <c r="D1106" s="16"/>
      <c r="E1106" s="16"/>
      <c r="F1106" s="17"/>
      <c r="G1106" s="16"/>
      <c r="H1106" s="16"/>
      <c r="I1106" s="16"/>
      <c r="J1106" s="16"/>
      <c r="K1106" s="16"/>
      <c r="L1106" s="16"/>
      <c r="M1106" s="18" t="str">
        <f aca="false">IF(OR(C1106="",D1106=""),"",IF(MOD(COUNTIFS($C$2:C1106,C1106,$D$2:D1106,D1106)*7,10)&lt;3,"teste","treino"))</f>
        <v/>
      </c>
      <c r="N1106" s="16"/>
      <c r="O1106" s="16"/>
      <c r="P1106" s="16"/>
      <c r="Q1106" s="17"/>
    </row>
    <row r="1107" customFormat="false" ht="15" hidden="false" customHeight="false" outlineLevel="0" collapsed="false">
      <c r="A1107" s="15" t="str">
        <f aca="false">IF(B1107="","",ROW()-1)</f>
        <v/>
      </c>
      <c r="B1107" s="16"/>
      <c r="C1107" s="16"/>
      <c r="D1107" s="16"/>
      <c r="E1107" s="16"/>
      <c r="F1107" s="17"/>
      <c r="G1107" s="16"/>
      <c r="H1107" s="16"/>
      <c r="I1107" s="16"/>
      <c r="J1107" s="16"/>
      <c r="K1107" s="16"/>
      <c r="L1107" s="16"/>
      <c r="M1107" s="18" t="str">
        <f aca="false">IF(OR(C1107="",D1107=""),"",IF(MOD(COUNTIFS($C$2:C1107,C1107,$D$2:D1107,D1107)*7,10)&lt;3,"teste","treino"))</f>
        <v/>
      </c>
      <c r="N1107" s="16"/>
      <c r="O1107" s="16"/>
      <c r="P1107" s="16"/>
      <c r="Q1107" s="17"/>
    </row>
    <row r="1108" customFormat="false" ht="15" hidden="false" customHeight="false" outlineLevel="0" collapsed="false">
      <c r="A1108" s="15" t="str">
        <f aca="false">IF(B1108="","",ROW()-1)</f>
        <v/>
      </c>
      <c r="B1108" s="16"/>
      <c r="C1108" s="16"/>
      <c r="D1108" s="16"/>
      <c r="E1108" s="16"/>
      <c r="F1108" s="17"/>
      <c r="G1108" s="16"/>
      <c r="H1108" s="16"/>
      <c r="I1108" s="16"/>
      <c r="J1108" s="16"/>
      <c r="K1108" s="16"/>
      <c r="L1108" s="16"/>
      <c r="M1108" s="18" t="str">
        <f aca="false">IF(OR(C1108="",D1108=""),"",IF(MOD(COUNTIFS($C$2:C1108,C1108,$D$2:D1108,D1108)*7,10)&lt;3,"teste","treino"))</f>
        <v/>
      </c>
      <c r="N1108" s="16"/>
      <c r="O1108" s="16"/>
      <c r="P1108" s="16"/>
      <c r="Q1108" s="17"/>
    </row>
    <row r="1109" customFormat="false" ht="15" hidden="false" customHeight="false" outlineLevel="0" collapsed="false">
      <c r="A1109" s="15" t="str">
        <f aca="false">IF(B1109="","",ROW()-1)</f>
        <v/>
      </c>
      <c r="B1109" s="16"/>
      <c r="C1109" s="16"/>
      <c r="D1109" s="16"/>
      <c r="E1109" s="16"/>
      <c r="F1109" s="17"/>
      <c r="G1109" s="16"/>
      <c r="H1109" s="16"/>
      <c r="I1109" s="16"/>
      <c r="J1109" s="16"/>
      <c r="K1109" s="16"/>
      <c r="L1109" s="16"/>
      <c r="M1109" s="18" t="str">
        <f aca="false">IF(OR(C1109="",D1109=""),"",IF(MOD(COUNTIFS($C$2:C1109,C1109,$D$2:D1109,D1109)*7,10)&lt;3,"teste","treino"))</f>
        <v/>
      </c>
      <c r="N1109" s="16"/>
      <c r="O1109" s="16"/>
      <c r="P1109" s="16"/>
      <c r="Q1109" s="17"/>
    </row>
    <row r="1110" customFormat="false" ht="15" hidden="false" customHeight="false" outlineLevel="0" collapsed="false">
      <c r="A1110" s="15" t="str">
        <f aca="false">IF(B1110="","",ROW()-1)</f>
        <v/>
      </c>
      <c r="B1110" s="16"/>
      <c r="C1110" s="16"/>
      <c r="D1110" s="16"/>
      <c r="E1110" s="16"/>
      <c r="F1110" s="17"/>
      <c r="G1110" s="16"/>
      <c r="H1110" s="16"/>
      <c r="I1110" s="16"/>
      <c r="J1110" s="16"/>
      <c r="K1110" s="16"/>
      <c r="L1110" s="16"/>
      <c r="M1110" s="18" t="str">
        <f aca="false">IF(OR(C1110="",D1110=""),"",IF(MOD(COUNTIFS($C$2:C1110,C1110,$D$2:D1110,D1110)*7,10)&lt;3,"teste","treino"))</f>
        <v/>
      </c>
      <c r="N1110" s="16"/>
      <c r="O1110" s="16"/>
      <c r="P1110" s="16"/>
      <c r="Q1110" s="17"/>
    </row>
    <row r="1111" customFormat="false" ht="15" hidden="false" customHeight="false" outlineLevel="0" collapsed="false">
      <c r="A1111" s="15" t="str">
        <f aca="false">IF(B1111="","",ROW()-1)</f>
        <v/>
      </c>
      <c r="B1111" s="16"/>
      <c r="C1111" s="16"/>
      <c r="D1111" s="16"/>
      <c r="E1111" s="16"/>
      <c r="F1111" s="17"/>
      <c r="G1111" s="16"/>
      <c r="H1111" s="16"/>
      <c r="I1111" s="16"/>
      <c r="J1111" s="16"/>
      <c r="K1111" s="16"/>
      <c r="L1111" s="16"/>
      <c r="M1111" s="18" t="str">
        <f aca="false">IF(OR(C1111="",D1111=""),"",IF(MOD(COUNTIFS($C$2:C1111,C1111,$D$2:D1111,D1111)*7,10)&lt;3,"teste","treino"))</f>
        <v/>
      </c>
      <c r="N1111" s="16"/>
      <c r="O1111" s="16"/>
      <c r="P1111" s="16"/>
      <c r="Q1111" s="17"/>
    </row>
    <row r="1112" customFormat="false" ht="15" hidden="false" customHeight="false" outlineLevel="0" collapsed="false">
      <c r="A1112" s="15" t="str">
        <f aca="false">IF(B1112="","",ROW()-1)</f>
        <v/>
      </c>
      <c r="B1112" s="16"/>
      <c r="C1112" s="16"/>
      <c r="D1112" s="16"/>
      <c r="E1112" s="16"/>
      <c r="F1112" s="17"/>
      <c r="G1112" s="16"/>
      <c r="H1112" s="16"/>
      <c r="I1112" s="16"/>
      <c r="J1112" s="16"/>
      <c r="K1112" s="16"/>
      <c r="L1112" s="16"/>
      <c r="M1112" s="18" t="str">
        <f aca="false">IF(OR(C1112="",D1112=""),"",IF(MOD(COUNTIFS($C$2:C1112,C1112,$D$2:D1112,D1112)*7,10)&lt;3,"teste","treino"))</f>
        <v/>
      </c>
      <c r="N1112" s="16"/>
      <c r="O1112" s="16"/>
      <c r="P1112" s="16"/>
      <c r="Q1112" s="17"/>
    </row>
    <row r="1113" customFormat="false" ht="15" hidden="false" customHeight="false" outlineLevel="0" collapsed="false">
      <c r="A1113" s="15" t="str">
        <f aca="false">IF(B1113="","",ROW()-1)</f>
        <v/>
      </c>
      <c r="B1113" s="16"/>
      <c r="C1113" s="16"/>
      <c r="D1113" s="16"/>
      <c r="E1113" s="16"/>
      <c r="F1113" s="17"/>
      <c r="G1113" s="16"/>
      <c r="H1113" s="16"/>
      <c r="I1113" s="16"/>
      <c r="J1113" s="16"/>
      <c r="K1113" s="16"/>
      <c r="L1113" s="16"/>
      <c r="M1113" s="18" t="str">
        <f aca="false">IF(OR(C1113="",D1113=""),"",IF(MOD(COUNTIFS($C$2:C1113,C1113,$D$2:D1113,D1113)*7,10)&lt;3,"teste","treino"))</f>
        <v/>
      </c>
      <c r="N1113" s="16"/>
      <c r="O1113" s="16"/>
      <c r="P1113" s="16"/>
      <c r="Q1113" s="17"/>
    </row>
    <row r="1114" customFormat="false" ht="15" hidden="false" customHeight="false" outlineLevel="0" collapsed="false">
      <c r="A1114" s="15" t="str">
        <f aca="false">IF(B1114="","",ROW()-1)</f>
        <v/>
      </c>
      <c r="B1114" s="16"/>
      <c r="C1114" s="16"/>
      <c r="D1114" s="16"/>
      <c r="E1114" s="16"/>
      <c r="F1114" s="17"/>
      <c r="G1114" s="16"/>
      <c r="H1114" s="16"/>
      <c r="I1114" s="16"/>
      <c r="J1114" s="16"/>
      <c r="K1114" s="16"/>
      <c r="L1114" s="16"/>
      <c r="M1114" s="18" t="str">
        <f aca="false">IF(OR(C1114="",D1114=""),"",IF(MOD(COUNTIFS($C$2:C1114,C1114,$D$2:D1114,D1114)*7,10)&lt;3,"teste","treino"))</f>
        <v/>
      </c>
      <c r="N1114" s="16"/>
      <c r="O1114" s="16"/>
      <c r="P1114" s="16"/>
      <c r="Q1114" s="17"/>
    </row>
    <row r="1115" customFormat="false" ht="15" hidden="false" customHeight="false" outlineLevel="0" collapsed="false">
      <c r="A1115" s="15" t="str">
        <f aca="false">IF(B1115="","",ROW()-1)</f>
        <v/>
      </c>
      <c r="B1115" s="16"/>
      <c r="C1115" s="16"/>
      <c r="D1115" s="16"/>
      <c r="E1115" s="16"/>
      <c r="F1115" s="17"/>
      <c r="G1115" s="16"/>
      <c r="H1115" s="16"/>
      <c r="I1115" s="16"/>
      <c r="J1115" s="16"/>
      <c r="K1115" s="16"/>
      <c r="L1115" s="16"/>
      <c r="M1115" s="18" t="str">
        <f aca="false">IF(OR(C1115="",D1115=""),"",IF(MOD(COUNTIFS($C$2:C1115,C1115,$D$2:D1115,D1115)*7,10)&lt;3,"teste","treino"))</f>
        <v/>
      </c>
      <c r="N1115" s="16"/>
      <c r="O1115" s="16"/>
      <c r="P1115" s="16"/>
      <c r="Q1115" s="17"/>
    </row>
    <row r="1116" customFormat="false" ht="15" hidden="false" customHeight="false" outlineLevel="0" collapsed="false">
      <c r="A1116" s="15" t="str">
        <f aca="false">IF(B1116="","",ROW()-1)</f>
        <v/>
      </c>
      <c r="B1116" s="16"/>
      <c r="C1116" s="16"/>
      <c r="D1116" s="16"/>
      <c r="E1116" s="16"/>
      <c r="F1116" s="17"/>
      <c r="G1116" s="16"/>
      <c r="H1116" s="16"/>
      <c r="I1116" s="16"/>
      <c r="J1116" s="16"/>
      <c r="K1116" s="16"/>
      <c r="L1116" s="16"/>
      <c r="M1116" s="18" t="str">
        <f aca="false">IF(OR(C1116="",D1116=""),"",IF(MOD(COUNTIFS($C$2:C1116,C1116,$D$2:D1116,D1116)*7,10)&lt;3,"teste","treino"))</f>
        <v/>
      </c>
      <c r="N1116" s="16"/>
      <c r="O1116" s="16"/>
      <c r="P1116" s="16"/>
      <c r="Q1116" s="17"/>
    </row>
    <row r="1117" customFormat="false" ht="15" hidden="false" customHeight="false" outlineLevel="0" collapsed="false">
      <c r="A1117" s="15" t="str">
        <f aca="false">IF(B1117="","",ROW()-1)</f>
        <v/>
      </c>
      <c r="B1117" s="16"/>
      <c r="C1117" s="16"/>
      <c r="D1117" s="16"/>
      <c r="E1117" s="16"/>
      <c r="F1117" s="17"/>
      <c r="G1117" s="16"/>
      <c r="H1117" s="16"/>
      <c r="I1117" s="16"/>
      <c r="J1117" s="16"/>
      <c r="K1117" s="16"/>
      <c r="L1117" s="16"/>
      <c r="M1117" s="18" t="str">
        <f aca="false">IF(OR(C1117="",D1117=""),"",IF(MOD(COUNTIFS($C$2:C1117,C1117,$D$2:D1117,D1117)*7,10)&lt;3,"teste","treino"))</f>
        <v/>
      </c>
      <c r="N1117" s="16"/>
      <c r="O1117" s="16"/>
      <c r="P1117" s="16"/>
      <c r="Q1117" s="17"/>
    </row>
    <row r="1118" customFormat="false" ht="15" hidden="false" customHeight="false" outlineLevel="0" collapsed="false">
      <c r="A1118" s="15" t="str">
        <f aca="false">IF(B1118="","",ROW()-1)</f>
        <v/>
      </c>
      <c r="B1118" s="16"/>
      <c r="C1118" s="16"/>
      <c r="D1118" s="16"/>
      <c r="E1118" s="16"/>
      <c r="F1118" s="17"/>
      <c r="G1118" s="16"/>
      <c r="H1118" s="16"/>
      <c r="I1118" s="16"/>
      <c r="J1118" s="16"/>
      <c r="K1118" s="16"/>
      <c r="L1118" s="16"/>
      <c r="M1118" s="18" t="str">
        <f aca="false">IF(OR(C1118="",D1118=""),"",IF(MOD(COUNTIFS($C$2:C1118,C1118,$D$2:D1118,D1118)*7,10)&lt;3,"teste","treino"))</f>
        <v/>
      </c>
      <c r="N1118" s="16"/>
      <c r="O1118" s="16"/>
      <c r="P1118" s="16"/>
      <c r="Q1118" s="17"/>
    </row>
    <row r="1119" customFormat="false" ht="15" hidden="false" customHeight="false" outlineLevel="0" collapsed="false">
      <c r="A1119" s="15" t="str">
        <f aca="false">IF(B1119="","",ROW()-1)</f>
        <v/>
      </c>
      <c r="B1119" s="16"/>
      <c r="C1119" s="16"/>
      <c r="D1119" s="16"/>
      <c r="E1119" s="16"/>
      <c r="F1119" s="17"/>
      <c r="G1119" s="16"/>
      <c r="H1119" s="16"/>
      <c r="I1119" s="16"/>
      <c r="J1119" s="16"/>
      <c r="K1119" s="16"/>
      <c r="L1119" s="16"/>
      <c r="M1119" s="18" t="str">
        <f aca="false">IF(OR(C1119="",D1119=""),"",IF(MOD(COUNTIFS($C$2:C1119,C1119,$D$2:D1119,D1119)*7,10)&lt;3,"teste","treino"))</f>
        <v/>
      </c>
      <c r="N1119" s="16"/>
      <c r="O1119" s="16"/>
      <c r="P1119" s="16"/>
      <c r="Q1119" s="17"/>
    </row>
    <row r="1120" customFormat="false" ht="15" hidden="false" customHeight="false" outlineLevel="0" collapsed="false">
      <c r="A1120" s="15" t="str">
        <f aca="false">IF(B1120="","",ROW()-1)</f>
        <v/>
      </c>
      <c r="B1120" s="16"/>
      <c r="C1120" s="16"/>
      <c r="D1120" s="16"/>
      <c r="E1120" s="16"/>
      <c r="F1120" s="17"/>
      <c r="G1120" s="16"/>
      <c r="H1120" s="16"/>
      <c r="I1120" s="16"/>
      <c r="J1120" s="16"/>
      <c r="K1120" s="16"/>
      <c r="L1120" s="16"/>
      <c r="M1120" s="18" t="str">
        <f aca="false">IF(OR(C1120="",D1120=""),"",IF(MOD(COUNTIFS($C$2:C1120,C1120,$D$2:D1120,D1120)*7,10)&lt;3,"teste","treino"))</f>
        <v/>
      </c>
      <c r="N1120" s="16"/>
      <c r="O1120" s="16"/>
      <c r="P1120" s="16"/>
      <c r="Q1120" s="17"/>
    </row>
    <row r="1121" customFormat="false" ht="15" hidden="false" customHeight="false" outlineLevel="0" collapsed="false">
      <c r="A1121" s="15" t="str">
        <f aca="false">IF(B1121="","",ROW()-1)</f>
        <v/>
      </c>
      <c r="B1121" s="16"/>
      <c r="C1121" s="16"/>
      <c r="D1121" s="16"/>
      <c r="E1121" s="16"/>
      <c r="F1121" s="17"/>
      <c r="G1121" s="16"/>
      <c r="H1121" s="16"/>
      <c r="I1121" s="16"/>
      <c r="J1121" s="16"/>
      <c r="K1121" s="16"/>
      <c r="L1121" s="16"/>
      <c r="M1121" s="18" t="str">
        <f aca="false">IF(OR(C1121="",D1121=""),"",IF(MOD(COUNTIFS($C$2:C1121,C1121,$D$2:D1121,D1121)*7,10)&lt;3,"teste","treino"))</f>
        <v/>
      </c>
      <c r="N1121" s="16"/>
      <c r="O1121" s="16"/>
      <c r="P1121" s="16"/>
      <c r="Q1121" s="17"/>
    </row>
    <row r="1122" customFormat="false" ht="15" hidden="false" customHeight="false" outlineLevel="0" collapsed="false">
      <c r="A1122" s="15" t="str">
        <f aca="false">IF(B1122="","",ROW()-1)</f>
        <v/>
      </c>
      <c r="B1122" s="16"/>
      <c r="C1122" s="16"/>
      <c r="D1122" s="16"/>
      <c r="E1122" s="16"/>
      <c r="F1122" s="17"/>
      <c r="G1122" s="16"/>
      <c r="H1122" s="16"/>
      <c r="I1122" s="16"/>
      <c r="J1122" s="16"/>
      <c r="K1122" s="16"/>
      <c r="L1122" s="16"/>
      <c r="M1122" s="18" t="str">
        <f aca="false">IF(OR(C1122="",D1122=""),"",IF(MOD(COUNTIFS($C$2:C1122,C1122,$D$2:D1122,D1122)*7,10)&lt;3,"teste","treino"))</f>
        <v/>
      </c>
      <c r="N1122" s="16"/>
      <c r="O1122" s="16"/>
      <c r="P1122" s="16"/>
      <c r="Q1122" s="17"/>
    </row>
    <row r="1123" customFormat="false" ht="15" hidden="false" customHeight="false" outlineLevel="0" collapsed="false">
      <c r="A1123" s="15" t="str">
        <f aca="false">IF(B1123="","",ROW()-1)</f>
        <v/>
      </c>
      <c r="B1123" s="16"/>
      <c r="C1123" s="16"/>
      <c r="D1123" s="16"/>
      <c r="E1123" s="16"/>
      <c r="F1123" s="17"/>
      <c r="G1123" s="16"/>
      <c r="H1123" s="16"/>
      <c r="I1123" s="16"/>
      <c r="J1123" s="16"/>
      <c r="K1123" s="16"/>
      <c r="L1123" s="16"/>
      <c r="M1123" s="18" t="str">
        <f aca="false">IF(OR(C1123="",D1123=""),"",IF(MOD(COUNTIFS($C$2:C1123,C1123,$D$2:D1123,D1123)*7,10)&lt;3,"teste","treino"))</f>
        <v/>
      </c>
      <c r="N1123" s="16"/>
      <c r="O1123" s="16"/>
      <c r="P1123" s="16"/>
      <c r="Q1123" s="17"/>
    </row>
    <row r="1124" customFormat="false" ht="15" hidden="false" customHeight="false" outlineLevel="0" collapsed="false">
      <c r="A1124" s="15" t="str">
        <f aca="false">IF(B1124="","",ROW()-1)</f>
        <v/>
      </c>
      <c r="B1124" s="16"/>
      <c r="C1124" s="16"/>
      <c r="D1124" s="16"/>
      <c r="E1124" s="16"/>
      <c r="F1124" s="17"/>
      <c r="G1124" s="16"/>
      <c r="H1124" s="16"/>
      <c r="I1124" s="16"/>
      <c r="J1124" s="16"/>
      <c r="K1124" s="16"/>
      <c r="L1124" s="16"/>
      <c r="M1124" s="18" t="str">
        <f aca="false">IF(OR(C1124="",D1124=""),"",IF(MOD(COUNTIFS($C$2:C1124,C1124,$D$2:D1124,D1124)*7,10)&lt;3,"teste","treino"))</f>
        <v/>
      </c>
      <c r="N1124" s="16"/>
      <c r="O1124" s="16"/>
      <c r="P1124" s="16"/>
      <c r="Q1124" s="17"/>
    </row>
    <row r="1125" customFormat="false" ht="15" hidden="false" customHeight="false" outlineLevel="0" collapsed="false">
      <c r="A1125" s="15" t="str">
        <f aca="false">IF(B1125="","",ROW()-1)</f>
        <v/>
      </c>
      <c r="B1125" s="16"/>
      <c r="C1125" s="16"/>
      <c r="D1125" s="16"/>
      <c r="E1125" s="16"/>
      <c r="F1125" s="17"/>
      <c r="G1125" s="16"/>
      <c r="H1125" s="16"/>
      <c r="I1125" s="16"/>
      <c r="J1125" s="16"/>
      <c r="K1125" s="16"/>
      <c r="L1125" s="16"/>
      <c r="M1125" s="18" t="str">
        <f aca="false">IF(OR(C1125="",D1125=""),"",IF(MOD(COUNTIFS($C$2:C1125,C1125,$D$2:D1125,D1125)*7,10)&lt;3,"teste","treino"))</f>
        <v/>
      </c>
      <c r="N1125" s="16"/>
      <c r="O1125" s="16"/>
      <c r="P1125" s="16"/>
      <c r="Q1125" s="17"/>
    </row>
    <row r="1126" customFormat="false" ht="15" hidden="false" customHeight="false" outlineLevel="0" collapsed="false">
      <c r="A1126" s="15" t="str">
        <f aca="false">IF(B1126="","",ROW()-1)</f>
        <v/>
      </c>
      <c r="B1126" s="16"/>
      <c r="C1126" s="16"/>
      <c r="D1126" s="16"/>
      <c r="E1126" s="16"/>
      <c r="F1126" s="17"/>
      <c r="G1126" s="16"/>
      <c r="H1126" s="16"/>
      <c r="I1126" s="16"/>
      <c r="J1126" s="16"/>
      <c r="K1126" s="16"/>
      <c r="L1126" s="16"/>
      <c r="M1126" s="18" t="str">
        <f aca="false">IF(OR(C1126="",D1126=""),"",IF(MOD(COUNTIFS($C$2:C1126,C1126,$D$2:D1126,D1126)*7,10)&lt;3,"teste","treino"))</f>
        <v/>
      </c>
      <c r="N1126" s="16"/>
      <c r="O1126" s="16"/>
      <c r="P1126" s="16"/>
      <c r="Q1126" s="17"/>
    </row>
    <row r="1127" customFormat="false" ht="15" hidden="false" customHeight="false" outlineLevel="0" collapsed="false">
      <c r="A1127" s="15" t="str">
        <f aca="false">IF(B1127="","",ROW()-1)</f>
        <v/>
      </c>
      <c r="B1127" s="16"/>
      <c r="C1127" s="16"/>
      <c r="D1127" s="16"/>
      <c r="E1127" s="16"/>
      <c r="F1127" s="17"/>
      <c r="G1127" s="16"/>
      <c r="H1127" s="16"/>
      <c r="I1127" s="16"/>
      <c r="J1127" s="16"/>
      <c r="K1127" s="16"/>
      <c r="L1127" s="16"/>
      <c r="M1127" s="18" t="str">
        <f aca="false">IF(OR(C1127="",D1127=""),"",IF(MOD(COUNTIFS($C$2:C1127,C1127,$D$2:D1127,D1127)*7,10)&lt;3,"teste","treino"))</f>
        <v/>
      </c>
      <c r="N1127" s="16"/>
      <c r="O1127" s="16"/>
      <c r="P1127" s="16"/>
      <c r="Q1127" s="17"/>
    </row>
    <row r="1128" customFormat="false" ht="15" hidden="false" customHeight="false" outlineLevel="0" collapsed="false">
      <c r="A1128" s="15" t="str">
        <f aca="false">IF(B1128="","",ROW()-1)</f>
        <v/>
      </c>
      <c r="B1128" s="16"/>
      <c r="C1128" s="16"/>
      <c r="D1128" s="16"/>
      <c r="E1128" s="16"/>
      <c r="F1128" s="17"/>
      <c r="G1128" s="16"/>
      <c r="H1128" s="16"/>
      <c r="I1128" s="16"/>
      <c r="J1128" s="16"/>
      <c r="K1128" s="16"/>
      <c r="L1128" s="16"/>
      <c r="M1128" s="18" t="str">
        <f aca="false">IF(OR(C1128="",D1128=""),"",IF(MOD(COUNTIFS($C$2:C1128,C1128,$D$2:D1128,D1128)*7,10)&lt;3,"teste","treino"))</f>
        <v/>
      </c>
      <c r="N1128" s="16"/>
      <c r="O1128" s="16"/>
      <c r="P1128" s="16"/>
      <c r="Q1128" s="17"/>
    </row>
    <row r="1129" customFormat="false" ht="15" hidden="false" customHeight="false" outlineLevel="0" collapsed="false">
      <c r="A1129" s="15" t="str">
        <f aca="false">IF(B1129="","",ROW()-1)</f>
        <v/>
      </c>
      <c r="B1129" s="16"/>
      <c r="C1129" s="16"/>
      <c r="D1129" s="16"/>
      <c r="E1129" s="16"/>
      <c r="F1129" s="17"/>
      <c r="G1129" s="16"/>
      <c r="H1129" s="16"/>
      <c r="I1129" s="16"/>
      <c r="J1129" s="16"/>
      <c r="K1129" s="16"/>
      <c r="L1129" s="16"/>
      <c r="M1129" s="18" t="str">
        <f aca="false">IF(OR(C1129="",D1129=""),"",IF(MOD(COUNTIFS($C$2:C1129,C1129,$D$2:D1129,D1129)*7,10)&lt;3,"teste","treino"))</f>
        <v/>
      </c>
      <c r="N1129" s="16"/>
      <c r="O1129" s="16"/>
      <c r="P1129" s="16"/>
      <c r="Q1129" s="17"/>
    </row>
    <row r="1130" customFormat="false" ht="15" hidden="false" customHeight="false" outlineLevel="0" collapsed="false">
      <c r="A1130" s="15" t="str">
        <f aca="false">IF(B1130="","",ROW()-1)</f>
        <v/>
      </c>
      <c r="B1130" s="16"/>
      <c r="C1130" s="16"/>
      <c r="D1130" s="16"/>
      <c r="E1130" s="16"/>
      <c r="F1130" s="17"/>
      <c r="G1130" s="16"/>
      <c r="H1130" s="16"/>
      <c r="I1130" s="16"/>
      <c r="J1130" s="16"/>
      <c r="K1130" s="16"/>
      <c r="L1130" s="16"/>
      <c r="M1130" s="18" t="str">
        <f aca="false">IF(OR(C1130="",D1130=""),"",IF(MOD(COUNTIFS($C$2:C1130,C1130,$D$2:D1130,D1130)*7,10)&lt;3,"teste","treino"))</f>
        <v/>
      </c>
      <c r="N1130" s="16"/>
      <c r="O1130" s="16"/>
      <c r="P1130" s="16"/>
      <c r="Q1130" s="17"/>
    </row>
    <row r="1131" customFormat="false" ht="15" hidden="false" customHeight="false" outlineLevel="0" collapsed="false">
      <c r="A1131" s="15" t="str">
        <f aca="false">IF(B1131="","",ROW()-1)</f>
        <v/>
      </c>
      <c r="B1131" s="16"/>
      <c r="C1131" s="16"/>
      <c r="D1131" s="16"/>
      <c r="E1131" s="16"/>
      <c r="F1131" s="17"/>
      <c r="G1131" s="16"/>
      <c r="H1131" s="16"/>
      <c r="I1131" s="16"/>
      <c r="J1131" s="16"/>
      <c r="K1131" s="16"/>
      <c r="L1131" s="16"/>
      <c r="M1131" s="18" t="str">
        <f aca="false">IF(OR(C1131="",D1131=""),"",IF(MOD(COUNTIFS($C$2:C1131,C1131,$D$2:D1131,D1131)*7,10)&lt;3,"teste","treino"))</f>
        <v/>
      </c>
      <c r="N1131" s="16"/>
      <c r="O1131" s="16"/>
      <c r="P1131" s="16"/>
      <c r="Q1131" s="17"/>
    </row>
    <row r="1132" customFormat="false" ht="15" hidden="false" customHeight="false" outlineLevel="0" collapsed="false">
      <c r="A1132" s="15" t="str">
        <f aca="false">IF(B1132="","",ROW()-1)</f>
        <v/>
      </c>
      <c r="B1132" s="16"/>
      <c r="C1132" s="16"/>
      <c r="D1132" s="16"/>
      <c r="E1132" s="16"/>
      <c r="F1132" s="17"/>
      <c r="G1132" s="16"/>
      <c r="H1132" s="16"/>
      <c r="I1132" s="16"/>
      <c r="J1132" s="16"/>
      <c r="K1132" s="16"/>
      <c r="L1132" s="16"/>
      <c r="M1132" s="18" t="str">
        <f aca="false">IF(OR(C1132="",D1132=""),"",IF(MOD(COUNTIFS($C$2:C1132,C1132,$D$2:D1132,D1132)*7,10)&lt;3,"teste","treino"))</f>
        <v/>
      </c>
      <c r="N1132" s="16"/>
      <c r="O1132" s="16"/>
      <c r="P1132" s="16"/>
      <c r="Q1132" s="17"/>
    </row>
    <row r="1133" customFormat="false" ht="15" hidden="false" customHeight="false" outlineLevel="0" collapsed="false">
      <c r="A1133" s="15" t="str">
        <f aca="false">IF(B1133="","",ROW()-1)</f>
        <v/>
      </c>
      <c r="B1133" s="16"/>
      <c r="C1133" s="16"/>
      <c r="D1133" s="16"/>
      <c r="E1133" s="16"/>
      <c r="F1133" s="17"/>
      <c r="G1133" s="16"/>
      <c r="H1133" s="16"/>
      <c r="I1133" s="16"/>
      <c r="J1133" s="16"/>
      <c r="K1133" s="16"/>
      <c r="L1133" s="16"/>
      <c r="M1133" s="18" t="str">
        <f aca="false">IF(OR(C1133="",D1133=""),"",IF(MOD(COUNTIFS($C$2:C1133,C1133,$D$2:D1133,D1133)*7,10)&lt;3,"teste","treino"))</f>
        <v/>
      </c>
      <c r="N1133" s="16"/>
      <c r="O1133" s="16"/>
      <c r="P1133" s="16"/>
      <c r="Q1133" s="17"/>
    </row>
    <row r="1134" customFormat="false" ht="15" hidden="false" customHeight="false" outlineLevel="0" collapsed="false">
      <c r="A1134" s="15" t="str">
        <f aca="false">IF(B1134="","",ROW()-1)</f>
        <v/>
      </c>
      <c r="B1134" s="16"/>
      <c r="C1134" s="16"/>
      <c r="D1134" s="16"/>
      <c r="E1134" s="16"/>
      <c r="F1134" s="17"/>
      <c r="G1134" s="16"/>
      <c r="H1134" s="16"/>
      <c r="I1134" s="16"/>
      <c r="J1134" s="16"/>
      <c r="K1134" s="16"/>
      <c r="L1134" s="16"/>
      <c r="M1134" s="18" t="str">
        <f aca="false">IF(OR(C1134="",D1134=""),"",IF(MOD(COUNTIFS($C$2:C1134,C1134,$D$2:D1134,D1134)*7,10)&lt;3,"teste","treino"))</f>
        <v/>
      </c>
      <c r="N1134" s="16"/>
      <c r="O1134" s="16"/>
      <c r="P1134" s="16"/>
      <c r="Q1134" s="17"/>
    </row>
    <row r="1135" customFormat="false" ht="15" hidden="false" customHeight="false" outlineLevel="0" collapsed="false">
      <c r="A1135" s="15" t="str">
        <f aca="false">IF(B1135="","",ROW()-1)</f>
        <v/>
      </c>
      <c r="B1135" s="16"/>
      <c r="C1135" s="16"/>
      <c r="D1135" s="16"/>
      <c r="E1135" s="16"/>
      <c r="F1135" s="17"/>
      <c r="G1135" s="16"/>
      <c r="H1135" s="16"/>
      <c r="I1135" s="16"/>
      <c r="J1135" s="16"/>
      <c r="K1135" s="16"/>
      <c r="L1135" s="16"/>
      <c r="M1135" s="18" t="str">
        <f aca="false">IF(OR(C1135="",D1135=""),"",IF(MOD(COUNTIFS($C$2:C1135,C1135,$D$2:D1135,D1135)*7,10)&lt;3,"teste","treino"))</f>
        <v/>
      </c>
      <c r="N1135" s="16"/>
      <c r="O1135" s="16"/>
      <c r="P1135" s="16"/>
      <c r="Q1135" s="17"/>
    </row>
    <row r="1136" customFormat="false" ht="15" hidden="false" customHeight="false" outlineLevel="0" collapsed="false">
      <c r="A1136" s="15" t="str">
        <f aca="false">IF(B1136="","",ROW()-1)</f>
        <v/>
      </c>
      <c r="B1136" s="16"/>
      <c r="C1136" s="16"/>
      <c r="D1136" s="16"/>
      <c r="E1136" s="16"/>
      <c r="F1136" s="17"/>
      <c r="G1136" s="16"/>
      <c r="H1136" s="16"/>
      <c r="I1136" s="16"/>
      <c r="J1136" s="16"/>
      <c r="K1136" s="16"/>
      <c r="L1136" s="16"/>
      <c r="M1136" s="18" t="str">
        <f aca="false">IF(OR(C1136="",D1136=""),"",IF(MOD(COUNTIFS($C$2:C1136,C1136,$D$2:D1136,D1136)*7,10)&lt;3,"teste","treino"))</f>
        <v/>
      </c>
      <c r="N1136" s="16"/>
      <c r="O1136" s="16"/>
      <c r="P1136" s="16"/>
      <c r="Q1136" s="17"/>
    </row>
    <row r="1137" customFormat="false" ht="15" hidden="false" customHeight="false" outlineLevel="0" collapsed="false">
      <c r="A1137" s="15" t="str">
        <f aca="false">IF(B1137="","",ROW()-1)</f>
        <v/>
      </c>
      <c r="B1137" s="16"/>
      <c r="C1137" s="16"/>
      <c r="D1137" s="16"/>
      <c r="E1137" s="16"/>
      <c r="F1137" s="17"/>
      <c r="G1137" s="16"/>
      <c r="H1137" s="16"/>
      <c r="I1137" s="16"/>
      <c r="J1137" s="16"/>
      <c r="K1137" s="16"/>
      <c r="L1137" s="16"/>
      <c r="M1137" s="18" t="str">
        <f aca="false">IF(OR(C1137="",D1137=""),"",IF(MOD(COUNTIFS($C$2:C1137,C1137,$D$2:D1137,D1137)*7,10)&lt;3,"teste","treino"))</f>
        <v/>
      </c>
      <c r="N1137" s="16"/>
      <c r="O1137" s="16"/>
      <c r="P1137" s="16"/>
      <c r="Q1137" s="17"/>
    </row>
    <row r="1138" customFormat="false" ht="15" hidden="false" customHeight="false" outlineLevel="0" collapsed="false">
      <c r="A1138" s="15" t="str">
        <f aca="false">IF(B1138="","",ROW()-1)</f>
        <v/>
      </c>
      <c r="B1138" s="16"/>
      <c r="C1138" s="16"/>
      <c r="D1138" s="16"/>
      <c r="E1138" s="16"/>
      <c r="F1138" s="17"/>
      <c r="G1138" s="16"/>
      <c r="H1138" s="16"/>
      <c r="I1138" s="16"/>
      <c r="J1138" s="16"/>
      <c r="K1138" s="16"/>
      <c r="L1138" s="16"/>
      <c r="M1138" s="18" t="str">
        <f aca="false">IF(OR(C1138="",D1138=""),"",IF(MOD(COUNTIFS($C$2:C1138,C1138,$D$2:D1138,D1138)*7,10)&lt;3,"teste","treino"))</f>
        <v/>
      </c>
      <c r="N1138" s="16"/>
      <c r="O1138" s="16"/>
      <c r="P1138" s="16"/>
      <c r="Q1138" s="17"/>
    </row>
    <row r="1139" customFormat="false" ht="15" hidden="false" customHeight="false" outlineLevel="0" collapsed="false">
      <c r="A1139" s="15" t="str">
        <f aca="false">IF(B1139="","",ROW()-1)</f>
        <v/>
      </c>
      <c r="B1139" s="16"/>
      <c r="C1139" s="16"/>
      <c r="D1139" s="16"/>
      <c r="E1139" s="16"/>
      <c r="F1139" s="17"/>
      <c r="G1139" s="16"/>
      <c r="H1139" s="16"/>
      <c r="I1139" s="16"/>
      <c r="J1139" s="16"/>
      <c r="K1139" s="16"/>
      <c r="L1139" s="16"/>
      <c r="M1139" s="18" t="str">
        <f aca="false">IF(OR(C1139="",D1139=""),"",IF(MOD(COUNTIFS($C$2:C1139,C1139,$D$2:D1139,D1139)*7,10)&lt;3,"teste","treino"))</f>
        <v/>
      </c>
      <c r="N1139" s="16"/>
      <c r="O1139" s="16"/>
      <c r="P1139" s="16"/>
      <c r="Q1139" s="17"/>
    </row>
    <row r="1140" customFormat="false" ht="15" hidden="false" customHeight="false" outlineLevel="0" collapsed="false">
      <c r="A1140" s="15" t="str">
        <f aca="false">IF(B1140="","",ROW()-1)</f>
        <v/>
      </c>
      <c r="B1140" s="16"/>
      <c r="C1140" s="16"/>
      <c r="D1140" s="16"/>
      <c r="E1140" s="16"/>
      <c r="F1140" s="17"/>
      <c r="G1140" s="16"/>
      <c r="H1140" s="16"/>
      <c r="I1140" s="16"/>
      <c r="J1140" s="16"/>
      <c r="K1140" s="16"/>
      <c r="L1140" s="16"/>
      <c r="M1140" s="18" t="str">
        <f aca="false">IF(OR(C1140="",D1140=""),"",IF(MOD(COUNTIFS($C$2:C1140,C1140,$D$2:D1140,D1140)*7,10)&lt;3,"teste","treino"))</f>
        <v/>
      </c>
      <c r="N1140" s="16"/>
      <c r="O1140" s="16"/>
      <c r="P1140" s="16"/>
      <c r="Q1140" s="17"/>
    </row>
    <row r="1141" customFormat="false" ht="15" hidden="false" customHeight="false" outlineLevel="0" collapsed="false">
      <c r="A1141" s="15" t="str">
        <f aca="false">IF(B1141="","",ROW()-1)</f>
        <v/>
      </c>
      <c r="B1141" s="16"/>
      <c r="C1141" s="16"/>
      <c r="D1141" s="16"/>
      <c r="E1141" s="16"/>
      <c r="F1141" s="17"/>
      <c r="G1141" s="16"/>
      <c r="H1141" s="16"/>
      <c r="I1141" s="16"/>
      <c r="J1141" s="16"/>
      <c r="K1141" s="16"/>
      <c r="L1141" s="16"/>
      <c r="M1141" s="18" t="str">
        <f aca="false">IF(OR(C1141="",D1141=""),"",IF(MOD(COUNTIFS($C$2:C1141,C1141,$D$2:D1141,D1141)*7,10)&lt;3,"teste","treino"))</f>
        <v/>
      </c>
      <c r="N1141" s="16"/>
      <c r="O1141" s="16"/>
      <c r="P1141" s="16"/>
      <c r="Q1141" s="17"/>
    </row>
    <row r="1142" customFormat="false" ht="15" hidden="false" customHeight="false" outlineLevel="0" collapsed="false">
      <c r="A1142" s="15" t="str">
        <f aca="false">IF(B1142="","",ROW()-1)</f>
        <v/>
      </c>
      <c r="B1142" s="16"/>
      <c r="C1142" s="16"/>
      <c r="D1142" s="16"/>
      <c r="E1142" s="16"/>
      <c r="F1142" s="17"/>
      <c r="G1142" s="16"/>
      <c r="H1142" s="16"/>
      <c r="I1142" s="16"/>
      <c r="J1142" s="16"/>
      <c r="K1142" s="16"/>
      <c r="L1142" s="16"/>
      <c r="M1142" s="18" t="str">
        <f aca="false">IF(OR(C1142="",D1142=""),"",IF(MOD(COUNTIFS($C$2:C1142,C1142,$D$2:D1142,D1142)*7,10)&lt;3,"teste","treino"))</f>
        <v/>
      </c>
      <c r="N1142" s="16"/>
      <c r="O1142" s="16"/>
      <c r="P1142" s="16"/>
      <c r="Q1142" s="17"/>
    </row>
    <row r="1143" customFormat="false" ht="15" hidden="false" customHeight="false" outlineLevel="0" collapsed="false">
      <c r="A1143" s="15" t="str">
        <f aca="false">IF(B1143="","",ROW()-1)</f>
        <v/>
      </c>
      <c r="B1143" s="16"/>
      <c r="C1143" s="16"/>
      <c r="D1143" s="16"/>
      <c r="E1143" s="16"/>
      <c r="F1143" s="17"/>
      <c r="G1143" s="16"/>
      <c r="H1143" s="16"/>
      <c r="I1143" s="16"/>
      <c r="J1143" s="16"/>
      <c r="K1143" s="16"/>
      <c r="L1143" s="16"/>
      <c r="M1143" s="18" t="str">
        <f aca="false">IF(OR(C1143="",D1143=""),"",IF(MOD(COUNTIFS($C$2:C1143,C1143,$D$2:D1143,D1143)*7,10)&lt;3,"teste","treino"))</f>
        <v/>
      </c>
      <c r="N1143" s="16"/>
      <c r="O1143" s="16"/>
      <c r="P1143" s="16"/>
      <c r="Q1143" s="17"/>
    </row>
    <row r="1144" customFormat="false" ht="15" hidden="false" customHeight="false" outlineLevel="0" collapsed="false">
      <c r="A1144" s="15" t="str">
        <f aca="false">IF(B1144="","",ROW()-1)</f>
        <v/>
      </c>
      <c r="B1144" s="16"/>
      <c r="C1144" s="16"/>
      <c r="D1144" s="16"/>
      <c r="E1144" s="16"/>
      <c r="F1144" s="17"/>
      <c r="G1144" s="16"/>
      <c r="H1144" s="16"/>
      <c r="I1144" s="16"/>
      <c r="J1144" s="16"/>
      <c r="K1144" s="16"/>
      <c r="L1144" s="16"/>
      <c r="M1144" s="18" t="str">
        <f aca="false">IF(OR(C1144="",D1144=""),"",IF(MOD(COUNTIFS($C$2:C1144,C1144,$D$2:D1144,D1144)*7,10)&lt;3,"teste","treino"))</f>
        <v/>
      </c>
      <c r="N1144" s="16"/>
      <c r="O1144" s="16"/>
      <c r="P1144" s="16"/>
      <c r="Q1144" s="17"/>
    </row>
    <row r="1145" customFormat="false" ht="15" hidden="false" customHeight="false" outlineLevel="0" collapsed="false">
      <c r="A1145" s="15" t="str">
        <f aca="false">IF(B1145="","",ROW()-1)</f>
        <v/>
      </c>
      <c r="B1145" s="16"/>
      <c r="C1145" s="16"/>
      <c r="D1145" s="16"/>
      <c r="E1145" s="16"/>
      <c r="F1145" s="17"/>
      <c r="G1145" s="16"/>
      <c r="H1145" s="16"/>
      <c r="I1145" s="16"/>
      <c r="J1145" s="16"/>
      <c r="K1145" s="16"/>
      <c r="L1145" s="16"/>
      <c r="M1145" s="18" t="str">
        <f aca="false">IF(OR(C1145="",D1145=""),"",IF(MOD(COUNTIFS($C$2:C1145,C1145,$D$2:D1145,D1145)*7,10)&lt;3,"teste","treino"))</f>
        <v/>
      </c>
      <c r="N1145" s="16"/>
      <c r="O1145" s="16"/>
      <c r="P1145" s="16"/>
      <c r="Q1145" s="17"/>
    </row>
    <row r="1146" customFormat="false" ht="15" hidden="false" customHeight="false" outlineLevel="0" collapsed="false">
      <c r="A1146" s="15" t="str">
        <f aca="false">IF(B1146="","",ROW()-1)</f>
        <v/>
      </c>
      <c r="B1146" s="16"/>
      <c r="C1146" s="16"/>
      <c r="D1146" s="16"/>
      <c r="E1146" s="16"/>
      <c r="F1146" s="17"/>
      <c r="G1146" s="16"/>
      <c r="H1146" s="16"/>
      <c r="I1146" s="16"/>
      <c r="J1146" s="16"/>
      <c r="K1146" s="16"/>
      <c r="L1146" s="16"/>
      <c r="M1146" s="18" t="str">
        <f aca="false">IF(OR(C1146="",D1146=""),"",IF(MOD(COUNTIFS($C$2:C1146,C1146,$D$2:D1146,D1146)*7,10)&lt;3,"teste","treino"))</f>
        <v/>
      </c>
      <c r="N1146" s="16"/>
      <c r="O1146" s="16"/>
      <c r="P1146" s="16"/>
      <c r="Q1146" s="17"/>
    </row>
    <row r="1147" customFormat="false" ht="15" hidden="false" customHeight="false" outlineLevel="0" collapsed="false">
      <c r="A1147" s="15" t="str">
        <f aca="false">IF(B1147="","",ROW()-1)</f>
        <v/>
      </c>
      <c r="B1147" s="16"/>
      <c r="C1147" s="16"/>
      <c r="D1147" s="16"/>
      <c r="E1147" s="16"/>
      <c r="F1147" s="17"/>
      <c r="G1147" s="16"/>
      <c r="H1147" s="16"/>
      <c r="I1147" s="16"/>
      <c r="J1147" s="16"/>
      <c r="K1147" s="16"/>
      <c r="L1147" s="16"/>
      <c r="M1147" s="18" t="str">
        <f aca="false">IF(OR(C1147="",D1147=""),"",IF(MOD(COUNTIFS($C$2:C1147,C1147,$D$2:D1147,D1147)*7,10)&lt;3,"teste","treino"))</f>
        <v/>
      </c>
      <c r="N1147" s="16"/>
      <c r="O1147" s="16"/>
      <c r="P1147" s="16"/>
      <c r="Q1147" s="17"/>
    </row>
    <row r="1148" customFormat="false" ht="15" hidden="false" customHeight="false" outlineLevel="0" collapsed="false">
      <c r="A1148" s="15" t="str">
        <f aca="false">IF(B1148="","",ROW()-1)</f>
        <v/>
      </c>
      <c r="B1148" s="16"/>
      <c r="C1148" s="16"/>
      <c r="D1148" s="16"/>
      <c r="E1148" s="16"/>
      <c r="F1148" s="17"/>
      <c r="G1148" s="16"/>
      <c r="H1148" s="16"/>
      <c r="I1148" s="16"/>
      <c r="J1148" s="16"/>
      <c r="K1148" s="16"/>
      <c r="L1148" s="16"/>
      <c r="M1148" s="18" t="str">
        <f aca="false">IF(OR(C1148="",D1148=""),"",IF(MOD(COUNTIFS($C$2:C1148,C1148,$D$2:D1148,D1148)*7,10)&lt;3,"teste","treino"))</f>
        <v/>
      </c>
      <c r="N1148" s="16"/>
      <c r="O1148" s="16"/>
      <c r="P1148" s="16"/>
      <c r="Q1148" s="17"/>
    </row>
    <row r="1149" customFormat="false" ht="15" hidden="false" customHeight="false" outlineLevel="0" collapsed="false">
      <c r="A1149" s="15" t="str">
        <f aca="false">IF(B1149="","",ROW()-1)</f>
        <v/>
      </c>
      <c r="B1149" s="16"/>
      <c r="C1149" s="16"/>
      <c r="D1149" s="16"/>
      <c r="E1149" s="16"/>
      <c r="F1149" s="17"/>
      <c r="G1149" s="16"/>
      <c r="H1149" s="16"/>
      <c r="I1149" s="16"/>
      <c r="J1149" s="16"/>
      <c r="K1149" s="16"/>
      <c r="L1149" s="16"/>
      <c r="M1149" s="18" t="str">
        <f aca="false">IF(OR(C1149="",D1149=""),"",IF(MOD(COUNTIFS($C$2:C1149,C1149,$D$2:D1149,D1149)*7,10)&lt;3,"teste","treino"))</f>
        <v/>
      </c>
      <c r="N1149" s="16"/>
      <c r="O1149" s="16"/>
      <c r="P1149" s="16"/>
      <c r="Q1149" s="17"/>
    </row>
    <row r="1150" customFormat="false" ht="15" hidden="false" customHeight="false" outlineLevel="0" collapsed="false">
      <c r="A1150" s="15" t="str">
        <f aca="false">IF(B1150="","",ROW()-1)</f>
        <v/>
      </c>
      <c r="B1150" s="16"/>
      <c r="C1150" s="16"/>
      <c r="D1150" s="16"/>
      <c r="E1150" s="16"/>
      <c r="F1150" s="17"/>
      <c r="G1150" s="16"/>
      <c r="H1150" s="16"/>
      <c r="I1150" s="16"/>
      <c r="J1150" s="16"/>
      <c r="K1150" s="16"/>
      <c r="L1150" s="16"/>
      <c r="M1150" s="18" t="str">
        <f aca="false">IF(OR(C1150="",D1150=""),"",IF(MOD(COUNTIFS($C$2:C1150,C1150,$D$2:D1150,D1150)*7,10)&lt;3,"teste","treino"))</f>
        <v/>
      </c>
      <c r="N1150" s="16"/>
      <c r="O1150" s="16"/>
      <c r="P1150" s="16"/>
      <c r="Q1150" s="17"/>
    </row>
    <row r="1151" customFormat="false" ht="15" hidden="false" customHeight="false" outlineLevel="0" collapsed="false">
      <c r="A1151" s="15" t="str">
        <f aca="false">IF(B1151="","",ROW()-1)</f>
        <v/>
      </c>
      <c r="B1151" s="16"/>
      <c r="C1151" s="16"/>
      <c r="D1151" s="16"/>
      <c r="E1151" s="16"/>
      <c r="F1151" s="17"/>
      <c r="G1151" s="16"/>
      <c r="H1151" s="16"/>
      <c r="I1151" s="16"/>
      <c r="J1151" s="16"/>
      <c r="K1151" s="16"/>
      <c r="L1151" s="16"/>
      <c r="M1151" s="18" t="str">
        <f aca="false">IF(OR(C1151="",D1151=""),"",IF(MOD(COUNTIFS($C$2:C1151,C1151,$D$2:D1151,D1151)*7,10)&lt;3,"teste","treino"))</f>
        <v/>
      </c>
      <c r="N1151" s="16"/>
      <c r="O1151" s="16"/>
      <c r="P1151" s="16"/>
      <c r="Q1151" s="17"/>
    </row>
    <row r="1152" customFormat="false" ht="15" hidden="false" customHeight="false" outlineLevel="0" collapsed="false">
      <c r="A1152" s="15" t="str">
        <f aca="false">IF(B1152="","",ROW()-1)</f>
        <v/>
      </c>
      <c r="B1152" s="16"/>
      <c r="C1152" s="16"/>
      <c r="D1152" s="16"/>
      <c r="E1152" s="16"/>
      <c r="F1152" s="17"/>
      <c r="G1152" s="16"/>
      <c r="H1152" s="16"/>
      <c r="I1152" s="16"/>
      <c r="J1152" s="16"/>
      <c r="K1152" s="16"/>
      <c r="L1152" s="16"/>
      <c r="M1152" s="18" t="str">
        <f aca="false">IF(OR(C1152="",D1152=""),"",IF(MOD(COUNTIFS($C$2:C1152,C1152,$D$2:D1152,D1152)*7,10)&lt;3,"teste","treino"))</f>
        <v/>
      </c>
      <c r="N1152" s="16"/>
      <c r="O1152" s="16"/>
      <c r="P1152" s="16"/>
      <c r="Q1152" s="17"/>
    </row>
    <row r="1153" customFormat="false" ht="15" hidden="false" customHeight="false" outlineLevel="0" collapsed="false">
      <c r="A1153" s="15" t="str">
        <f aca="false">IF(B1153="","",ROW()-1)</f>
        <v/>
      </c>
      <c r="B1153" s="16"/>
      <c r="C1153" s="16"/>
      <c r="D1153" s="16"/>
      <c r="E1153" s="16"/>
      <c r="F1153" s="17"/>
      <c r="G1153" s="16"/>
      <c r="H1153" s="16"/>
      <c r="I1153" s="16"/>
      <c r="J1153" s="16"/>
      <c r="K1153" s="16"/>
      <c r="L1153" s="16"/>
      <c r="M1153" s="18" t="str">
        <f aca="false">IF(OR(C1153="",D1153=""),"",IF(MOD(COUNTIFS($C$2:C1153,C1153,$D$2:D1153,D1153)*7,10)&lt;3,"teste","treino"))</f>
        <v/>
      </c>
      <c r="N1153" s="16"/>
      <c r="O1153" s="16"/>
      <c r="P1153" s="16"/>
      <c r="Q1153" s="17"/>
    </row>
    <row r="1154" customFormat="false" ht="15" hidden="false" customHeight="false" outlineLevel="0" collapsed="false">
      <c r="A1154" s="15" t="str">
        <f aca="false">IF(B1154="","",ROW()-1)</f>
        <v/>
      </c>
      <c r="B1154" s="16"/>
      <c r="C1154" s="16"/>
      <c r="D1154" s="16"/>
      <c r="E1154" s="16"/>
      <c r="F1154" s="17"/>
      <c r="G1154" s="16"/>
      <c r="H1154" s="16"/>
      <c r="I1154" s="16"/>
      <c r="J1154" s="16"/>
      <c r="K1154" s="16"/>
      <c r="L1154" s="16"/>
      <c r="M1154" s="18" t="str">
        <f aca="false">IF(OR(C1154="",D1154=""),"",IF(MOD(COUNTIFS($C$2:C1154,C1154,$D$2:D1154,D1154)*7,10)&lt;3,"teste","treino"))</f>
        <v/>
      </c>
      <c r="N1154" s="16"/>
      <c r="O1154" s="16"/>
      <c r="P1154" s="16"/>
      <c r="Q1154" s="17"/>
    </row>
    <row r="1155" customFormat="false" ht="15" hidden="false" customHeight="false" outlineLevel="0" collapsed="false">
      <c r="A1155" s="15" t="str">
        <f aca="false">IF(B1155="","",ROW()-1)</f>
        <v/>
      </c>
      <c r="B1155" s="16"/>
      <c r="C1155" s="16"/>
      <c r="D1155" s="16"/>
      <c r="E1155" s="16"/>
      <c r="F1155" s="17"/>
      <c r="G1155" s="16"/>
      <c r="H1155" s="16"/>
      <c r="I1155" s="16"/>
      <c r="J1155" s="16"/>
      <c r="K1155" s="16"/>
      <c r="L1155" s="16"/>
      <c r="M1155" s="18" t="str">
        <f aca="false">IF(OR(C1155="",D1155=""),"",IF(MOD(COUNTIFS($C$2:C1155,C1155,$D$2:D1155,D1155)*7,10)&lt;3,"teste","treino"))</f>
        <v/>
      </c>
      <c r="N1155" s="16"/>
      <c r="O1155" s="16"/>
      <c r="P1155" s="16"/>
      <c r="Q1155" s="17"/>
    </row>
    <row r="1156" customFormat="false" ht="15" hidden="false" customHeight="false" outlineLevel="0" collapsed="false">
      <c r="A1156" s="15" t="str">
        <f aca="false">IF(B1156="","",ROW()-1)</f>
        <v/>
      </c>
      <c r="B1156" s="16"/>
      <c r="C1156" s="16"/>
      <c r="D1156" s="16"/>
      <c r="E1156" s="16"/>
      <c r="F1156" s="17"/>
      <c r="G1156" s="16"/>
      <c r="H1156" s="16"/>
      <c r="I1156" s="16"/>
      <c r="J1156" s="16"/>
      <c r="K1156" s="16"/>
      <c r="L1156" s="16"/>
      <c r="M1156" s="18" t="str">
        <f aca="false">IF(OR(C1156="",D1156=""),"",IF(MOD(COUNTIFS($C$2:C1156,C1156,$D$2:D1156,D1156)*7,10)&lt;3,"teste","treino"))</f>
        <v/>
      </c>
      <c r="N1156" s="16"/>
      <c r="O1156" s="16"/>
      <c r="P1156" s="16"/>
      <c r="Q1156" s="17"/>
    </row>
    <row r="1157" customFormat="false" ht="15" hidden="false" customHeight="false" outlineLevel="0" collapsed="false">
      <c r="A1157" s="15" t="str">
        <f aca="false">IF(B1157="","",ROW()-1)</f>
        <v/>
      </c>
      <c r="B1157" s="16"/>
      <c r="C1157" s="16"/>
      <c r="D1157" s="16"/>
      <c r="E1157" s="16"/>
      <c r="F1157" s="17"/>
      <c r="G1157" s="16"/>
      <c r="H1157" s="16"/>
      <c r="I1157" s="16"/>
      <c r="J1157" s="16"/>
      <c r="K1157" s="16"/>
      <c r="L1157" s="16"/>
      <c r="M1157" s="18" t="str">
        <f aca="false">IF(OR(C1157="",D1157=""),"",IF(MOD(COUNTIFS($C$2:C1157,C1157,$D$2:D1157,D1157)*7,10)&lt;3,"teste","treino"))</f>
        <v/>
      </c>
      <c r="N1157" s="16"/>
      <c r="O1157" s="16"/>
      <c r="P1157" s="16"/>
      <c r="Q1157" s="17"/>
    </row>
    <row r="1158" customFormat="false" ht="15" hidden="false" customHeight="false" outlineLevel="0" collapsed="false">
      <c r="A1158" s="15" t="str">
        <f aca="false">IF(B1158="","",ROW()-1)</f>
        <v/>
      </c>
      <c r="B1158" s="16"/>
      <c r="C1158" s="16"/>
      <c r="D1158" s="16"/>
      <c r="E1158" s="16"/>
      <c r="F1158" s="17"/>
      <c r="G1158" s="16"/>
      <c r="H1158" s="16"/>
      <c r="I1158" s="16"/>
      <c r="J1158" s="16"/>
      <c r="K1158" s="16"/>
      <c r="L1158" s="16"/>
      <c r="M1158" s="18" t="str">
        <f aca="false">IF(OR(C1158="",D1158=""),"",IF(MOD(COUNTIFS($C$2:C1158,C1158,$D$2:D1158,D1158)*7,10)&lt;3,"teste","treino"))</f>
        <v/>
      </c>
      <c r="N1158" s="16"/>
      <c r="O1158" s="16"/>
      <c r="P1158" s="16"/>
      <c r="Q1158" s="17"/>
    </row>
    <row r="1159" customFormat="false" ht="15" hidden="false" customHeight="false" outlineLevel="0" collapsed="false">
      <c r="A1159" s="15" t="str">
        <f aca="false">IF(B1159="","",ROW()-1)</f>
        <v/>
      </c>
      <c r="B1159" s="16"/>
      <c r="C1159" s="16"/>
      <c r="D1159" s="16"/>
      <c r="E1159" s="16"/>
      <c r="F1159" s="17"/>
      <c r="G1159" s="16"/>
      <c r="H1159" s="16"/>
      <c r="I1159" s="16"/>
      <c r="J1159" s="16"/>
      <c r="K1159" s="16"/>
      <c r="L1159" s="16"/>
      <c r="M1159" s="18" t="str">
        <f aca="false">IF(OR(C1159="",D1159=""),"",IF(MOD(COUNTIFS($C$2:C1159,C1159,$D$2:D1159,D1159)*7,10)&lt;3,"teste","treino"))</f>
        <v/>
      </c>
      <c r="N1159" s="16"/>
      <c r="O1159" s="16"/>
      <c r="P1159" s="16"/>
      <c r="Q1159" s="17"/>
    </row>
    <row r="1160" customFormat="false" ht="15" hidden="false" customHeight="false" outlineLevel="0" collapsed="false">
      <c r="A1160" s="15" t="str">
        <f aca="false">IF(B1160="","",ROW()-1)</f>
        <v/>
      </c>
      <c r="B1160" s="16"/>
      <c r="C1160" s="16"/>
      <c r="D1160" s="16"/>
      <c r="E1160" s="16"/>
      <c r="F1160" s="17"/>
      <c r="G1160" s="16"/>
      <c r="H1160" s="16"/>
      <c r="I1160" s="16"/>
      <c r="J1160" s="16"/>
      <c r="K1160" s="16"/>
      <c r="L1160" s="16"/>
      <c r="M1160" s="18" t="str">
        <f aca="false">IF(OR(C1160="",D1160=""),"",IF(MOD(COUNTIFS($C$2:C1160,C1160,$D$2:D1160,D1160)*7,10)&lt;3,"teste","treino"))</f>
        <v/>
      </c>
      <c r="N1160" s="16"/>
      <c r="O1160" s="16"/>
      <c r="P1160" s="16"/>
      <c r="Q1160" s="17"/>
    </row>
    <row r="1161" customFormat="false" ht="15" hidden="false" customHeight="false" outlineLevel="0" collapsed="false">
      <c r="A1161" s="15" t="str">
        <f aca="false">IF(B1161="","",ROW()-1)</f>
        <v/>
      </c>
      <c r="B1161" s="16"/>
      <c r="C1161" s="16"/>
      <c r="D1161" s="16"/>
      <c r="E1161" s="16"/>
      <c r="F1161" s="17"/>
      <c r="G1161" s="16"/>
      <c r="H1161" s="16"/>
      <c r="I1161" s="16"/>
      <c r="J1161" s="16"/>
      <c r="K1161" s="16"/>
      <c r="L1161" s="16"/>
      <c r="M1161" s="18" t="str">
        <f aca="false">IF(OR(C1161="",D1161=""),"",IF(MOD(COUNTIFS($C$2:C1161,C1161,$D$2:D1161,D1161)*7,10)&lt;3,"teste","treino"))</f>
        <v/>
      </c>
      <c r="N1161" s="16"/>
      <c r="O1161" s="16"/>
      <c r="P1161" s="16"/>
      <c r="Q1161" s="17"/>
    </row>
    <row r="1162" customFormat="false" ht="15" hidden="false" customHeight="false" outlineLevel="0" collapsed="false">
      <c r="A1162" s="15" t="str">
        <f aca="false">IF(B1162="","",ROW()-1)</f>
        <v/>
      </c>
      <c r="B1162" s="16"/>
      <c r="C1162" s="16"/>
      <c r="D1162" s="16"/>
      <c r="E1162" s="16"/>
      <c r="F1162" s="17"/>
      <c r="G1162" s="16"/>
      <c r="H1162" s="16"/>
      <c r="I1162" s="16"/>
      <c r="J1162" s="16"/>
      <c r="K1162" s="16"/>
      <c r="L1162" s="16"/>
      <c r="M1162" s="18" t="str">
        <f aca="false">IF(OR(C1162="",D1162=""),"",IF(MOD(COUNTIFS($C$2:C1162,C1162,$D$2:D1162,D1162)*7,10)&lt;3,"teste","treino"))</f>
        <v/>
      </c>
      <c r="N1162" s="16"/>
      <c r="O1162" s="16"/>
      <c r="P1162" s="16"/>
      <c r="Q1162" s="17"/>
    </row>
    <row r="1163" customFormat="false" ht="15" hidden="false" customHeight="false" outlineLevel="0" collapsed="false">
      <c r="A1163" s="15" t="str">
        <f aca="false">IF(B1163="","",ROW()-1)</f>
        <v/>
      </c>
      <c r="B1163" s="16"/>
      <c r="C1163" s="16"/>
      <c r="D1163" s="16"/>
      <c r="E1163" s="16"/>
      <c r="F1163" s="17"/>
      <c r="G1163" s="16"/>
      <c r="H1163" s="16"/>
      <c r="I1163" s="16"/>
      <c r="J1163" s="16"/>
      <c r="K1163" s="16"/>
      <c r="L1163" s="16"/>
      <c r="M1163" s="18" t="str">
        <f aca="false">IF(OR(C1163="",D1163=""),"",IF(MOD(COUNTIFS($C$2:C1163,C1163,$D$2:D1163,D1163)*7,10)&lt;3,"teste","treino"))</f>
        <v/>
      </c>
      <c r="N1163" s="16"/>
      <c r="O1163" s="16"/>
      <c r="P1163" s="16"/>
      <c r="Q1163" s="17"/>
    </row>
    <row r="1164" customFormat="false" ht="15" hidden="false" customHeight="false" outlineLevel="0" collapsed="false">
      <c r="A1164" s="15" t="str">
        <f aca="false">IF(B1164="","",ROW()-1)</f>
        <v/>
      </c>
      <c r="B1164" s="16"/>
      <c r="C1164" s="16"/>
      <c r="D1164" s="16"/>
      <c r="E1164" s="16"/>
      <c r="F1164" s="17"/>
      <c r="G1164" s="16"/>
      <c r="H1164" s="16"/>
      <c r="I1164" s="16"/>
      <c r="J1164" s="16"/>
      <c r="K1164" s="16"/>
      <c r="L1164" s="16"/>
      <c r="M1164" s="18" t="str">
        <f aca="false">IF(OR(C1164="",D1164=""),"",IF(MOD(COUNTIFS($C$2:C1164,C1164,$D$2:D1164,D1164)*7,10)&lt;3,"teste","treino"))</f>
        <v/>
      </c>
      <c r="N1164" s="16"/>
      <c r="O1164" s="16"/>
      <c r="P1164" s="16"/>
      <c r="Q1164" s="17"/>
    </row>
    <row r="1165" customFormat="false" ht="15" hidden="false" customHeight="false" outlineLevel="0" collapsed="false">
      <c r="A1165" s="15" t="str">
        <f aca="false">IF(B1165="","",ROW()-1)</f>
        <v/>
      </c>
      <c r="B1165" s="16"/>
      <c r="C1165" s="16"/>
      <c r="D1165" s="16"/>
      <c r="E1165" s="16"/>
      <c r="F1165" s="17"/>
      <c r="G1165" s="16"/>
      <c r="H1165" s="16"/>
      <c r="I1165" s="16"/>
      <c r="J1165" s="16"/>
      <c r="K1165" s="16"/>
      <c r="L1165" s="16"/>
      <c r="M1165" s="18" t="str">
        <f aca="false">IF(OR(C1165="",D1165=""),"",IF(MOD(COUNTIFS($C$2:C1165,C1165,$D$2:D1165,D1165)*7,10)&lt;3,"teste","treino"))</f>
        <v/>
      </c>
      <c r="N1165" s="16"/>
      <c r="O1165" s="16"/>
      <c r="P1165" s="16"/>
      <c r="Q1165" s="17"/>
    </row>
    <row r="1166" customFormat="false" ht="15" hidden="false" customHeight="false" outlineLevel="0" collapsed="false">
      <c r="A1166" s="15" t="str">
        <f aca="false">IF(B1166="","",ROW()-1)</f>
        <v/>
      </c>
      <c r="B1166" s="16"/>
      <c r="C1166" s="16"/>
      <c r="D1166" s="16"/>
      <c r="E1166" s="16"/>
      <c r="F1166" s="17"/>
      <c r="G1166" s="16"/>
      <c r="H1166" s="16"/>
      <c r="I1166" s="16"/>
      <c r="J1166" s="16"/>
      <c r="K1166" s="16"/>
      <c r="L1166" s="16"/>
      <c r="M1166" s="18" t="str">
        <f aca="false">IF(OR(C1166="",D1166=""),"",IF(MOD(COUNTIFS($C$2:C1166,C1166,$D$2:D1166,D1166)*7,10)&lt;3,"teste","treino"))</f>
        <v/>
      </c>
      <c r="N1166" s="16"/>
      <c r="O1166" s="16"/>
      <c r="P1166" s="16"/>
      <c r="Q1166" s="17"/>
    </row>
    <row r="1167" customFormat="false" ht="15" hidden="false" customHeight="false" outlineLevel="0" collapsed="false">
      <c r="A1167" s="15" t="str">
        <f aca="false">IF(B1167="","",ROW()-1)</f>
        <v/>
      </c>
      <c r="B1167" s="16"/>
      <c r="C1167" s="16"/>
      <c r="D1167" s="16"/>
      <c r="E1167" s="16"/>
      <c r="F1167" s="17"/>
      <c r="G1167" s="16"/>
      <c r="H1167" s="16"/>
      <c r="I1167" s="16"/>
      <c r="J1167" s="16"/>
      <c r="K1167" s="16"/>
      <c r="L1167" s="16"/>
      <c r="M1167" s="18" t="str">
        <f aca="false">IF(OR(C1167="",D1167=""),"",IF(MOD(COUNTIFS($C$2:C1167,C1167,$D$2:D1167,D1167)*7,10)&lt;3,"teste","treino"))</f>
        <v/>
      </c>
      <c r="N1167" s="16"/>
      <c r="O1167" s="16"/>
      <c r="P1167" s="16"/>
      <c r="Q1167" s="17"/>
    </row>
    <row r="1168" customFormat="false" ht="15" hidden="false" customHeight="false" outlineLevel="0" collapsed="false">
      <c r="A1168" s="15" t="str">
        <f aca="false">IF(B1168="","",ROW()-1)</f>
        <v/>
      </c>
      <c r="B1168" s="16"/>
      <c r="C1168" s="16"/>
      <c r="D1168" s="16"/>
      <c r="E1168" s="16"/>
      <c r="F1168" s="17"/>
      <c r="G1168" s="16"/>
      <c r="H1168" s="16"/>
      <c r="I1168" s="16"/>
      <c r="J1168" s="16"/>
      <c r="K1168" s="16"/>
      <c r="L1168" s="16"/>
      <c r="M1168" s="18" t="str">
        <f aca="false">IF(OR(C1168="",D1168=""),"",IF(MOD(COUNTIFS($C$2:C1168,C1168,$D$2:D1168,D1168)*7,10)&lt;3,"teste","treino"))</f>
        <v/>
      </c>
      <c r="N1168" s="16"/>
      <c r="O1168" s="16"/>
      <c r="P1168" s="16"/>
      <c r="Q1168" s="17"/>
    </row>
    <row r="1169" customFormat="false" ht="15" hidden="false" customHeight="false" outlineLevel="0" collapsed="false">
      <c r="A1169" s="15" t="str">
        <f aca="false">IF(B1169="","",ROW()-1)</f>
        <v/>
      </c>
      <c r="B1169" s="16"/>
      <c r="C1169" s="16"/>
      <c r="D1169" s="16"/>
      <c r="E1169" s="16"/>
      <c r="F1169" s="17"/>
      <c r="G1169" s="16"/>
      <c r="H1169" s="16"/>
      <c r="I1169" s="16"/>
      <c r="J1169" s="16"/>
      <c r="K1169" s="16"/>
      <c r="L1169" s="16"/>
      <c r="M1169" s="18" t="str">
        <f aca="false">IF(OR(C1169="",D1169=""),"",IF(MOD(COUNTIFS($C$2:C1169,C1169,$D$2:D1169,D1169)*7,10)&lt;3,"teste","treino"))</f>
        <v/>
      </c>
      <c r="N1169" s="16"/>
      <c r="O1169" s="16"/>
      <c r="P1169" s="16"/>
      <c r="Q1169" s="17"/>
    </row>
    <row r="1170" customFormat="false" ht="15" hidden="false" customHeight="false" outlineLevel="0" collapsed="false">
      <c r="A1170" s="15" t="str">
        <f aca="false">IF(B1170="","",ROW()-1)</f>
        <v/>
      </c>
      <c r="B1170" s="16"/>
      <c r="C1170" s="16"/>
      <c r="D1170" s="16"/>
      <c r="E1170" s="16"/>
      <c r="F1170" s="17"/>
      <c r="G1170" s="16"/>
      <c r="H1170" s="16"/>
      <c r="I1170" s="16"/>
      <c r="J1170" s="16"/>
      <c r="K1170" s="16"/>
      <c r="L1170" s="16"/>
      <c r="M1170" s="18" t="str">
        <f aca="false">IF(OR(C1170="",D1170=""),"",IF(MOD(COUNTIFS($C$2:C1170,C1170,$D$2:D1170,D1170)*7,10)&lt;3,"teste","treino"))</f>
        <v/>
      </c>
      <c r="N1170" s="16"/>
      <c r="O1170" s="16"/>
      <c r="P1170" s="16"/>
      <c r="Q1170" s="17"/>
    </row>
    <row r="1171" customFormat="false" ht="15" hidden="false" customHeight="false" outlineLevel="0" collapsed="false">
      <c r="A1171" s="15" t="str">
        <f aca="false">IF(B1171="","",ROW()-1)</f>
        <v/>
      </c>
      <c r="B1171" s="16"/>
      <c r="C1171" s="16"/>
      <c r="D1171" s="16"/>
      <c r="E1171" s="16"/>
      <c r="F1171" s="17"/>
      <c r="G1171" s="16"/>
      <c r="H1171" s="16"/>
      <c r="I1171" s="16"/>
      <c r="J1171" s="16"/>
      <c r="K1171" s="16"/>
      <c r="L1171" s="16"/>
      <c r="M1171" s="18" t="str">
        <f aca="false">IF(OR(C1171="",D1171=""),"",IF(MOD(COUNTIFS($C$2:C1171,C1171,$D$2:D1171,D1171)*7,10)&lt;3,"teste","treino"))</f>
        <v/>
      </c>
      <c r="N1171" s="16"/>
      <c r="O1171" s="16"/>
      <c r="P1171" s="16"/>
      <c r="Q1171" s="17"/>
    </row>
    <row r="1172" customFormat="false" ht="15" hidden="false" customHeight="false" outlineLevel="0" collapsed="false">
      <c r="A1172" s="15" t="str">
        <f aca="false">IF(B1172="","",ROW()-1)</f>
        <v/>
      </c>
      <c r="B1172" s="16"/>
      <c r="C1172" s="16"/>
      <c r="D1172" s="16"/>
      <c r="E1172" s="16"/>
      <c r="F1172" s="17"/>
      <c r="G1172" s="16"/>
      <c r="H1172" s="16"/>
      <c r="I1172" s="16"/>
      <c r="J1172" s="16"/>
      <c r="K1172" s="16"/>
      <c r="L1172" s="16"/>
      <c r="M1172" s="18" t="str">
        <f aca="false">IF(OR(C1172="",D1172=""),"",IF(MOD(COUNTIFS($C$2:C1172,C1172,$D$2:D1172,D1172)*7,10)&lt;3,"teste","treino"))</f>
        <v/>
      </c>
      <c r="N1172" s="16"/>
      <c r="O1172" s="16"/>
      <c r="P1172" s="16"/>
      <c r="Q1172" s="17"/>
    </row>
    <row r="1173" customFormat="false" ht="15" hidden="false" customHeight="false" outlineLevel="0" collapsed="false">
      <c r="A1173" s="15" t="str">
        <f aca="false">IF(B1173="","",ROW()-1)</f>
        <v/>
      </c>
      <c r="B1173" s="16"/>
      <c r="C1173" s="16"/>
      <c r="D1173" s="16"/>
      <c r="E1173" s="16"/>
      <c r="F1173" s="17"/>
      <c r="G1173" s="16"/>
      <c r="H1173" s="16"/>
      <c r="I1173" s="16"/>
      <c r="J1173" s="16"/>
      <c r="K1173" s="16"/>
      <c r="L1173" s="16"/>
      <c r="M1173" s="18" t="str">
        <f aca="false">IF(OR(C1173="",D1173=""),"",IF(MOD(COUNTIFS($C$2:C1173,C1173,$D$2:D1173,D1173)*7,10)&lt;3,"teste","treino"))</f>
        <v/>
      </c>
      <c r="N1173" s="16"/>
      <c r="O1173" s="16"/>
      <c r="P1173" s="16"/>
      <c r="Q1173" s="17"/>
    </row>
    <row r="1174" customFormat="false" ht="15" hidden="false" customHeight="false" outlineLevel="0" collapsed="false">
      <c r="A1174" s="15" t="str">
        <f aca="false">IF(B1174="","",ROW()-1)</f>
        <v/>
      </c>
      <c r="B1174" s="16"/>
      <c r="C1174" s="16"/>
      <c r="D1174" s="16"/>
      <c r="E1174" s="16"/>
      <c r="F1174" s="17"/>
      <c r="G1174" s="16"/>
      <c r="H1174" s="16"/>
      <c r="I1174" s="16"/>
      <c r="J1174" s="16"/>
      <c r="K1174" s="16"/>
      <c r="L1174" s="16"/>
      <c r="M1174" s="18" t="str">
        <f aca="false">IF(OR(C1174="",D1174=""),"",IF(MOD(COUNTIFS($C$2:C1174,C1174,$D$2:D1174,D1174)*7,10)&lt;3,"teste","treino"))</f>
        <v/>
      </c>
      <c r="N1174" s="16"/>
      <c r="O1174" s="16"/>
      <c r="P1174" s="16"/>
      <c r="Q1174" s="17"/>
    </row>
    <row r="1175" customFormat="false" ht="15" hidden="false" customHeight="false" outlineLevel="0" collapsed="false">
      <c r="A1175" s="15" t="str">
        <f aca="false">IF(B1175="","",ROW()-1)</f>
        <v/>
      </c>
      <c r="B1175" s="16"/>
      <c r="C1175" s="16"/>
      <c r="D1175" s="16"/>
      <c r="E1175" s="16"/>
      <c r="F1175" s="17"/>
      <c r="G1175" s="16"/>
      <c r="H1175" s="16"/>
      <c r="I1175" s="16"/>
      <c r="J1175" s="16"/>
      <c r="K1175" s="16"/>
      <c r="L1175" s="16"/>
      <c r="M1175" s="18" t="str">
        <f aca="false">IF(OR(C1175="",D1175=""),"",IF(MOD(COUNTIFS($C$2:C1175,C1175,$D$2:D1175,D1175)*7,10)&lt;3,"teste","treino"))</f>
        <v/>
      </c>
      <c r="N1175" s="16"/>
      <c r="O1175" s="16"/>
      <c r="P1175" s="16"/>
      <c r="Q1175" s="17"/>
    </row>
    <row r="1176" customFormat="false" ht="15" hidden="false" customHeight="false" outlineLevel="0" collapsed="false">
      <c r="A1176" s="15" t="str">
        <f aca="false">IF(B1176="","",ROW()-1)</f>
        <v/>
      </c>
      <c r="B1176" s="16"/>
      <c r="C1176" s="16"/>
      <c r="D1176" s="16"/>
      <c r="E1176" s="16"/>
      <c r="F1176" s="17"/>
      <c r="G1176" s="16"/>
      <c r="H1176" s="16"/>
      <c r="I1176" s="16"/>
      <c r="J1176" s="16"/>
      <c r="K1176" s="16"/>
      <c r="L1176" s="16"/>
      <c r="M1176" s="18" t="str">
        <f aca="false">IF(OR(C1176="",D1176=""),"",IF(MOD(COUNTIFS($C$2:C1176,C1176,$D$2:D1176,D1176)*7,10)&lt;3,"teste","treino"))</f>
        <v/>
      </c>
      <c r="N1176" s="16"/>
      <c r="O1176" s="16"/>
      <c r="P1176" s="16"/>
      <c r="Q1176" s="17"/>
    </row>
    <row r="1177" customFormat="false" ht="15" hidden="false" customHeight="false" outlineLevel="0" collapsed="false">
      <c r="A1177" s="15" t="str">
        <f aca="false">IF(B1177="","",ROW()-1)</f>
        <v/>
      </c>
      <c r="B1177" s="16"/>
      <c r="C1177" s="16"/>
      <c r="D1177" s="16"/>
      <c r="E1177" s="16"/>
      <c r="F1177" s="17"/>
      <c r="G1177" s="16"/>
      <c r="H1177" s="16"/>
      <c r="I1177" s="16"/>
      <c r="J1177" s="16"/>
      <c r="K1177" s="16"/>
      <c r="L1177" s="16"/>
      <c r="M1177" s="18" t="str">
        <f aca="false">IF(OR(C1177="",D1177=""),"",IF(MOD(COUNTIFS($C$2:C1177,C1177,$D$2:D1177,D1177)*7,10)&lt;3,"teste","treino"))</f>
        <v/>
      </c>
      <c r="N1177" s="16"/>
      <c r="O1177" s="16"/>
      <c r="P1177" s="16"/>
      <c r="Q1177" s="17"/>
    </row>
    <row r="1178" customFormat="false" ht="15" hidden="false" customHeight="false" outlineLevel="0" collapsed="false">
      <c r="A1178" s="15" t="str">
        <f aca="false">IF(B1178="","",ROW()-1)</f>
        <v/>
      </c>
      <c r="B1178" s="16"/>
      <c r="C1178" s="16"/>
      <c r="D1178" s="16"/>
      <c r="E1178" s="16"/>
      <c r="F1178" s="17"/>
      <c r="G1178" s="16"/>
      <c r="H1178" s="16"/>
      <c r="I1178" s="16"/>
      <c r="J1178" s="16"/>
      <c r="K1178" s="16"/>
      <c r="L1178" s="16"/>
      <c r="M1178" s="18" t="str">
        <f aca="false">IF(OR(C1178="",D1178=""),"",IF(MOD(COUNTIFS($C$2:C1178,C1178,$D$2:D1178,D1178)*7,10)&lt;3,"teste","treino"))</f>
        <v/>
      </c>
      <c r="N1178" s="16"/>
      <c r="O1178" s="16"/>
      <c r="P1178" s="16"/>
      <c r="Q1178" s="17"/>
    </row>
    <row r="1179" customFormat="false" ht="15" hidden="false" customHeight="false" outlineLevel="0" collapsed="false">
      <c r="A1179" s="15" t="str">
        <f aca="false">IF(B1179="","",ROW()-1)</f>
        <v/>
      </c>
      <c r="B1179" s="16"/>
      <c r="C1179" s="16"/>
      <c r="D1179" s="16"/>
      <c r="E1179" s="16"/>
      <c r="F1179" s="17"/>
      <c r="G1179" s="16"/>
      <c r="H1179" s="16"/>
      <c r="I1179" s="16"/>
      <c r="J1179" s="16"/>
      <c r="K1179" s="16"/>
      <c r="L1179" s="16"/>
      <c r="M1179" s="18" t="str">
        <f aca="false">IF(OR(C1179="",D1179=""),"",IF(MOD(COUNTIFS($C$2:C1179,C1179,$D$2:D1179,D1179)*7,10)&lt;3,"teste","treino"))</f>
        <v/>
      </c>
      <c r="N1179" s="16"/>
      <c r="O1179" s="16"/>
      <c r="P1179" s="16"/>
      <c r="Q1179" s="17"/>
    </row>
    <row r="1180" customFormat="false" ht="15" hidden="false" customHeight="false" outlineLevel="0" collapsed="false">
      <c r="A1180" s="15" t="str">
        <f aca="false">IF(B1180="","",ROW()-1)</f>
        <v/>
      </c>
      <c r="B1180" s="16"/>
      <c r="C1180" s="16"/>
      <c r="D1180" s="16"/>
      <c r="E1180" s="16"/>
      <c r="F1180" s="17"/>
      <c r="G1180" s="16"/>
      <c r="H1180" s="16"/>
      <c r="I1180" s="16"/>
      <c r="J1180" s="16"/>
      <c r="K1180" s="16"/>
      <c r="L1180" s="16"/>
      <c r="M1180" s="18" t="str">
        <f aca="false">IF(OR(C1180="",D1180=""),"",IF(MOD(COUNTIFS($C$2:C1180,C1180,$D$2:D1180,D1180)*7,10)&lt;3,"teste","treino"))</f>
        <v/>
      </c>
      <c r="N1180" s="16"/>
      <c r="O1180" s="16"/>
      <c r="P1180" s="16"/>
      <c r="Q1180" s="17"/>
    </row>
    <row r="1181" customFormat="false" ht="15" hidden="false" customHeight="false" outlineLevel="0" collapsed="false">
      <c r="A1181" s="15" t="str">
        <f aca="false">IF(B1181="","",ROW()-1)</f>
        <v/>
      </c>
      <c r="B1181" s="16"/>
      <c r="C1181" s="16"/>
      <c r="D1181" s="16"/>
      <c r="E1181" s="16"/>
      <c r="F1181" s="17"/>
      <c r="G1181" s="16"/>
      <c r="H1181" s="16"/>
      <c r="I1181" s="16"/>
      <c r="J1181" s="16"/>
      <c r="K1181" s="16"/>
      <c r="L1181" s="16"/>
      <c r="M1181" s="18" t="str">
        <f aca="false">IF(OR(C1181="",D1181=""),"",IF(MOD(COUNTIFS($C$2:C1181,C1181,$D$2:D1181,D1181)*7,10)&lt;3,"teste","treino"))</f>
        <v/>
      </c>
      <c r="N1181" s="16"/>
      <c r="O1181" s="16"/>
      <c r="P1181" s="16"/>
      <c r="Q1181" s="17"/>
    </row>
    <row r="1182" customFormat="false" ht="15" hidden="false" customHeight="false" outlineLevel="0" collapsed="false">
      <c r="A1182" s="15" t="str">
        <f aca="false">IF(B1182="","",ROW()-1)</f>
        <v/>
      </c>
      <c r="B1182" s="16"/>
      <c r="C1182" s="16"/>
      <c r="D1182" s="16"/>
      <c r="E1182" s="16"/>
      <c r="F1182" s="17"/>
      <c r="G1182" s="16"/>
      <c r="H1182" s="16"/>
      <c r="I1182" s="16"/>
      <c r="J1182" s="16"/>
      <c r="K1182" s="16"/>
      <c r="L1182" s="16"/>
      <c r="M1182" s="18" t="str">
        <f aca="false">IF(OR(C1182="",D1182=""),"",IF(MOD(COUNTIFS($C$2:C1182,C1182,$D$2:D1182,D1182)*7,10)&lt;3,"teste","treino"))</f>
        <v/>
      </c>
      <c r="N1182" s="16"/>
      <c r="O1182" s="16"/>
      <c r="P1182" s="16"/>
      <c r="Q1182" s="17"/>
    </row>
    <row r="1183" customFormat="false" ht="15" hidden="false" customHeight="false" outlineLevel="0" collapsed="false">
      <c r="A1183" s="15" t="str">
        <f aca="false">IF(B1183="","",ROW()-1)</f>
        <v/>
      </c>
      <c r="B1183" s="16"/>
      <c r="C1183" s="16"/>
      <c r="D1183" s="16"/>
      <c r="E1183" s="16"/>
      <c r="F1183" s="17"/>
      <c r="G1183" s="16"/>
      <c r="H1183" s="16"/>
      <c r="I1183" s="16"/>
      <c r="J1183" s="16"/>
      <c r="K1183" s="16"/>
      <c r="L1183" s="16"/>
      <c r="M1183" s="18" t="str">
        <f aca="false">IF(OR(C1183="",D1183=""),"",IF(MOD(COUNTIFS($C$2:C1183,C1183,$D$2:D1183,D1183)*7,10)&lt;3,"teste","treino"))</f>
        <v/>
      </c>
      <c r="N1183" s="16"/>
      <c r="O1183" s="16"/>
      <c r="P1183" s="16"/>
      <c r="Q1183" s="17"/>
    </row>
    <row r="1184" customFormat="false" ht="15" hidden="false" customHeight="false" outlineLevel="0" collapsed="false">
      <c r="A1184" s="15" t="str">
        <f aca="false">IF(B1184="","",ROW()-1)</f>
        <v/>
      </c>
      <c r="B1184" s="16"/>
      <c r="C1184" s="16"/>
      <c r="D1184" s="16"/>
      <c r="E1184" s="16"/>
      <c r="F1184" s="17"/>
      <c r="G1184" s="16"/>
      <c r="H1184" s="16"/>
      <c r="I1184" s="16"/>
      <c r="J1184" s="16"/>
      <c r="K1184" s="16"/>
      <c r="L1184" s="16"/>
      <c r="M1184" s="18" t="str">
        <f aca="false">IF(OR(C1184="",D1184=""),"",IF(MOD(COUNTIFS($C$2:C1184,C1184,$D$2:D1184,D1184)*7,10)&lt;3,"teste","treino"))</f>
        <v/>
      </c>
      <c r="N1184" s="16"/>
      <c r="O1184" s="16"/>
      <c r="P1184" s="16"/>
      <c r="Q1184" s="17"/>
    </row>
    <row r="1185" customFormat="false" ht="15" hidden="false" customHeight="false" outlineLevel="0" collapsed="false">
      <c r="A1185" s="15" t="str">
        <f aca="false">IF(B1185="","",ROW()-1)</f>
        <v/>
      </c>
      <c r="B1185" s="16"/>
      <c r="C1185" s="16"/>
      <c r="D1185" s="16"/>
      <c r="E1185" s="16"/>
      <c r="F1185" s="17"/>
      <c r="G1185" s="16"/>
      <c r="H1185" s="16"/>
      <c r="I1185" s="16"/>
      <c r="J1185" s="16"/>
      <c r="K1185" s="16"/>
      <c r="L1185" s="16"/>
      <c r="M1185" s="18" t="str">
        <f aca="false">IF(OR(C1185="",D1185=""),"",IF(MOD(COUNTIFS($C$2:C1185,C1185,$D$2:D1185,D1185)*7,10)&lt;3,"teste","treino"))</f>
        <v/>
      </c>
      <c r="N1185" s="16"/>
      <c r="O1185" s="16"/>
      <c r="P1185" s="16"/>
      <c r="Q1185" s="17"/>
    </row>
    <row r="1186" customFormat="false" ht="15" hidden="false" customHeight="false" outlineLevel="0" collapsed="false">
      <c r="A1186" s="15" t="str">
        <f aca="false">IF(B1186="","",ROW()-1)</f>
        <v/>
      </c>
      <c r="B1186" s="16"/>
      <c r="C1186" s="16"/>
      <c r="D1186" s="16"/>
      <c r="E1186" s="16"/>
      <c r="F1186" s="17"/>
      <c r="G1186" s="16"/>
      <c r="H1186" s="16"/>
      <c r="I1186" s="16"/>
      <c r="J1186" s="16"/>
      <c r="K1186" s="16"/>
      <c r="L1186" s="16"/>
      <c r="M1186" s="18" t="str">
        <f aca="false">IF(OR(C1186="",D1186=""),"",IF(MOD(COUNTIFS($C$2:C1186,C1186,$D$2:D1186,D1186)*7,10)&lt;3,"teste","treino"))</f>
        <v/>
      </c>
      <c r="N1186" s="16"/>
      <c r="O1186" s="16"/>
      <c r="P1186" s="16"/>
      <c r="Q1186" s="17"/>
    </row>
    <row r="1187" customFormat="false" ht="15" hidden="false" customHeight="false" outlineLevel="0" collapsed="false">
      <c r="A1187" s="15" t="str">
        <f aca="false">IF(B1187="","",ROW()-1)</f>
        <v/>
      </c>
      <c r="B1187" s="16"/>
      <c r="C1187" s="16"/>
      <c r="D1187" s="16"/>
      <c r="E1187" s="16"/>
      <c r="F1187" s="17"/>
      <c r="G1187" s="16"/>
      <c r="H1187" s="16"/>
      <c r="I1187" s="16"/>
      <c r="J1187" s="16"/>
      <c r="K1187" s="16"/>
      <c r="L1187" s="16"/>
      <c r="M1187" s="18" t="str">
        <f aca="false">IF(OR(C1187="",D1187=""),"",IF(MOD(COUNTIFS($C$2:C1187,C1187,$D$2:D1187,D1187)*7,10)&lt;3,"teste","treino"))</f>
        <v/>
      </c>
      <c r="N1187" s="16"/>
      <c r="O1187" s="16"/>
      <c r="P1187" s="16"/>
      <c r="Q1187" s="17"/>
    </row>
    <row r="1188" customFormat="false" ht="15" hidden="false" customHeight="false" outlineLevel="0" collapsed="false">
      <c r="A1188" s="15" t="str">
        <f aca="false">IF(B1188="","",ROW()-1)</f>
        <v/>
      </c>
      <c r="B1188" s="16"/>
      <c r="C1188" s="16"/>
      <c r="D1188" s="16"/>
      <c r="E1188" s="16"/>
      <c r="F1188" s="17"/>
      <c r="G1188" s="16"/>
      <c r="H1188" s="16"/>
      <c r="I1188" s="16"/>
      <c r="J1188" s="16"/>
      <c r="K1188" s="16"/>
      <c r="L1188" s="16"/>
      <c r="M1188" s="18" t="str">
        <f aca="false">IF(OR(C1188="",D1188=""),"",IF(MOD(COUNTIFS($C$2:C1188,C1188,$D$2:D1188,D1188)*7,10)&lt;3,"teste","treino"))</f>
        <v/>
      </c>
      <c r="N1188" s="16"/>
      <c r="O1188" s="16"/>
      <c r="P1188" s="16"/>
      <c r="Q1188" s="17"/>
    </row>
    <row r="1189" customFormat="false" ht="15" hidden="false" customHeight="false" outlineLevel="0" collapsed="false">
      <c r="A1189" s="15" t="str">
        <f aca="false">IF(B1189="","",ROW()-1)</f>
        <v/>
      </c>
      <c r="B1189" s="16"/>
      <c r="C1189" s="16"/>
      <c r="D1189" s="16"/>
      <c r="E1189" s="16"/>
      <c r="F1189" s="17"/>
      <c r="G1189" s="16"/>
      <c r="H1189" s="16"/>
      <c r="I1189" s="16"/>
      <c r="J1189" s="16"/>
      <c r="K1189" s="16"/>
      <c r="L1189" s="16"/>
      <c r="M1189" s="18" t="str">
        <f aca="false">IF(OR(C1189="",D1189=""),"",IF(MOD(COUNTIFS($C$2:C1189,C1189,$D$2:D1189,D1189)*7,10)&lt;3,"teste","treino"))</f>
        <v/>
      </c>
      <c r="N1189" s="16"/>
      <c r="O1189" s="16"/>
      <c r="P1189" s="16"/>
      <c r="Q1189" s="17"/>
    </row>
    <row r="1190" customFormat="false" ht="15" hidden="false" customHeight="false" outlineLevel="0" collapsed="false">
      <c r="A1190" s="15" t="str">
        <f aca="false">IF(B1190="","",ROW()-1)</f>
        <v/>
      </c>
      <c r="B1190" s="16"/>
      <c r="C1190" s="16"/>
      <c r="D1190" s="16"/>
      <c r="E1190" s="16"/>
      <c r="F1190" s="17"/>
      <c r="G1190" s="16"/>
      <c r="H1190" s="16"/>
      <c r="I1190" s="16"/>
      <c r="J1190" s="16"/>
      <c r="K1190" s="16"/>
      <c r="L1190" s="16"/>
      <c r="M1190" s="18" t="str">
        <f aca="false">IF(OR(C1190="",D1190=""),"",IF(MOD(COUNTIFS($C$2:C1190,C1190,$D$2:D1190,D1190)*7,10)&lt;3,"teste","treino"))</f>
        <v/>
      </c>
      <c r="N1190" s="16"/>
      <c r="O1190" s="16"/>
      <c r="P1190" s="16"/>
      <c r="Q1190" s="17"/>
    </row>
    <row r="1191" customFormat="false" ht="15" hidden="false" customHeight="false" outlineLevel="0" collapsed="false">
      <c r="A1191" s="15" t="str">
        <f aca="false">IF(B1191="","",ROW()-1)</f>
        <v/>
      </c>
      <c r="B1191" s="16"/>
      <c r="C1191" s="16"/>
      <c r="D1191" s="16"/>
      <c r="E1191" s="16"/>
      <c r="F1191" s="17"/>
      <c r="G1191" s="16"/>
      <c r="H1191" s="16"/>
      <c r="I1191" s="16"/>
      <c r="J1191" s="16"/>
      <c r="K1191" s="16"/>
      <c r="L1191" s="16"/>
      <c r="M1191" s="18" t="str">
        <f aca="false">IF(OR(C1191="",D1191=""),"",IF(MOD(COUNTIFS($C$2:C1191,C1191,$D$2:D1191,D1191)*7,10)&lt;3,"teste","treino"))</f>
        <v/>
      </c>
      <c r="N1191" s="16"/>
      <c r="O1191" s="16"/>
      <c r="P1191" s="16"/>
      <c r="Q1191" s="17"/>
    </row>
    <row r="1192" customFormat="false" ht="15" hidden="false" customHeight="false" outlineLevel="0" collapsed="false">
      <c r="A1192" s="15" t="str">
        <f aca="false">IF(B1192="","",ROW()-1)</f>
        <v/>
      </c>
      <c r="B1192" s="16"/>
      <c r="C1192" s="16"/>
      <c r="D1192" s="16"/>
      <c r="E1192" s="16"/>
      <c r="F1192" s="17"/>
      <c r="G1192" s="16"/>
      <c r="H1192" s="16"/>
      <c r="I1192" s="16"/>
      <c r="J1192" s="16"/>
      <c r="K1192" s="16"/>
      <c r="L1192" s="16"/>
      <c r="M1192" s="18" t="str">
        <f aca="false">IF(OR(C1192="",D1192=""),"",IF(MOD(COUNTIFS($C$2:C1192,C1192,$D$2:D1192,D1192)*7,10)&lt;3,"teste","treino"))</f>
        <v/>
      </c>
      <c r="N1192" s="16"/>
      <c r="O1192" s="16"/>
      <c r="P1192" s="16"/>
      <c r="Q1192" s="17"/>
    </row>
    <row r="1193" customFormat="false" ht="15" hidden="false" customHeight="false" outlineLevel="0" collapsed="false">
      <c r="A1193" s="15" t="str">
        <f aca="false">IF(B1193="","",ROW()-1)</f>
        <v/>
      </c>
      <c r="B1193" s="16"/>
      <c r="C1193" s="16"/>
      <c r="D1193" s="16"/>
      <c r="E1193" s="16"/>
      <c r="F1193" s="17"/>
      <c r="G1193" s="16"/>
      <c r="H1193" s="16"/>
      <c r="I1193" s="16"/>
      <c r="J1193" s="16"/>
      <c r="K1193" s="16"/>
      <c r="L1193" s="16"/>
      <c r="M1193" s="18" t="str">
        <f aca="false">IF(OR(C1193="",D1193=""),"",IF(MOD(COUNTIFS($C$2:C1193,C1193,$D$2:D1193,D1193)*7,10)&lt;3,"teste","treino"))</f>
        <v/>
      </c>
      <c r="N1193" s="16"/>
      <c r="O1193" s="16"/>
      <c r="P1193" s="16"/>
      <c r="Q1193" s="17"/>
    </row>
    <row r="1194" customFormat="false" ht="15" hidden="false" customHeight="false" outlineLevel="0" collapsed="false">
      <c r="A1194" s="15" t="str">
        <f aca="false">IF(B1194="","",ROW()-1)</f>
        <v/>
      </c>
      <c r="B1194" s="16"/>
      <c r="C1194" s="16"/>
      <c r="D1194" s="16"/>
      <c r="E1194" s="16"/>
      <c r="F1194" s="17"/>
      <c r="G1194" s="16"/>
      <c r="H1194" s="16"/>
      <c r="I1194" s="16"/>
      <c r="J1194" s="16"/>
      <c r="K1194" s="16"/>
      <c r="L1194" s="16"/>
      <c r="M1194" s="18" t="str">
        <f aca="false">IF(OR(C1194="",D1194=""),"",IF(MOD(COUNTIFS($C$2:C1194,C1194,$D$2:D1194,D1194)*7,10)&lt;3,"teste","treino"))</f>
        <v/>
      </c>
      <c r="N1194" s="16"/>
      <c r="O1194" s="16"/>
      <c r="P1194" s="16"/>
      <c r="Q1194" s="17"/>
    </row>
    <row r="1195" customFormat="false" ht="15" hidden="false" customHeight="false" outlineLevel="0" collapsed="false">
      <c r="A1195" s="15" t="str">
        <f aca="false">IF(B1195="","",ROW()-1)</f>
        <v/>
      </c>
      <c r="B1195" s="16"/>
      <c r="C1195" s="16"/>
      <c r="D1195" s="16"/>
      <c r="E1195" s="16"/>
      <c r="F1195" s="17"/>
      <c r="G1195" s="16"/>
      <c r="H1195" s="16"/>
      <c r="I1195" s="16"/>
      <c r="J1195" s="16"/>
      <c r="K1195" s="16"/>
      <c r="L1195" s="16"/>
      <c r="M1195" s="18" t="str">
        <f aca="false">IF(OR(C1195="",D1195=""),"",IF(MOD(COUNTIFS($C$2:C1195,C1195,$D$2:D1195,D1195)*7,10)&lt;3,"teste","treino"))</f>
        <v/>
      </c>
      <c r="N1195" s="16"/>
      <c r="O1195" s="16"/>
      <c r="P1195" s="16"/>
      <c r="Q1195" s="17"/>
    </row>
    <row r="1196" customFormat="false" ht="15" hidden="false" customHeight="false" outlineLevel="0" collapsed="false">
      <c r="A1196" s="15" t="str">
        <f aca="false">IF(B1196="","",ROW()-1)</f>
        <v/>
      </c>
      <c r="B1196" s="16"/>
      <c r="C1196" s="16"/>
      <c r="D1196" s="16"/>
      <c r="E1196" s="16"/>
      <c r="F1196" s="17"/>
      <c r="G1196" s="16"/>
      <c r="H1196" s="16"/>
      <c r="I1196" s="16"/>
      <c r="J1196" s="16"/>
      <c r="K1196" s="16"/>
      <c r="L1196" s="16"/>
      <c r="M1196" s="18" t="str">
        <f aca="false">IF(OR(C1196="",D1196=""),"",IF(MOD(COUNTIFS($C$2:C1196,C1196,$D$2:D1196,D1196)*7,10)&lt;3,"teste","treino"))</f>
        <v/>
      </c>
      <c r="N1196" s="16"/>
      <c r="O1196" s="16"/>
      <c r="P1196" s="16"/>
      <c r="Q1196" s="17"/>
    </row>
    <row r="1197" customFormat="false" ht="15" hidden="false" customHeight="false" outlineLevel="0" collapsed="false">
      <c r="A1197" s="15" t="str">
        <f aca="false">IF(B1197="","",ROW()-1)</f>
        <v/>
      </c>
      <c r="B1197" s="16"/>
      <c r="C1197" s="16"/>
      <c r="D1197" s="16"/>
      <c r="E1197" s="16"/>
      <c r="F1197" s="17"/>
      <c r="G1197" s="16"/>
      <c r="H1197" s="16"/>
      <c r="I1197" s="16"/>
      <c r="J1197" s="16"/>
      <c r="K1197" s="16"/>
      <c r="L1197" s="16"/>
      <c r="M1197" s="18" t="str">
        <f aca="false">IF(OR(C1197="",D1197=""),"",IF(MOD(COUNTIFS($C$2:C1197,C1197,$D$2:D1197,D1197)*7,10)&lt;3,"teste","treino"))</f>
        <v/>
      </c>
      <c r="N1197" s="16"/>
      <c r="O1197" s="16"/>
      <c r="P1197" s="16"/>
      <c r="Q1197" s="17"/>
    </row>
    <row r="1198" customFormat="false" ht="15" hidden="false" customHeight="false" outlineLevel="0" collapsed="false">
      <c r="A1198" s="15" t="str">
        <f aca="false">IF(B1198="","",ROW()-1)</f>
        <v/>
      </c>
      <c r="B1198" s="16"/>
      <c r="C1198" s="16"/>
      <c r="D1198" s="16"/>
      <c r="E1198" s="16"/>
      <c r="F1198" s="17"/>
      <c r="G1198" s="16"/>
      <c r="H1198" s="16"/>
      <c r="I1198" s="16"/>
      <c r="J1198" s="16"/>
      <c r="K1198" s="16"/>
      <c r="L1198" s="16"/>
      <c r="M1198" s="18" t="str">
        <f aca="false">IF(OR(C1198="",D1198=""),"",IF(MOD(COUNTIFS($C$2:C1198,C1198,$D$2:D1198,D1198)*7,10)&lt;3,"teste","treino"))</f>
        <v/>
      </c>
      <c r="N1198" s="16"/>
      <c r="O1198" s="16"/>
      <c r="P1198" s="16"/>
      <c r="Q1198" s="17"/>
    </row>
    <row r="1199" customFormat="false" ht="15" hidden="false" customHeight="false" outlineLevel="0" collapsed="false">
      <c r="A1199" s="15" t="str">
        <f aca="false">IF(B1199="","",ROW()-1)</f>
        <v/>
      </c>
      <c r="B1199" s="16"/>
      <c r="C1199" s="16"/>
      <c r="D1199" s="16"/>
      <c r="E1199" s="16"/>
      <c r="F1199" s="17"/>
      <c r="G1199" s="16"/>
      <c r="H1199" s="16"/>
      <c r="I1199" s="16"/>
      <c r="J1199" s="16"/>
      <c r="K1199" s="16"/>
      <c r="L1199" s="16"/>
      <c r="M1199" s="18" t="str">
        <f aca="false">IF(OR(C1199="",D1199=""),"",IF(MOD(COUNTIFS($C$2:C1199,C1199,$D$2:D1199,D1199)*7,10)&lt;3,"teste","treino"))</f>
        <v/>
      </c>
      <c r="N1199" s="16"/>
      <c r="O1199" s="16"/>
      <c r="P1199" s="16"/>
      <c r="Q1199" s="17"/>
    </row>
    <row r="1200" customFormat="false" ht="15" hidden="false" customHeight="false" outlineLevel="0" collapsed="false">
      <c r="A1200" s="15" t="str">
        <f aca="false">IF(B1200="","",ROW()-1)</f>
        <v/>
      </c>
      <c r="B1200" s="16"/>
      <c r="C1200" s="16"/>
      <c r="D1200" s="16"/>
      <c r="E1200" s="16"/>
      <c r="F1200" s="17"/>
      <c r="G1200" s="16"/>
      <c r="H1200" s="16"/>
      <c r="I1200" s="16"/>
      <c r="J1200" s="16"/>
      <c r="K1200" s="16"/>
      <c r="L1200" s="16"/>
      <c r="M1200" s="18" t="str">
        <f aca="false">IF(OR(C1200="",D1200=""),"",IF(MOD(COUNTIFS($C$2:C1200,C1200,$D$2:D1200,D1200)*7,10)&lt;3,"teste","treino"))</f>
        <v/>
      </c>
      <c r="N1200" s="16"/>
      <c r="O1200" s="16"/>
      <c r="P1200" s="16"/>
      <c r="Q1200" s="17"/>
    </row>
    <row r="1201" customFormat="false" ht="15" hidden="false" customHeight="false" outlineLevel="0" collapsed="false">
      <c r="A1201" s="15" t="str">
        <f aca="false">IF(B1201="","",ROW()-1)</f>
        <v/>
      </c>
      <c r="B1201" s="16"/>
      <c r="C1201" s="16"/>
      <c r="D1201" s="16"/>
      <c r="E1201" s="16"/>
      <c r="F1201" s="17"/>
      <c r="G1201" s="16"/>
      <c r="H1201" s="16"/>
      <c r="I1201" s="16"/>
      <c r="J1201" s="16"/>
      <c r="K1201" s="16"/>
      <c r="L1201" s="16"/>
      <c r="M1201" s="18" t="str">
        <f aca="false">IF(OR(C1201="",D1201=""),"",IF(MOD(COUNTIFS($C$2:C1201,C1201,$D$2:D1201,D1201)*7,10)&lt;3,"teste","treino"))</f>
        <v/>
      </c>
      <c r="N1201" s="16"/>
      <c r="O1201" s="16"/>
      <c r="P1201" s="16"/>
      <c r="Q1201" s="17"/>
    </row>
    <row r="1202" customFormat="false" ht="15" hidden="false" customHeight="false" outlineLevel="0" collapsed="false">
      <c r="A1202" s="15" t="str">
        <f aca="false">IF(B1202="","",ROW()-1)</f>
        <v/>
      </c>
      <c r="B1202" s="16"/>
      <c r="C1202" s="16"/>
      <c r="D1202" s="16"/>
      <c r="E1202" s="16"/>
      <c r="F1202" s="17"/>
      <c r="G1202" s="16"/>
      <c r="H1202" s="16"/>
      <c r="I1202" s="16"/>
      <c r="J1202" s="16"/>
      <c r="K1202" s="16"/>
      <c r="L1202" s="16"/>
      <c r="M1202" s="18" t="str">
        <f aca="false">IF(OR(C1202="",D1202=""),"",IF(MOD(COUNTIFS($C$2:C1202,C1202,$D$2:D1202,D1202)*7,10)&lt;3,"teste","treino"))</f>
        <v/>
      </c>
      <c r="N1202" s="16"/>
      <c r="O1202" s="16"/>
      <c r="P1202" s="16"/>
      <c r="Q1202" s="17"/>
    </row>
    <row r="1203" customFormat="false" ht="15" hidden="false" customHeight="false" outlineLevel="0" collapsed="false">
      <c r="A1203" s="15" t="str">
        <f aca="false">IF(B1203="","",ROW()-1)</f>
        <v/>
      </c>
      <c r="B1203" s="16"/>
      <c r="C1203" s="16"/>
      <c r="D1203" s="16"/>
      <c r="E1203" s="16"/>
      <c r="F1203" s="17"/>
      <c r="G1203" s="16"/>
      <c r="H1203" s="16"/>
      <c r="I1203" s="16"/>
      <c r="J1203" s="16"/>
      <c r="K1203" s="16"/>
      <c r="L1203" s="16"/>
      <c r="M1203" s="18" t="str">
        <f aca="false">IF(OR(C1203="",D1203=""),"",IF(MOD(COUNTIFS($C$2:C1203,C1203,$D$2:D1203,D1203)*7,10)&lt;3,"teste","treino"))</f>
        <v/>
      </c>
      <c r="N1203" s="16"/>
      <c r="O1203" s="16"/>
      <c r="P1203" s="16"/>
      <c r="Q1203" s="17"/>
    </row>
    <row r="1204" customFormat="false" ht="15" hidden="false" customHeight="false" outlineLevel="0" collapsed="false">
      <c r="A1204" s="15" t="str">
        <f aca="false">IF(B1204="","",ROW()-1)</f>
        <v/>
      </c>
      <c r="B1204" s="16"/>
      <c r="C1204" s="16"/>
      <c r="D1204" s="16"/>
      <c r="E1204" s="16"/>
      <c r="F1204" s="17"/>
      <c r="G1204" s="16"/>
      <c r="H1204" s="16"/>
      <c r="I1204" s="16"/>
      <c r="J1204" s="16"/>
      <c r="K1204" s="16"/>
      <c r="L1204" s="16"/>
      <c r="M1204" s="18" t="str">
        <f aca="false">IF(OR(C1204="",D1204=""),"",IF(MOD(COUNTIFS($C$2:C1204,C1204,$D$2:D1204,D1204)*7,10)&lt;3,"teste","treino"))</f>
        <v/>
      </c>
      <c r="N1204" s="16"/>
      <c r="O1204" s="16"/>
      <c r="P1204" s="16"/>
      <c r="Q1204" s="17"/>
    </row>
    <row r="1205" customFormat="false" ht="15" hidden="false" customHeight="false" outlineLevel="0" collapsed="false">
      <c r="A1205" s="15" t="str">
        <f aca="false">IF(B1205="","",ROW()-1)</f>
        <v/>
      </c>
      <c r="B1205" s="16"/>
      <c r="C1205" s="16"/>
      <c r="D1205" s="16"/>
      <c r="E1205" s="16"/>
      <c r="F1205" s="17"/>
      <c r="G1205" s="16"/>
      <c r="H1205" s="16"/>
      <c r="I1205" s="16"/>
      <c r="J1205" s="16"/>
      <c r="K1205" s="16"/>
      <c r="L1205" s="16"/>
      <c r="M1205" s="18" t="str">
        <f aca="false">IF(OR(C1205="",D1205=""),"",IF(MOD(COUNTIFS($C$2:C1205,C1205,$D$2:D1205,D1205)*7,10)&lt;3,"teste","treino"))</f>
        <v/>
      </c>
      <c r="N1205" s="16"/>
      <c r="O1205" s="16"/>
      <c r="P1205" s="16"/>
      <c r="Q1205" s="17"/>
    </row>
    <row r="1206" customFormat="false" ht="15" hidden="false" customHeight="false" outlineLevel="0" collapsed="false">
      <c r="A1206" s="15" t="str">
        <f aca="false">IF(B1206="","",ROW()-1)</f>
        <v/>
      </c>
      <c r="B1206" s="16"/>
      <c r="C1206" s="16"/>
      <c r="D1206" s="16"/>
      <c r="E1206" s="16"/>
      <c r="F1206" s="17"/>
      <c r="G1206" s="16"/>
      <c r="H1206" s="16"/>
      <c r="I1206" s="16"/>
      <c r="J1206" s="16"/>
      <c r="K1206" s="16"/>
      <c r="L1206" s="16"/>
      <c r="M1206" s="18" t="str">
        <f aca="false">IF(OR(C1206="",D1206=""),"",IF(MOD(COUNTIFS($C$2:C1206,C1206,$D$2:D1206,D1206)*7,10)&lt;3,"teste","treino"))</f>
        <v/>
      </c>
      <c r="N1206" s="16"/>
      <c r="O1206" s="16"/>
      <c r="P1206" s="16"/>
      <c r="Q1206" s="17"/>
    </row>
    <row r="1207" customFormat="false" ht="15" hidden="false" customHeight="false" outlineLevel="0" collapsed="false">
      <c r="A1207" s="15" t="str">
        <f aca="false">IF(B1207="","",ROW()-1)</f>
        <v/>
      </c>
      <c r="B1207" s="16"/>
      <c r="C1207" s="16"/>
      <c r="D1207" s="16"/>
      <c r="E1207" s="16"/>
      <c r="F1207" s="17"/>
      <c r="G1207" s="16"/>
      <c r="H1207" s="16"/>
      <c r="I1207" s="16"/>
      <c r="J1207" s="16"/>
      <c r="K1207" s="16"/>
      <c r="L1207" s="16"/>
      <c r="M1207" s="18" t="str">
        <f aca="false">IF(OR(C1207="",D1207=""),"",IF(MOD(COUNTIFS($C$2:C1207,C1207,$D$2:D1207,D1207)*7,10)&lt;3,"teste","treino"))</f>
        <v/>
      </c>
      <c r="N1207" s="16"/>
      <c r="O1207" s="16"/>
      <c r="P1207" s="16"/>
      <c r="Q1207" s="17"/>
    </row>
    <row r="1208" customFormat="false" ht="15" hidden="false" customHeight="false" outlineLevel="0" collapsed="false">
      <c r="A1208" s="15" t="str">
        <f aca="false">IF(B1208="","",ROW()-1)</f>
        <v/>
      </c>
      <c r="B1208" s="16"/>
      <c r="C1208" s="16"/>
      <c r="D1208" s="16"/>
      <c r="E1208" s="16"/>
      <c r="F1208" s="17"/>
      <c r="G1208" s="16"/>
      <c r="H1208" s="16"/>
      <c r="I1208" s="16"/>
      <c r="J1208" s="16"/>
      <c r="K1208" s="16"/>
      <c r="L1208" s="16"/>
      <c r="M1208" s="18" t="str">
        <f aca="false">IF(OR(C1208="",D1208=""),"",IF(MOD(COUNTIFS($C$2:C1208,C1208,$D$2:D1208,D1208)*7,10)&lt;3,"teste","treino"))</f>
        <v/>
      </c>
      <c r="N1208" s="16"/>
      <c r="O1208" s="16"/>
      <c r="P1208" s="16"/>
      <c r="Q1208" s="17"/>
    </row>
    <row r="1209" customFormat="false" ht="15" hidden="false" customHeight="false" outlineLevel="0" collapsed="false">
      <c r="A1209" s="15" t="str">
        <f aca="false">IF(B1209="","",ROW()-1)</f>
        <v/>
      </c>
      <c r="B1209" s="16"/>
      <c r="C1209" s="16"/>
      <c r="D1209" s="16"/>
      <c r="E1209" s="16"/>
      <c r="F1209" s="17"/>
      <c r="G1209" s="16"/>
      <c r="H1209" s="16"/>
      <c r="I1209" s="16"/>
      <c r="J1209" s="16"/>
      <c r="K1209" s="16"/>
      <c r="L1209" s="16"/>
      <c r="M1209" s="18" t="str">
        <f aca="false">IF(OR(C1209="",D1209=""),"",IF(MOD(COUNTIFS($C$2:C1209,C1209,$D$2:D1209,D1209)*7,10)&lt;3,"teste","treino"))</f>
        <v/>
      </c>
      <c r="N1209" s="16"/>
      <c r="O1209" s="16"/>
      <c r="P1209" s="16"/>
      <c r="Q1209" s="17"/>
    </row>
    <row r="1210" customFormat="false" ht="15" hidden="false" customHeight="false" outlineLevel="0" collapsed="false">
      <c r="A1210" s="15" t="str">
        <f aca="false">IF(B1210="","",ROW()-1)</f>
        <v/>
      </c>
      <c r="B1210" s="16"/>
      <c r="C1210" s="16"/>
      <c r="D1210" s="16"/>
      <c r="E1210" s="16"/>
      <c r="F1210" s="17"/>
      <c r="G1210" s="16"/>
      <c r="H1210" s="16"/>
      <c r="I1210" s="16"/>
      <c r="J1210" s="16"/>
      <c r="K1210" s="16"/>
      <c r="L1210" s="16"/>
      <c r="M1210" s="18" t="str">
        <f aca="false">IF(OR(C1210="",D1210=""),"",IF(MOD(COUNTIFS($C$2:C1210,C1210,$D$2:D1210,D1210)*7,10)&lt;3,"teste","treino"))</f>
        <v/>
      </c>
      <c r="N1210" s="16"/>
      <c r="O1210" s="16"/>
      <c r="P1210" s="16"/>
      <c r="Q1210" s="17"/>
    </row>
    <row r="1211" customFormat="false" ht="15" hidden="false" customHeight="false" outlineLevel="0" collapsed="false">
      <c r="A1211" s="15" t="str">
        <f aca="false">IF(B1211="","",ROW()-1)</f>
        <v/>
      </c>
      <c r="B1211" s="16"/>
      <c r="C1211" s="16"/>
      <c r="D1211" s="16"/>
      <c r="E1211" s="16"/>
      <c r="F1211" s="17"/>
      <c r="G1211" s="16"/>
      <c r="H1211" s="16"/>
      <c r="I1211" s="16"/>
      <c r="J1211" s="16"/>
      <c r="K1211" s="16"/>
      <c r="L1211" s="16"/>
      <c r="M1211" s="18" t="str">
        <f aca="false">IF(OR(C1211="",D1211=""),"",IF(MOD(COUNTIFS($C$2:C1211,C1211,$D$2:D1211,D1211)*7,10)&lt;3,"teste","treino"))</f>
        <v/>
      </c>
      <c r="N1211" s="16"/>
      <c r="O1211" s="16"/>
      <c r="P1211" s="16"/>
      <c r="Q1211" s="17"/>
    </row>
    <row r="1212" customFormat="false" ht="15" hidden="false" customHeight="false" outlineLevel="0" collapsed="false">
      <c r="A1212" s="15" t="str">
        <f aca="false">IF(B1212="","",ROW()-1)</f>
        <v/>
      </c>
      <c r="B1212" s="16"/>
      <c r="C1212" s="16"/>
      <c r="D1212" s="16"/>
      <c r="E1212" s="16"/>
      <c r="F1212" s="17"/>
      <c r="G1212" s="16"/>
      <c r="H1212" s="16"/>
      <c r="I1212" s="16"/>
      <c r="J1212" s="16"/>
      <c r="K1212" s="16"/>
      <c r="L1212" s="16"/>
      <c r="M1212" s="18" t="str">
        <f aca="false">IF(OR(C1212="",D1212=""),"",IF(MOD(COUNTIFS($C$2:C1212,C1212,$D$2:D1212,D1212)*7,10)&lt;3,"teste","treino"))</f>
        <v/>
      </c>
      <c r="N1212" s="16"/>
      <c r="O1212" s="16"/>
      <c r="P1212" s="16"/>
      <c r="Q1212" s="17"/>
    </row>
    <row r="1213" customFormat="false" ht="15" hidden="false" customHeight="false" outlineLevel="0" collapsed="false">
      <c r="A1213" s="15" t="str">
        <f aca="false">IF(B1213="","",ROW()-1)</f>
        <v/>
      </c>
      <c r="B1213" s="16"/>
      <c r="C1213" s="16"/>
      <c r="D1213" s="16"/>
      <c r="E1213" s="16"/>
      <c r="F1213" s="17"/>
      <c r="G1213" s="16"/>
      <c r="H1213" s="16"/>
      <c r="I1213" s="16"/>
      <c r="J1213" s="16"/>
      <c r="K1213" s="16"/>
      <c r="L1213" s="16"/>
      <c r="M1213" s="18" t="str">
        <f aca="false">IF(OR(C1213="",D1213=""),"",IF(MOD(COUNTIFS($C$2:C1213,C1213,$D$2:D1213,D1213)*7,10)&lt;3,"teste","treino"))</f>
        <v/>
      </c>
      <c r="N1213" s="16"/>
      <c r="O1213" s="16"/>
      <c r="P1213" s="16"/>
      <c r="Q1213" s="17"/>
    </row>
    <row r="1214" customFormat="false" ht="15" hidden="false" customHeight="false" outlineLevel="0" collapsed="false">
      <c r="A1214" s="15" t="str">
        <f aca="false">IF(B1214="","",ROW()-1)</f>
        <v/>
      </c>
      <c r="B1214" s="16"/>
      <c r="C1214" s="16"/>
      <c r="D1214" s="16"/>
      <c r="E1214" s="16"/>
      <c r="F1214" s="17"/>
      <c r="G1214" s="16"/>
      <c r="H1214" s="16"/>
      <c r="I1214" s="16"/>
      <c r="J1214" s="16"/>
      <c r="K1214" s="16"/>
      <c r="L1214" s="16"/>
      <c r="M1214" s="18" t="str">
        <f aca="false">IF(OR(C1214="",D1214=""),"",IF(MOD(COUNTIFS($C$2:C1214,C1214,$D$2:D1214,D1214)*7,10)&lt;3,"teste","treino"))</f>
        <v/>
      </c>
      <c r="N1214" s="16"/>
      <c r="O1214" s="16"/>
      <c r="P1214" s="16"/>
      <c r="Q1214" s="17"/>
    </row>
    <row r="1215" customFormat="false" ht="15" hidden="false" customHeight="false" outlineLevel="0" collapsed="false">
      <c r="A1215" s="15" t="str">
        <f aca="false">IF(B1215="","",ROW()-1)</f>
        <v/>
      </c>
      <c r="B1215" s="16"/>
      <c r="C1215" s="16"/>
      <c r="D1215" s="16"/>
      <c r="E1215" s="16"/>
      <c r="F1215" s="17"/>
      <c r="G1215" s="16"/>
      <c r="H1215" s="16"/>
      <c r="I1215" s="16"/>
      <c r="J1215" s="16"/>
      <c r="K1215" s="16"/>
      <c r="L1215" s="16"/>
      <c r="M1215" s="18" t="str">
        <f aca="false">IF(OR(C1215="",D1215=""),"",IF(MOD(COUNTIFS($C$2:C1215,C1215,$D$2:D1215,D1215)*7,10)&lt;3,"teste","treino"))</f>
        <v/>
      </c>
      <c r="N1215" s="16"/>
      <c r="O1215" s="16"/>
      <c r="P1215" s="16"/>
      <c r="Q1215" s="17"/>
    </row>
    <row r="1216" customFormat="false" ht="15" hidden="false" customHeight="false" outlineLevel="0" collapsed="false">
      <c r="A1216" s="15" t="str">
        <f aca="false">IF(B1216="","",ROW()-1)</f>
        <v/>
      </c>
      <c r="B1216" s="16"/>
      <c r="C1216" s="16"/>
      <c r="D1216" s="16"/>
      <c r="E1216" s="16"/>
      <c r="F1216" s="17"/>
      <c r="G1216" s="16"/>
      <c r="H1216" s="16"/>
      <c r="I1216" s="16"/>
      <c r="J1216" s="16"/>
      <c r="K1216" s="16"/>
      <c r="L1216" s="16"/>
      <c r="M1216" s="18" t="str">
        <f aca="false">IF(OR(C1216="",D1216=""),"",IF(MOD(COUNTIFS($C$2:C1216,C1216,$D$2:D1216,D1216)*7,10)&lt;3,"teste","treino"))</f>
        <v/>
      </c>
      <c r="N1216" s="16"/>
      <c r="O1216" s="16"/>
      <c r="P1216" s="16"/>
      <c r="Q1216" s="17"/>
    </row>
    <row r="1217" customFormat="false" ht="15" hidden="false" customHeight="false" outlineLevel="0" collapsed="false">
      <c r="A1217" s="15" t="str">
        <f aca="false">IF(B1217="","",ROW()-1)</f>
        <v/>
      </c>
      <c r="B1217" s="16"/>
      <c r="C1217" s="16"/>
      <c r="D1217" s="16"/>
      <c r="E1217" s="16"/>
      <c r="F1217" s="17"/>
      <c r="G1217" s="16"/>
      <c r="H1217" s="16"/>
      <c r="I1217" s="16"/>
      <c r="J1217" s="16"/>
      <c r="K1217" s="16"/>
      <c r="L1217" s="16"/>
      <c r="M1217" s="18" t="str">
        <f aca="false">IF(OR(C1217="",D1217=""),"",IF(MOD(COUNTIFS($C$2:C1217,C1217,$D$2:D1217,D1217)*7,10)&lt;3,"teste","treino"))</f>
        <v/>
      </c>
      <c r="N1217" s="16"/>
      <c r="O1217" s="16"/>
      <c r="P1217" s="16"/>
      <c r="Q1217" s="17"/>
    </row>
    <row r="1218" customFormat="false" ht="15" hidden="false" customHeight="false" outlineLevel="0" collapsed="false">
      <c r="A1218" s="15" t="str">
        <f aca="false">IF(B1218="","",ROW()-1)</f>
        <v/>
      </c>
      <c r="B1218" s="16"/>
      <c r="C1218" s="16"/>
      <c r="D1218" s="16"/>
      <c r="E1218" s="16"/>
      <c r="F1218" s="17"/>
      <c r="G1218" s="16"/>
      <c r="H1218" s="16"/>
      <c r="I1218" s="16"/>
      <c r="J1218" s="16"/>
      <c r="K1218" s="16"/>
      <c r="L1218" s="16"/>
      <c r="M1218" s="18" t="str">
        <f aca="false">IF(OR(C1218="",D1218=""),"",IF(MOD(COUNTIFS($C$2:C1218,C1218,$D$2:D1218,D1218)*7,10)&lt;3,"teste","treino"))</f>
        <v/>
      </c>
      <c r="N1218" s="16"/>
      <c r="O1218" s="16"/>
      <c r="P1218" s="16"/>
      <c r="Q1218" s="17"/>
    </row>
    <row r="1219" customFormat="false" ht="15" hidden="false" customHeight="false" outlineLevel="0" collapsed="false">
      <c r="A1219" s="15" t="str">
        <f aca="false">IF(B1219="","",ROW()-1)</f>
        <v/>
      </c>
      <c r="B1219" s="16"/>
      <c r="C1219" s="16"/>
      <c r="D1219" s="16"/>
      <c r="E1219" s="16"/>
      <c r="F1219" s="17"/>
      <c r="G1219" s="16"/>
      <c r="H1219" s="16"/>
      <c r="I1219" s="16"/>
      <c r="J1219" s="16"/>
      <c r="K1219" s="16"/>
      <c r="L1219" s="16"/>
      <c r="M1219" s="18" t="str">
        <f aca="false">IF(OR(C1219="",D1219=""),"",IF(MOD(COUNTIFS($C$2:C1219,C1219,$D$2:D1219,D1219)*7,10)&lt;3,"teste","treino"))</f>
        <v/>
      </c>
      <c r="N1219" s="16"/>
      <c r="O1219" s="16"/>
      <c r="P1219" s="16"/>
      <c r="Q1219" s="17"/>
    </row>
    <row r="1220" customFormat="false" ht="15" hidden="false" customHeight="false" outlineLevel="0" collapsed="false">
      <c r="A1220" s="15" t="str">
        <f aca="false">IF(B1220="","",ROW()-1)</f>
        <v/>
      </c>
      <c r="B1220" s="16"/>
      <c r="C1220" s="16"/>
      <c r="D1220" s="16"/>
      <c r="E1220" s="16"/>
      <c r="F1220" s="17"/>
      <c r="G1220" s="16"/>
      <c r="H1220" s="16"/>
      <c r="I1220" s="16"/>
      <c r="J1220" s="16"/>
      <c r="K1220" s="16"/>
      <c r="L1220" s="16"/>
      <c r="M1220" s="18" t="str">
        <f aca="false">IF(OR(C1220="",D1220=""),"",IF(MOD(COUNTIFS($C$2:C1220,C1220,$D$2:D1220,D1220)*7,10)&lt;3,"teste","treino"))</f>
        <v/>
      </c>
      <c r="N1220" s="16"/>
      <c r="O1220" s="16"/>
      <c r="P1220" s="16"/>
      <c r="Q1220" s="17"/>
    </row>
    <row r="1221" customFormat="false" ht="15" hidden="false" customHeight="false" outlineLevel="0" collapsed="false">
      <c r="A1221" s="15" t="str">
        <f aca="false">IF(B1221="","",ROW()-1)</f>
        <v/>
      </c>
      <c r="B1221" s="16"/>
      <c r="C1221" s="16"/>
      <c r="D1221" s="16"/>
      <c r="E1221" s="16"/>
      <c r="F1221" s="17"/>
      <c r="G1221" s="16"/>
      <c r="H1221" s="16"/>
      <c r="I1221" s="16"/>
      <c r="J1221" s="16"/>
      <c r="K1221" s="16"/>
      <c r="L1221" s="16"/>
      <c r="M1221" s="18" t="str">
        <f aca="false">IF(OR(C1221="",D1221=""),"",IF(MOD(COUNTIFS($C$2:C1221,C1221,$D$2:D1221,D1221)*7,10)&lt;3,"teste","treino"))</f>
        <v/>
      </c>
      <c r="N1221" s="16"/>
      <c r="O1221" s="16"/>
      <c r="P1221" s="16"/>
      <c r="Q1221" s="17"/>
    </row>
    <row r="1222" customFormat="false" ht="15" hidden="false" customHeight="false" outlineLevel="0" collapsed="false">
      <c r="A1222" s="15" t="str">
        <f aca="false">IF(B1222="","",ROW()-1)</f>
        <v/>
      </c>
      <c r="B1222" s="16"/>
      <c r="C1222" s="16"/>
      <c r="D1222" s="16"/>
      <c r="E1222" s="16"/>
      <c r="F1222" s="17"/>
      <c r="G1222" s="16"/>
      <c r="H1222" s="16"/>
      <c r="I1222" s="16"/>
      <c r="J1222" s="16"/>
      <c r="K1222" s="16"/>
      <c r="L1222" s="16"/>
      <c r="M1222" s="18" t="str">
        <f aca="false">IF(OR(C1222="",D1222=""),"",IF(MOD(COUNTIFS($C$2:C1222,C1222,$D$2:D1222,D1222)*7,10)&lt;3,"teste","treino"))</f>
        <v/>
      </c>
      <c r="N1222" s="16"/>
      <c r="O1222" s="16"/>
      <c r="P1222" s="16"/>
      <c r="Q1222" s="17"/>
    </row>
    <row r="1223" customFormat="false" ht="15" hidden="false" customHeight="false" outlineLevel="0" collapsed="false">
      <c r="A1223" s="15" t="str">
        <f aca="false">IF(B1223="","",ROW()-1)</f>
        <v/>
      </c>
      <c r="B1223" s="16"/>
      <c r="C1223" s="16"/>
      <c r="D1223" s="16"/>
      <c r="E1223" s="16"/>
      <c r="F1223" s="17"/>
      <c r="G1223" s="16"/>
      <c r="H1223" s="16"/>
      <c r="I1223" s="16"/>
      <c r="J1223" s="16"/>
      <c r="K1223" s="16"/>
      <c r="L1223" s="16"/>
      <c r="M1223" s="18" t="str">
        <f aca="false">IF(OR(C1223="",D1223=""),"",IF(MOD(COUNTIFS($C$2:C1223,C1223,$D$2:D1223,D1223)*7,10)&lt;3,"teste","treino"))</f>
        <v/>
      </c>
      <c r="N1223" s="16"/>
      <c r="O1223" s="16"/>
      <c r="P1223" s="16"/>
      <c r="Q1223" s="17"/>
    </row>
    <row r="1224" customFormat="false" ht="15" hidden="false" customHeight="false" outlineLevel="0" collapsed="false">
      <c r="A1224" s="15" t="str">
        <f aca="false">IF(B1224="","",ROW()-1)</f>
        <v/>
      </c>
      <c r="B1224" s="16"/>
      <c r="C1224" s="16"/>
      <c r="D1224" s="16"/>
      <c r="E1224" s="16"/>
      <c r="F1224" s="17"/>
      <c r="G1224" s="16"/>
      <c r="H1224" s="16"/>
      <c r="I1224" s="16"/>
      <c r="J1224" s="16"/>
      <c r="K1224" s="16"/>
      <c r="L1224" s="16"/>
      <c r="M1224" s="18" t="str">
        <f aca="false">IF(OR(C1224="",D1224=""),"",IF(MOD(COUNTIFS($C$2:C1224,C1224,$D$2:D1224,D1224)*7,10)&lt;3,"teste","treino"))</f>
        <v/>
      </c>
      <c r="N1224" s="16"/>
      <c r="O1224" s="16"/>
      <c r="P1224" s="16"/>
      <c r="Q1224" s="17"/>
    </row>
    <row r="1225" customFormat="false" ht="15" hidden="false" customHeight="false" outlineLevel="0" collapsed="false">
      <c r="A1225" s="15" t="str">
        <f aca="false">IF(B1225="","",ROW()-1)</f>
        <v/>
      </c>
      <c r="B1225" s="16"/>
      <c r="C1225" s="16"/>
      <c r="D1225" s="16"/>
      <c r="E1225" s="16"/>
      <c r="F1225" s="17"/>
      <c r="G1225" s="16"/>
      <c r="H1225" s="16"/>
      <c r="I1225" s="16"/>
      <c r="J1225" s="16"/>
      <c r="K1225" s="16"/>
      <c r="L1225" s="16"/>
      <c r="M1225" s="18" t="str">
        <f aca="false">IF(OR(C1225="",D1225=""),"",IF(MOD(COUNTIFS($C$2:C1225,C1225,$D$2:D1225,D1225)*7,10)&lt;3,"teste","treino"))</f>
        <v/>
      </c>
      <c r="N1225" s="16"/>
      <c r="O1225" s="16"/>
      <c r="P1225" s="16"/>
      <c r="Q1225" s="17"/>
    </row>
    <row r="1226" customFormat="false" ht="15" hidden="false" customHeight="false" outlineLevel="0" collapsed="false">
      <c r="A1226" s="15" t="str">
        <f aca="false">IF(B1226="","",ROW()-1)</f>
        <v/>
      </c>
      <c r="B1226" s="16"/>
      <c r="C1226" s="16"/>
      <c r="D1226" s="16"/>
      <c r="E1226" s="16"/>
      <c r="F1226" s="17"/>
      <c r="G1226" s="16"/>
      <c r="H1226" s="16"/>
      <c r="I1226" s="16"/>
      <c r="J1226" s="16"/>
      <c r="K1226" s="16"/>
      <c r="L1226" s="16"/>
      <c r="M1226" s="18" t="str">
        <f aca="false">IF(OR(C1226="",D1226=""),"",IF(MOD(COUNTIFS($C$2:C1226,C1226,$D$2:D1226,D1226)*7,10)&lt;3,"teste","treino"))</f>
        <v/>
      </c>
      <c r="N1226" s="16"/>
      <c r="O1226" s="16"/>
      <c r="P1226" s="16"/>
      <c r="Q1226" s="17"/>
    </row>
    <row r="1227" customFormat="false" ht="15" hidden="false" customHeight="false" outlineLevel="0" collapsed="false">
      <c r="A1227" s="15" t="str">
        <f aca="false">IF(B1227="","",ROW()-1)</f>
        <v/>
      </c>
      <c r="B1227" s="16"/>
      <c r="C1227" s="16"/>
      <c r="D1227" s="16"/>
      <c r="E1227" s="16"/>
      <c r="F1227" s="17"/>
      <c r="G1227" s="16"/>
      <c r="H1227" s="16"/>
      <c r="I1227" s="16"/>
      <c r="J1227" s="16"/>
      <c r="K1227" s="16"/>
      <c r="L1227" s="16"/>
      <c r="M1227" s="18" t="str">
        <f aca="false">IF(OR(C1227="",D1227=""),"",IF(MOD(COUNTIFS($C$2:C1227,C1227,$D$2:D1227,D1227)*7,10)&lt;3,"teste","treino"))</f>
        <v/>
      </c>
      <c r="N1227" s="16"/>
      <c r="O1227" s="16"/>
      <c r="P1227" s="16"/>
      <c r="Q1227" s="17"/>
    </row>
    <row r="1228" customFormat="false" ht="15" hidden="false" customHeight="false" outlineLevel="0" collapsed="false">
      <c r="A1228" s="15" t="str">
        <f aca="false">IF(B1228="","",ROW()-1)</f>
        <v/>
      </c>
      <c r="B1228" s="16"/>
      <c r="C1228" s="16"/>
      <c r="D1228" s="16"/>
      <c r="E1228" s="16"/>
      <c r="F1228" s="17"/>
      <c r="G1228" s="16"/>
      <c r="H1228" s="16"/>
      <c r="I1228" s="16"/>
      <c r="J1228" s="16"/>
      <c r="K1228" s="16"/>
      <c r="L1228" s="16"/>
      <c r="M1228" s="18" t="str">
        <f aca="false">IF(OR(C1228="",D1228=""),"",IF(MOD(COUNTIFS($C$2:C1228,C1228,$D$2:D1228,D1228)*7,10)&lt;3,"teste","treino"))</f>
        <v/>
      </c>
      <c r="N1228" s="16"/>
      <c r="O1228" s="16"/>
      <c r="P1228" s="16"/>
      <c r="Q1228" s="17"/>
    </row>
    <row r="1229" customFormat="false" ht="15" hidden="false" customHeight="false" outlineLevel="0" collapsed="false">
      <c r="A1229" s="15" t="str">
        <f aca="false">IF(B1229="","",ROW()-1)</f>
        <v/>
      </c>
      <c r="B1229" s="16"/>
      <c r="C1229" s="16"/>
      <c r="D1229" s="16"/>
      <c r="E1229" s="16"/>
      <c r="F1229" s="17"/>
      <c r="G1229" s="16"/>
      <c r="H1229" s="16"/>
      <c r="I1229" s="16"/>
      <c r="J1229" s="16"/>
      <c r="K1229" s="16"/>
      <c r="L1229" s="16"/>
      <c r="M1229" s="18" t="str">
        <f aca="false">IF(OR(C1229="",D1229=""),"",IF(MOD(COUNTIFS($C$2:C1229,C1229,$D$2:D1229,D1229)*7,10)&lt;3,"teste","treino"))</f>
        <v/>
      </c>
      <c r="N1229" s="16"/>
      <c r="O1229" s="16"/>
      <c r="P1229" s="16"/>
      <c r="Q1229" s="17"/>
    </row>
    <row r="1230" customFormat="false" ht="15" hidden="false" customHeight="false" outlineLevel="0" collapsed="false">
      <c r="A1230" s="15" t="str">
        <f aca="false">IF(B1230="","",ROW()-1)</f>
        <v/>
      </c>
      <c r="B1230" s="16"/>
      <c r="C1230" s="16"/>
      <c r="D1230" s="16"/>
      <c r="E1230" s="16"/>
      <c r="F1230" s="17"/>
      <c r="G1230" s="16"/>
      <c r="H1230" s="16"/>
      <c r="I1230" s="16"/>
      <c r="J1230" s="16"/>
      <c r="K1230" s="16"/>
      <c r="L1230" s="16"/>
      <c r="M1230" s="18" t="str">
        <f aca="false">IF(OR(C1230="",D1230=""),"",IF(MOD(COUNTIFS($C$2:C1230,C1230,$D$2:D1230,D1230)*7,10)&lt;3,"teste","treino"))</f>
        <v/>
      </c>
      <c r="N1230" s="16"/>
      <c r="O1230" s="16"/>
      <c r="P1230" s="16"/>
      <c r="Q1230" s="17"/>
    </row>
    <row r="1231" customFormat="false" ht="15" hidden="false" customHeight="false" outlineLevel="0" collapsed="false">
      <c r="A1231" s="15" t="str">
        <f aca="false">IF(B1231="","",ROW()-1)</f>
        <v/>
      </c>
      <c r="B1231" s="16"/>
      <c r="C1231" s="16"/>
      <c r="D1231" s="16"/>
      <c r="E1231" s="16"/>
      <c r="F1231" s="17"/>
      <c r="G1231" s="16"/>
      <c r="H1231" s="16"/>
      <c r="I1231" s="16"/>
      <c r="J1231" s="16"/>
      <c r="K1231" s="16"/>
      <c r="L1231" s="16"/>
      <c r="M1231" s="18" t="str">
        <f aca="false">IF(OR(C1231="",D1231=""),"",IF(MOD(COUNTIFS($C$2:C1231,C1231,$D$2:D1231,D1231)*7,10)&lt;3,"teste","treino"))</f>
        <v/>
      </c>
      <c r="N1231" s="16"/>
      <c r="O1231" s="16"/>
      <c r="P1231" s="16"/>
      <c r="Q1231" s="17"/>
    </row>
    <row r="1232" customFormat="false" ht="15" hidden="false" customHeight="false" outlineLevel="0" collapsed="false">
      <c r="A1232" s="15" t="str">
        <f aca="false">IF(B1232="","",ROW()-1)</f>
        <v/>
      </c>
      <c r="B1232" s="16"/>
      <c r="C1232" s="16"/>
      <c r="D1232" s="16"/>
      <c r="E1232" s="16"/>
      <c r="F1232" s="17"/>
      <c r="G1232" s="16"/>
      <c r="H1232" s="16"/>
      <c r="I1232" s="16"/>
      <c r="J1232" s="16"/>
      <c r="K1232" s="16"/>
      <c r="L1232" s="16"/>
      <c r="M1232" s="18" t="str">
        <f aca="false">IF(OR(C1232="",D1232=""),"",IF(MOD(COUNTIFS($C$2:C1232,C1232,$D$2:D1232,D1232)*7,10)&lt;3,"teste","treino"))</f>
        <v/>
      </c>
      <c r="N1232" s="16"/>
      <c r="O1232" s="16"/>
      <c r="P1232" s="16"/>
      <c r="Q1232" s="17"/>
    </row>
    <row r="1233" customFormat="false" ht="15" hidden="false" customHeight="false" outlineLevel="0" collapsed="false">
      <c r="A1233" s="15" t="str">
        <f aca="false">IF(B1233="","",ROW()-1)</f>
        <v/>
      </c>
      <c r="B1233" s="16"/>
      <c r="C1233" s="16"/>
      <c r="D1233" s="16"/>
      <c r="E1233" s="16"/>
      <c r="F1233" s="17"/>
      <c r="G1233" s="16"/>
      <c r="H1233" s="16"/>
      <c r="I1233" s="16"/>
      <c r="J1233" s="16"/>
      <c r="K1233" s="16"/>
      <c r="L1233" s="16"/>
      <c r="M1233" s="18" t="str">
        <f aca="false">IF(OR(C1233="",D1233=""),"",IF(MOD(COUNTIFS($C$2:C1233,C1233,$D$2:D1233,D1233)*7,10)&lt;3,"teste","treino"))</f>
        <v/>
      </c>
      <c r="N1233" s="16"/>
      <c r="O1233" s="16"/>
      <c r="P1233" s="16"/>
      <c r="Q1233" s="17"/>
    </row>
    <row r="1234" customFormat="false" ht="15" hidden="false" customHeight="false" outlineLevel="0" collapsed="false">
      <c r="A1234" s="15" t="str">
        <f aca="false">IF(B1234="","",ROW()-1)</f>
        <v/>
      </c>
      <c r="B1234" s="16"/>
      <c r="C1234" s="16"/>
      <c r="D1234" s="16"/>
      <c r="E1234" s="16"/>
      <c r="F1234" s="17"/>
      <c r="G1234" s="16"/>
      <c r="H1234" s="16"/>
      <c r="I1234" s="16"/>
      <c r="J1234" s="16"/>
      <c r="K1234" s="16"/>
      <c r="L1234" s="16"/>
      <c r="M1234" s="18" t="str">
        <f aca="false">IF(OR(C1234="",D1234=""),"",IF(MOD(COUNTIFS($C$2:C1234,C1234,$D$2:D1234,D1234)*7,10)&lt;3,"teste","treino"))</f>
        <v/>
      </c>
      <c r="N1234" s="16"/>
      <c r="O1234" s="16"/>
      <c r="P1234" s="16"/>
      <c r="Q1234" s="17"/>
    </row>
    <row r="1235" customFormat="false" ht="15" hidden="false" customHeight="false" outlineLevel="0" collapsed="false">
      <c r="A1235" s="15" t="str">
        <f aca="false">IF(B1235="","",ROW()-1)</f>
        <v/>
      </c>
      <c r="B1235" s="16"/>
      <c r="C1235" s="16"/>
      <c r="D1235" s="16"/>
      <c r="E1235" s="16"/>
      <c r="F1235" s="17"/>
      <c r="G1235" s="16"/>
      <c r="H1235" s="16"/>
      <c r="I1235" s="16"/>
      <c r="J1235" s="16"/>
      <c r="K1235" s="16"/>
      <c r="L1235" s="16"/>
      <c r="M1235" s="18" t="str">
        <f aca="false">IF(OR(C1235="",D1235=""),"",IF(MOD(COUNTIFS($C$2:C1235,C1235,$D$2:D1235,D1235)*7,10)&lt;3,"teste","treino"))</f>
        <v/>
      </c>
      <c r="N1235" s="16"/>
      <c r="O1235" s="16"/>
      <c r="P1235" s="16"/>
      <c r="Q1235" s="17"/>
    </row>
    <row r="1236" customFormat="false" ht="15" hidden="false" customHeight="false" outlineLevel="0" collapsed="false">
      <c r="A1236" s="15" t="str">
        <f aca="false">IF(B1236="","",ROW()-1)</f>
        <v/>
      </c>
      <c r="B1236" s="16"/>
      <c r="C1236" s="16"/>
      <c r="D1236" s="16"/>
      <c r="E1236" s="16"/>
      <c r="F1236" s="17"/>
      <c r="G1236" s="16"/>
      <c r="H1236" s="16"/>
      <c r="I1236" s="16"/>
      <c r="J1236" s="16"/>
      <c r="K1236" s="16"/>
      <c r="L1236" s="16"/>
      <c r="M1236" s="18" t="str">
        <f aca="false">IF(OR(C1236="",D1236=""),"",IF(MOD(COUNTIFS($C$2:C1236,C1236,$D$2:D1236,D1236)*7,10)&lt;3,"teste","treino"))</f>
        <v/>
      </c>
      <c r="N1236" s="16"/>
      <c r="O1236" s="16"/>
      <c r="P1236" s="16"/>
      <c r="Q1236" s="17"/>
    </row>
    <row r="1237" customFormat="false" ht="15" hidden="false" customHeight="false" outlineLevel="0" collapsed="false">
      <c r="A1237" s="15" t="str">
        <f aca="false">IF(B1237="","",ROW()-1)</f>
        <v/>
      </c>
      <c r="B1237" s="16"/>
      <c r="C1237" s="16"/>
      <c r="D1237" s="16"/>
      <c r="E1237" s="16"/>
      <c r="F1237" s="17"/>
      <c r="G1237" s="16"/>
      <c r="H1237" s="16"/>
      <c r="I1237" s="16"/>
      <c r="J1237" s="16"/>
      <c r="K1237" s="16"/>
      <c r="L1237" s="16"/>
      <c r="M1237" s="18" t="str">
        <f aca="false">IF(OR(C1237="",D1237=""),"",IF(MOD(COUNTIFS($C$2:C1237,C1237,$D$2:D1237,D1237)*7,10)&lt;3,"teste","treino"))</f>
        <v/>
      </c>
      <c r="N1237" s="16"/>
      <c r="O1237" s="16"/>
      <c r="P1237" s="16"/>
      <c r="Q1237" s="17"/>
    </row>
    <row r="1238" customFormat="false" ht="15" hidden="false" customHeight="false" outlineLevel="0" collapsed="false">
      <c r="A1238" s="15" t="str">
        <f aca="false">IF(B1238="","",ROW()-1)</f>
        <v/>
      </c>
      <c r="B1238" s="16"/>
      <c r="C1238" s="16"/>
      <c r="D1238" s="16"/>
      <c r="E1238" s="16"/>
      <c r="F1238" s="17"/>
      <c r="G1238" s="16"/>
      <c r="H1238" s="16"/>
      <c r="I1238" s="16"/>
      <c r="J1238" s="16"/>
      <c r="K1238" s="16"/>
      <c r="L1238" s="16"/>
      <c r="M1238" s="18" t="str">
        <f aca="false">IF(OR(C1238="",D1238=""),"",IF(MOD(COUNTIFS($C$2:C1238,C1238,$D$2:D1238,D1238)*7,10)&lt;3,"teste","treino"))</f>
        <v/>
      </c>
      <c r="N1238" s="16"/>
      <c r="O1238" s="16"/>
      <c r="P1238" s="16"/>
      <c r="Q1238" s="17"/>
    </row>
    <row r="1239" customFormat="false" ht="15" hidden="false" customHeight="false" outlineLevel="0" collapsed="false">
      <c r="A1239" s="15" t="str">
        <f aca="false">IF(B1239="","",ROW()-1)</f>
        <v/>
      </c>
      <c r="B1239" s="16"/>
      <c r="C1239" s="16"/>
      <c r="D1239" s="16"/>
      <c r="E1239" s="16"/>
      <c r="F1239" s="17"/>
      <c r="G1239" s="16"/>
      <c r="H1239" s="16"/>
      <c r="I1239" s="16"/>
      <c r="J1239" s="16"/>
      <c r="K1239" s="16"/>
      <c r="L1239" s="16"/>
      <c r="M1239" s="18" t="str">
        <f aca="false">IF(OR(C1239="",D1239=""),"",IF(MOD(COUNTIFS($C$2:C1239,C1239,$D$2:D1239,D1239)*7,10)&lt;3,"teste","treino"))</f>
        <v/>
      </c>
      <c r="N1239" s="16"/>
      <c r="O1239" s="16"/>
      <c r="P1239" s="16"/>
      <c r="Q1239" s="17"/>
    </row>
    <row r="1240" customFormat="false" ht="15" hidden="false" customHeight="false" outlineLevel="0" collapsed="false">
      <c r="A1240" s="15" t="str">
        <f aca="false">IF(B1240="","",ROW()-1)</f>
        <v/>
      </c>
      <c r="B1240" s="16"/>
      <c r="C1240" s="16"/>
      <c r="D1240" s="16"/>
      <c r="E1240" s="16"/>
      <c r="F1240" s="17"/>
      <c r="G1240" s="16"/>
      <c r="H1240" s="16"/>
      <c r="I1240" s="16"/>
      <c r="J1240" s="16"/>
      <c r="K1240" s="16"/>
      <c r="L1240" s="16"/>
      <c r="M1240" s="18" t="str">
        <f aca="false">IF(OR(C1240="",D1240=""),"",IF(MOD(COUNTIFS($C$2:C1240,C1240,$D$2:D1240,D1240)*7,10)&lt;3,"teste","treino"))</f>
        <v/>
      </c>
      <c r="N1240" s="16"/>
      <c r="O1240" s="16"/>
      <c r="P1240" s="16"/>
      <c r="Q1240" s="17"/>
    </row>
    <row r="1241" customFormat="false" ht="15" hidden="false" customHeight="false" outlineLevel="0" collapsed="false">
      <c r="A1241" s="15" t="str">
        <f aca="false">IF(B1241="","",ROW()-1)</f>
        <v/>
      </c>
      <c r="B1241" s="16"/>
      <c r="C1241" s="16"/>
      <c r="D1241" s="16"/>
      <c r="E1241" s="16"/>
      <c r="F1241" s="17"/>
      <c r="G1241" s="16"/>
      <c r="H1241" s="16"/>
      <c r="I1241" s="16"/>
      <c r="J1241" s="16"/>
      <c r="K1241" s="16"/>
      <c r="L1241" s="16"/>
      <c r="M1241" s="18" t="str">
        <f aca="false">IF(OR(C1241="",D1241=""),"",IF(MOD(COUNTIFS($C$2:C1241,C1241,$D$2:D1241,D1241)*7,10)&lt;3,"teste","treino"))</f>
        <v/>
      </c>
      <c r="N1241" s="16"/>
      <c r="O1241" s="16"/>
      <c r="P1241" s="16"/>
      <c r="Q1241" s="17"/>
    </row>
    <row r="1242" customFormat="false" ht="15" hidden="false" customHeight="false" outlineLevel="0" collapsed="false">
      <c r="A1242" s="15" t="str">
        <f aca="false">IF(B1242="","",ROW()-1)</f>
        <v/>
      </c>
      <c r="B1242" s="16"/>
      <c r="C1242" s="16"/>
      <c r="D1242" s="16"/>
      <c r="E1242" s="16"/>
      <c r="F1242" s="17"/>
      <c r="G1242" s="16"/>
      <c r="H1242" s="16"/>
      <c r="I1242" s="16"/>
      <c r="J1242" s="16"/>
      <c r="K1242" s="16"/>
      <c r="L1242" s="16"/>
      <c r="M1242" s="18" t="str">
        <f aca="false">IF(OR(C1242="",D1242=""),"",IF(MOD(COUNTIFS($C$2:C1242,C1242,$D$2:D1242,D1242)*7,10)&lt;3,"teste","treino"))</f>
        <v/>
      </c>
      <c r="N1242" s="16"/>
      <c r="O1242" s="16"/>
      <c r="P1242" s="16"/>
      <c r="Q1242" s="17"/>
    </row>
    <row r="1243" customFormat="false" ht="15" hidden="false" customHeight="false" outlineLevel="0" collapsed="false">
      <c r="A1243" s="15" t="str">
        <f aca="false">IF(B1243="","",ROW()-1)</f>
        <v/>
      </c>
      <c r="B1243" s="16"/>
      <c r="C1243" s="16"/>
      <c r="D1243" s="16"/>
      <c r="E1243" s="16"/>
      <c r="F1243" s="17"/>
      <c r="G1243" s="16"/>
      <c r="H1243" s="16"/>
      <c r="I1243" s="16"/>
      <c r="J1243" s="16"/>
      <c r="K1243" s="16"/>
      <c r="L1243" s="16"/>
      <c r="M1243" s="18" t="str">
        <f aca="false">IF(OR(C1243="",D1243=""),"",IF(MOD(COUNTIFS($C$2:C1243,C1243,$D$2:D1243,D1243)*7,10)&lt;3,"teste","treino"))</f>
        <v/>
      </c>
      <c r="N1243" s="16"/>
      <c r="O1243" s="16"/>
      <c r="P1243" s="16"/>
      <c r="Q1243" s="17"/>
    </row>
    <row r="1244" customFormat="false" ht="15" hidden="false" customHeight="false" outlineLevel="0" collapsed="false">
      <c r="A1244" s="15" t="str">
        <f aca="false">IF(B1244="","",ROW()-1)</f>
        <v/>
      </c>
      <c r="B1244" s="16"/>
      <c r="C1244" s="16"/>
      <c r="D1244" s="16"/>
      <c r="E1244" s="16"/>
      <c r="F1244" s="17"/>
      <c r="G1244" s="16"/>
      <c r="H1244" s="16"/>
      <c r="I1244" s="16"/>
      <c r="J1244" s="16"/>
      <c r="K1244" s="16"/>
      <c r="L1244" s="16"/>
      <c r="M1244" s="18" t="str">
        <f aca="false">IF(OR(C1244="",D1244=""),"",IF(MOD(COUNTIFS($C$2:C1244,C1244,$D$2:D1244,D1244)*7,10)&lt;3,"teste","treino"))</f>
        <v/>
      </c>
      <c r="N1244" s="16"/>
      <c r="O1244" s="16"/>
      <c r="P1244" s="16"/>
      <c r="Q1244" s="17"/>
    </row>
    <row r="1245" customFormat="false" ht="15" hidden="false" customHeight="false" outlineLevel="0" collapsed="false">
      <c r="A1245" s="15" t="str">
        <f aca="false">IF(B1245="","",ROW()-1)</f>
        <v/>
      </c>
      <c r="B1245" s="16"/>
      <c r="C1245" s="16"/>
      <c r="D1245" s="16"/>
      <c r="E1245" s="16"/>
      <c r="F1245" s="17"/>
      <c r="G1245" s="16"/>
      <c r="H1245" s="16"/>
      <c r="I1245" s="16"/>
      <c r="J1245" s="16"/>
      <c r="K1245" s="16"/>
      <c r="L1245" s="16"/>
      <c r="M1245" s="18" t="str">
        <f aca="false">IF(OR(C1245="",D1245=""),"",IF(MOD(COUNTIFS($C$2:C1245,C1245,$D$2:D1245,D1245)*7,10)&lt;3,"teste","treino"))</f>
        <v/>
      </c>
      <c r="N1245" s="16"/>
      <c r="O1245" s="16"/>
      <c r="P1245" s="16"/>
      <c r="Q1245" s="17"/>
    </row>
    <row r="1246" customFormat="false" ht="15" hidden="false" customHeight="false" outlineLevel="0" collapsed="false">
      <c r="A1246" s="15" t="str">
        <f aca="false">IF(B1246="","",ROW()-1)</f>
        <v/>
      </c>
      <c r="B1246" s="16"/>
      <c r="C1246" s="16"/>
      <c r="D1246" s="16"/>
      <c r="E1246" s="16"/>
      <c r="F1246" s="17"/>
      <c r="G1246" s="16"/>
      <c r="H1246" s="16"/>
      <c r="I1246" s="16"/>
      <c r="J1246" s="16"/>
      <c r="K1246" s="16"/>
      <c r="L1246" s="16"/>
      <c r="M1246" s="18" t="str">
        <f aca="false">IF(OR(C1246="",D1246=""),"",IF(MOD(COUNTIFS($C$2:C1246,C1246,$D$2:D1246,D1246)*7,10)&lt;3,"teste","treino"))</f>
        <v/>
      </c>
      <c r="N1246" s="16"/>
      <c r="O1246" s="16"/>
      <c r="P1246" s="16"/>
      <c r="Q1246" s="17"/>
    </row>
    <row r="1247" customFormat="false" ht="15" hidden="false" customHeight="false" outlineLevel="0" collapsed="false">
      <c r="A1247" s="15" t="str">
        <f aca="false">IF(B1247="","",ROW()-1)</f>
        <v/>
      </c>
      <c r="B1247" s="16"/>
      <c r="C1247" s="16"/>
      <c r="D1247" s="16"/>
      <c r="E1247" s="16"/>
      <c r="F1247" s="17"/>
      <c r="G1247" s="16"/>
      <c r="H1247" s="16"/>
      <c r="I1247" s="16"/>
      <c r="J1247" s="16"/>
      <c r="K1247" s="16"/>
      <c r="L1247" s="16"/>
      <c r="M1247" s="18" t="str">
        <f aca="false">IF(OR(C1247="",D1247=""),"",IF(MOD(COUNTIFS($C$2:C1247,C1247,$D$2:D1247,D1247)*7,10)&lt;3,"teste","treino"))</f>
        <v/>
      </c>
      <c r="N1247" s="16"/>
      <c r="O1247" s="16"/>
      <c r="P1247" s="16"/>
      <c r="Q1247" s="17"/>
    </row>
    <row r="1248" customFormat="false" ht="15" hidden="false" customHeight="false" outlineLevel="0" collapsed="false">
      <c r="A1248" s="15" t="str">
        <f aca="false">IF(B1248="","",ROW()-1)</f>
        <v/>
      </c>
      <c r="B1248" s="16"/>
      <c r="C1248" s="16"/>
      <c r="D1248" s="16"/>
      <c r="E1248" s="16"/>
      <c r="F1248" s="17"/>
      <c r="G1248" s="16"/>
      <c r="H1248" s="16"/>
      <c r="I1248" s="16"/>
      <c r="J1248" s="16"/>
      <c r="K1248" s="16"/>
      <c r="L1248" s="16"/>
      <c r="M1248" s="18" t="str">
        <f aca="false">IF(OR(C1248="",D1248=""),"",IF(MOD(COUNTIFS($C$2:C1248,C1248,$D$2:D1248,D1248)*7,10)&lt;3,"teste","treino"))</f>
        <v/>
      </c>
      <c r="N1248" s="16"/>
      <c r="O1248" s="16"/>
      <c r="P1248" s="16"/>
      <c r="Q1248" s="17"/>
    </row>
    <row r="1249" customFormat="false" ht="15" hidden="false" customHeight="false" outlineLevel="0" collapsed="false">
      <c r="A1249" s="15" t="str">
        <f aca="false">IF(B1249="","",ROW()-1)</f>
        <v/>
      </c>
      <c r="B1249" s="16"/>
      <c r="C1249" s="16"/>
      <c r="D1249" s="16"/>
      <c r="E1249" s="16"/>
      <c r="F1249" s="17"/>
      <c r="G1249" s="16"/>
      <c r="H1249" s="16"/>
      <c r="I1249" s="16"/>
      <c r="J1249" s="16"/>
      <c r="K1249" s="16"/>
      <c r="L1249" s="16"/>
      <c r="M1249" s="18" t="str">
        <f aca="false">IF(OR(C1249="",D1249=""),"",IF(MOD(COUNTIFS($C$2:C1249,C1249,$D$2:D1249,D1249)*7,10)&lt;3,"teste","treino"))</f>
        <v/>
      </c>
      <c r="N1249" s="16"/>
      <c r="O1249" s="16"/>
      <c r="P1249" s="16"/>
      <c r="Q1249" s="17"/>
    </row>
    <row r="1250" customFormat="false" ht="15" hidden="false" customHeight="false" outlineLevel="0" collapsed="false">
      <c r="A1250" s="15" t="str">
        <f aca="false">IF(B1250="","",ROW()-1)</f>
        <v/>
      </c>
      <c r="B1250" s="16"/>
      <c r="C1250" s="16"/>
      <c r="D1250" s="16"/>
      <c r="E1250" s="16"/>
      <c r="F1250" s="17"/>
      <c r="G1250" s="16"/>
      <c r="H1250" s="16"/>
      <c r="I1250" s="16"/>
      <c r="J1250" s="16"/>
      <c r="K1250" s="16"/>
      <c r="L1250" s="16"/>
      <c r="M1250" s="18" t="str">
        <f aca="false">IF(OR(C1250="",D1250=""),"",IF(MOD(COUNTIFS($C$2:C1250,C1250,$D$2:D1250,D1250)*7,10)&lt;3,"teste","treino"))</f>
        <v/>
      </c>
      <c r="N1250" s="16"/>
      <c r="O1250" s="16"/>
      <c r="P1250" s="16"/>
      <c r="Q1250" s="17"/>
    </row>
    <row r="1251" customFormat="false" ht="15" hidden="false" customHeight="false" outlineLevel="0" collapsed="false">
      <c r="A1251" s="15" t="str">
        <f aca="false">IF(B1251="","",ROW()-1)</f>
        <v/>
      </c>
      <c r="B1251" s="16"/>
      <c r="C1251" s="16"/>
      <c r="D1251" s="16"/>
      <c r="E1251" s="16"/>
      <c r="F1251" s="17"/>
      <c r="G1251" s="16"/>
      <c r="H1251" s="16"/>
      <c r="I1251" s="16"/>
      <c r="J1251" s="16"/>
      <c r="K1251" s="16"/>
      <c r="L1251" s="16"/>
      <c r="M1251" s="18" t="str">
        <f aca="false">IF(OR(C1251="",D1251=""),"",IF(MOD(COUNTIFS($C$2:C1251,C1251,$D$2:D1251,D1251)*7,10)&lt;3,"teste","treino"))</f>
        <v/>
      </c>
      <c r="N1251" s="16"/>
      <c r="O1251" s="16"/>
      <c r="P1251" s="16"/>
      <c r="Q1251" s="17"/>
    </row>
    <row r="1252" customFormat="false" ht="15" hidden="false" customHeight="false" outlineLevel="0" collapsed="false">
      <c r="A1252" s="15" t="str">
        <f aca="false">IF(B1252="","",ROW()-1)</f>
        <v/>
      </c>
      <c r="B1252" s="16"/>
      <c r="C1252" s="16"/>
      <c r="D1252" s="16"/>
      <c r="E1252" s="16"/>
      <c r="F1252" s="17"/>
      <c r="G1252" s="16"/>
      <c r="H1252" s="16"/>
      <c r="I1252" s="16"/>
      <c r="J1252" s="16"/>
      <c r="K1252" s="16"/>
      <c r="L1252" s="16"/>
      <c r="M1252" s="18" t="str">
        <f aca="false">IF(OR(C1252="",D1252=""),"",IF(MOD(COUNTIFS($C$2:C1252,C1252,$D$2:D1252,D1252)*7,10)&lt;3,"teste","treino"))</f>
        <v/>
      </c>
      <c r="N1252" s="16"/>
      <c r="O1252" s="16"/>
      <c r="P1252" s="16"/>
      <c r="Q1252" s="17"/>
    </row>
    <row r="1253" customFormat="false" ht="15" hidden="false" customHeight="false" outlineLevel="0" collapsed="false">
      <c r="A1253" s="15" t="str">
        <f aca="false">IF(B1253="","",ROW()-1)</f>
        <v/>
      </c>
      <c r="B1253" s="16"/>
      <c r="C1253" s="16"/>
      <c r="D1253" s="16"/>
      <c r="E1253" s="16"/>
      <c r="F1253" s="17"/>
      <c r="G1253" s="16"/>
      <c r="H1253" s="16"/>
      <c r="I1253" s="16"/>
      <c r="J1253" s="16"/>
      <c r="K1253" s="16"/>
      <c r="L1253" s="16"/>
      <c r="M1253" s="18" t="str">
        <f aca="false">IF(OR(C1253="",D1253=""),"",IF(MOD(COUNTIFS($C$2:C1253,C1253,$D$2:D1253,D1253)*7,10)&lt;3,"teste","treino"))</f>
        <v/>
      </c>
      <c r="N1253" s="16"/>
      <c r="O1253" s="16"/>
      <c r="P1253" s="16"/>
      <c r="Q1253" s="17"/>
    </row>
    <row r="1254" customFormat="false" ht="15" hidden="false" customHeight="false" outlineLevel="0" collapsed="false">
      <c r="A1254" s="15" t="str">
        <f aca="false">IF(B1254="","",ROW()-1)</f>
        <v/>
      </c>
      <c r="B1254" s="16"/>
      <c r="C1254" s="16"/>
      <c r="D1254" s="16"/>
      <c r="E1254" s="16"/>
      <c r="F1254" s="17"/>
      <c r="G1254" s="16"/>
      <c r="H1254" s="16"/>
      <c r="I1254" s="16"/>
      <c r="J1254" s="16"/>
      <c r="K1254" s="16"/>
      <c r="L1254" s="16"/>
      <c r="M1254" s="18" t="str">
        <f aca="false">IF(OR(C1254="",D1254=""),"",IF(MOD(COUNTIFS($C$2:C1254,C1254,$D$2:D1254,D1254)*7,10)&lt;3,"teste","treino"))</f>
        <v/>
      </c>
      <c r="N1254" s="16"/>
      <c r="O1254" s="16"/>
      <c r="P1254" s="16"/>
      <c r="Q1254" s="17"/>
    </row>
    <row r="1255" customFormat="false" ht="15" hidden="false" customHeight="false" outlineLevel="0" collapsed="false">
      <c r="A1255" s="15" t="str">
        <f aca="false">IF(B1255="","",ROW()-1)</f>
        <v/>
      </c>
      <c r="B1255" s="16"/>
      <c r="C1255" s="16"/>
      <c r="D1255" s="16"/>
      <c r="E1255" s="16"/>
      <c r="F1255" s="17"/>
      <c r="G1255" s="16"/>
      <c r="H1255" s="16"/>
      <c r="I1255" s="16"/>
      <c r="J1255" s="16"/>
      <c r="K1255" s="16"/>
      <c r="L1255" s="16"/>
      <c r="M1255" s="18" t="str">
        <f aca="false">IF(OR(C1255="",D1255=""),"",IF(MOD(COUNTIFS($C$2:C1255,C1255,$D$2:D1255,D1255)*7,10)&lt;3,"teste","treino"))</f>
        <v/>
      </c>
      <c r="N1255" s="16"/>
      <c r="O1255" s="16"/>
      <c r="P1255" s="16"/>
      <c r="Q1255" s="17"/>
    </row>
    <row r="1256" customFormat="false" ht="15" hidden="false" customHeight="false" outlineLevel="0" collapsed="false">
      <c r="A1256" s="15" t="str">
        <f aca="false">IF(B1256="","",ROW()-1)</f>
        <v/>
      </c>
      <c r="B1256" s="16"/>
      <c r="C1256" s="16"/>
      <c r="D1256" s="16"/>
      <c r="E1256" s="16"/>
      <c r="F1256" s="17"/>
      <c r="G1256" s="16"/>
      <c r="H1256" s="16"/>
      <c r="I1256" s="16"/>
      <c r="J1256" s="16"/>
      <c r="K1256" s="16"/>
      <c r="L1256" s="16"/>
      <c r="M1256" s="18" t="str">
        <f aca="false">IF(OR(C1256="",D1256=""),"",IF(MOD(COUNTIFS($C$2:C1256,C1256,$D$2:D1256,D1256)*7,10)&lt;3,"teste","treino"))</f>
        <v/>
      </c>
      <c r="N1256" s="16"/>
      <c r="O1256" s="16"/>
      <c r="P1256" s="16"/>
      <c r="Q1256" s="17"/>
    </row>
    <row r="1257" customFormat="false" ht="15" hidden="false" customHeight="false" outlineLevel="0" collapsed="false">
      <c r="A1257" s="15" t="str">
        <f aca="false">IF(B1257="","",ROW()-1)</f>
        <v/>
      </c>
      <c r="B1257" s="16"/>
      <c r="C1257" s="16"/>
      <c r="D1257" s="16"/>
      <c r="E1257" s="16"/>
      <c r="F1257" s="17"/>
      <c r="G1257" s="16"/>
      <c r="H1257" s="16"/>
      <c r="I1257" s="16"/>
      <c r="J1257" s="16"/>
      <c r="K1257" s="16"/>
      <c r="L1257" s="16"/>
      <c r="M1257" s="18" t="str">
        <f aca="false">IF(OR(C1257="",D1257=""),"",IF(MOD(COUNTIFS($C$2:C1257,C1257,$D$2:D1257,D1257)*7,10)&lt;3,"teste","treino"))</f>
        <v/>
      </c>
      <c r="N1257" s="16"/>
      <c r="O1257" s="16"/>
      <c r="P1257" s="16"/>
      <c r="Q1257" s="17"/>
    </row>
    <row r="1258" customFormat="false" ht="15" hidden="false" customHeight="false" outlineLevel="0" collapsed="false">
      <c r="A1258" s="15" t="str">
        <f aca="false">IF(B1258="","",ROW()-1)</f>
        <v/>
      </c>
      <c r="B1258" s="16"/>
      <c r="C1258" s="16"/>
      <c r="D1258" s="16"/>
      <c r="E1258" s="16"/>
      <c r="F1258" s="17"/>
      <c r="G1258" s="16"/>
      <c r="H1258" s="16"/>
      <c r="I1258" s="16"/>
      <c r="J1258" s="16"/>
      <c r="K1258" s="16"/>
      <c r="L1258" s="16"/>
      <c r="M1258" s="18" t="str">
        <f aca="false">IF(OR(C1258="",D1258=""),"",IF(MOD(COUNTIFS($C$2:C1258,C1258,$D$2:D1258,D1258)*7,10)&lt;3,"teste","treino"))</f>
        <v/>
      </c>
      <c r="N1258" s="16"/>
      <c r="O1258" s="16"/>
      <c r="P1258" s="16"/>
      <c r="Q1258" s="17"/>
    </row>
    <row r="1259" customFormat="false" ht="15" hidden="false" customHeight="false" outlineLevel="0" collapsed="false">
      <c r="A1259" s="15" t="str">
        <f aca="false">IF(B1259="","",ROW()-1)</f>
        <v/>
      </c>
      <c r="B1259" s="16"/>
      <c r="C1259" s="16"/>
      <c r="D1259" s="16"/>
      <c r="E1259" s="16"/>
      <c r="F1259" s="17"/>
      <c r="G1259" s="16"/>
      <c r="H1259" s="16"/>
      <c r="I1259" s="16"/>
      <c r="J1259" s="16"/>
      <c r="K1259" s="16"/>
      <c r="L1259" s="16"/>
      <c r="M1259" s="18" t="str">
        <f aca="false">IF(OR(C1259="",D1259=""),"",IF(MOD(COUNTIFS($C$2:C1259,C1259,$D$2:D1259,D1259)*7,10)&lt;3,"teste","treino"))</f>
        <v/>
      </c>
      <c r="N1259" s="16"/>
      <c r="O1259" s="16"/>
      <c r="P1259" s="16"/>
      <c r="Q1259" s="17"/>
    </row>
    <row r="1260" customFormat="false" ht="15" hidden="false" customHeight="false" outlineLevel="0" collapsed="false">
      <c r="A1260" s="15" t="str">
        <f aca="false">IF(B1260="","",ROW()-1)</f>
        <v/>
      </c>
      <c r="B1260" s="16"/>
      <c r="C1260" s="16"/>
      <c r="D1260" s="16"/>
      <c r="E1260" s="16"/>
      <c r="F1260" s="17"/>
      <c r="G1260" s="16"/>
      <c r="H1260" s="16"/>
      <c r="I1260" s="16"/>
      <c r="J1260" s="16"/>
      <c r="K1260" s="16"/>
      <c r="L1260" s="16"/>
      <c r="M1260" s="18" t="str">
        <f aca="false">IF(OR(C1260="",D1260=""),"",IF(MOD(COUNTIFS($C$2:C1260,C1260,$D$2:D1260,D1260)*7,10)&lt;3,"teste","treino"))</f>
        <v/>
      </c>
      <c r="N1260" s="16"/>
      <c r="O1260" s="16"/>
      <c r="P1260" s="16"/>
      <c r="Q1260" s="17"/>
    </row>
    <row r="1261" customFormat="false" ht="15" hidden="false" customHeight="false" outlineLevel="0" collapsed="false">
      <c r="A1261" s="15" t="str">
        <f aca="false">IF(B1261="","",ROW()-1)</f>
        <v/>
      </c>
      <c r="B1261" s="16"/>
      <c r="C1261" s="16"/>
      <c r="D1261" s="16"/>
      <c r="E1261" s="16"/>
      <c r="F1261" s="17"/>
      <c r="G1261" s="16"/>
      <c r="H1261" s="16"/>
      <c r="I1261" s="16"/>
      <c r="J1261" s="16"/>
      <c r="K1261" s="16"/>
      <c r="L1261" s="16"/>
      <c r="M1261" s="18" t="str">
        <f aca="false">IF(OR(C1261="",D1261=""),"",IF(MOD(COUNTIFS($C$2:C1261,C1261,$D$2:D1261,D1261)*7,10)&lt;3,"teste","treino"))</f>
        <v/>
      </c>
      <c r="N1261" s="16"/>
      <c r="O1261" s="16"/>
      <c r="P1261" s="16"/>
      <c r="Q1261" s="17"/>
    </row>
    <row r="1262" customFormat="false" ht="15" hidden="false" customHeight="false" outlineLevel="0" collapsed="false">
      <c r="A1262" s="15" t="str">
        <f aca="false">IF(B1262="","",ROW()-1)</f>
        <v/>
      </c>
      <c r="B1262" s="16"/>
      <c r="C1262" s="16"/>
      <c r="D1262" s="16"/>
      <c r="E1262" s="16"/>
      <c r="F1262" s="17"/>
      <c r="G1262" s="16"/>
      <c r="H1262" s="16"/>
      <c r="I1262" s="16"/>
      <c r="J1262" s="16"/>
      <c r="K1262" s="16"/>
      <c r="L1262" s="16"/>
      <c r="M1262" s="18" t="str">
        <f aca="false">IF(OR(C1262="",D1262=""),"",IF(MOD(COUNTIFS($C$2:C1262,C1262,$D$2:D1262,D1262)*7,10)&lt;3,"teste","treino"))</f>
        <v/>
      </c>
      <c r="N1262" s="16"/>
      <c r="O1262" s="16"/>
      <c r="P1262" s="16"/>
      <c r="Q1262" s="17"/>
    </row>
    <row r="1263" customFormat="false" ht="15" hidden="false" customHeight="false" outlineLevel="0" collapsed="false">
      <c r="A1263" s="15" t="str">
        <f aca="false">IF(B1263="","",ROW()-1)</f>
        <v/>
      </c>
      <c r="B1263" s="16"/>
      <c r="C1263" s="16"/>
      <c r="D1263" s="16"/>
      <c r="E1263" s="16"/>
      <c r="F1263" s="17"/>
      <c r="G1263" s="16"/>
      <c r="H1263" s="16"/>
      <c r="I1263" s="16"/>
      <c r="J1263" s="16"/>
      <c r="K1263" s="16"/>
      <c r="L1263" s="16"/>
      <c r="M1263" s="18" t="str">
        <f aca="false">IF(OR(C1263="",D1263=""),"",IF(MOD(COUNTIFS($C$2:C1263,C1263,$D$2:D1263,D1263)*7,10)&lt;3,"teste","treino"))</f>
        <v/>
      </c>
      <c r="N1263" s="16"/>
      <c r="O1263" s="16"/>
      <c r="P1263" s="16"/>
      <c r="Q1263" s="17"/>
    </row>
    <row r="1264" customFormat="false" ht="15" hidden="false" customHeight="false" outlineLevel="0" collapsed="false">
      <c r="A1264" s="15" t="str">
        <f aca="false">IF(B1264="","",ROW()-1)</f>
        <v/>
      </c>
      <c r="B1264" s="16"/>
      <c r="C1264" s="16"/>
      <c r="D1264" s="16"/>
      <c r="E1264" s="16"/>
      <c r="F1264" s="17"/>
      <c r="G1264" s="16"/>
      <c r="H1264" s="16"/>
      <c r="I1264" s="16"/>
      <c r="J1264" s="16"/>
      <c r="K1264" s="16"/>
      <c r="L1264" s="16"/>
      <c r="M1264" s="18" t="str">
        <f aca="false">IF(OR(C1264="",D1264=""),"",IF(MOD(COUNTIFS($C$2:C1264,C1264,$D$2:D1264,D1264)*7,10)&lt;3,"teste","treino"))</f>
        <v/>
      </c>
      <c r="N1264" s="16"/>
      <c r="O1264" s="16"/>
      <c r="P1264" s="16"/>
      <c r="Q1264" s="17"/>
    </row>
    <row r="1265" customFormat="false" ht="15" hidden="false" customHeight="false" outlineLevel="0" collapsed="false">
      <c r="A1265" s="15" t="str">
        <f aca="false">IF(B1265="","",ROW()-1)</f>
        <v/>
      </c>
      <c r="B1265" s="16"/>
      <c r="C1265" s="16"/>
      <c r="D1265" s="16"/>
      <c r="E1265" s="16"/>
      <c r="F1265" s="17"/>
      <c r="G1265" s="16"/>
      <c r="H1265" s="16"/>
      <c r="I1265" s="16"/>
      <c r="J1265" s="16"/>
      <c r="K1265" s="16"/>
      <c r="L1265" s="16"/>
      <c r="M1265" s="18" t="str">
        <f aca="false">IF(OR(C1265="",D1265=""),"",IF(MOD(COUNTIFS($C$2:C1265,C1265,$D$2:D1265,D1265)*7,10)&lt;3,"teste","treino"))</f>
        <v/>
      </c>
      <c r="N1265" s="16"/>
      <c r="O1265" s="16"/>
      <c r="P1265" s="16"/>
      <c r="Q1265" s="17"/>
    </row>
    <row r="1266" customFormat="false" ht="15" hidden="false" customHeight="false" outlineLevel="0" collapsed="false">
      <c r="A1266" s="15" t="str">
        <f aca="false">IF(B1266="","",ROW()-1)</f>
        <v/>
      </c>
      <c r="B1266" s="16"/>
      <c r="C1266" s="16"/>
      <c r="D1266" s="16"/>
      <c r="E1266" s="16"/>
      <c r="F1266" s="17"/>
      <c r="G1266" s="16"/>
      <c r="H1266" s="16"/>
      <c r="I1266" s="16"/>
      <c r="J1266" s="16"/>
      <c r="K1266" s="16"/>
      <c r="L1266" s="16"/>
      <c r="M1266" s="18" t="str">
        <f aca="false">IF(OR(C1266="",D1266=""),"",IF(MOD(COUNTIFS($C$2:C1266,C1266,$D$2:D1266,D1266)*7,10)&lt;3,"teste","treino"))</f>
        <v/>
      </c>
      <c r="N1266" s="16"/>
      <c r="O1266" s="16"/>
      <c r="P1266" s="16"/>
      <c r="Q1266" s="17"/>
    </row>
    <row r="1267" customFormat="false" ht="15" hidden="false" customHeight="false" outlineLevel="0" collapsed="false">
      <c r="A1267" s="15" t="str">
        <f aca="false">IF(B1267="","",ROW()-1)</f>
        <v/>
      </c>
      <c r="B1267" s="16"/>
      <c r="C1267" s="16"/>
      <c r="D1267" s="16"/>
      <c r="E1267" s="16"/>
      <c r="F1267" s="17"/>
      <c r="G1267" s="16"/>
      <c r="H1267" s="16"/>
      <c r="I1267" s="16"/>
      <c r="J1267" s="16"/>
      <c r="K1267" s="16"/>
      <c r="L1267" s="16"/>
      <c r="M1267" s="18" t="str">
        <f aca="false">IF(OR(C1267="",D1267=""),"",IF(MOD(COUNTIFS($C$2:C1267,C1267,$D$2:D1267,D1267)*7,10)&lt;3,"teste","treino"))</f>
        <v/>
      </c>
      <c r="N1267" s="16"/>
      <c r="O1267" s="16"/>
      <c r="P1267" s="16"/>
      <c r="Q1267" s="17"/>
    </row>
    <row r="1268" customFormat="false" ht="15" hidden="false" customHeight="false" outlineLevel="0" collapsed="false">
      <c r="A1268" s="15" t="str">
        <f aca="false">IF(B1268="","",ROW()-1)</f>
        <v/>
      </c>
      <c r="B1268" s="16"/>
      <c r="C1268" s="16"/>
      <c r="D1268" s="16"/>
      <c r="E1268" s="16"/>
      <c r="F1268" s="17"/>
      <c r="G1268" s="16"/>
      <c r="H1268" s="16"/>
      <c r="I1268" s="16"/>
      <c r="J1268" s="16"/>
      <c r="K1268" s="16"/>
      <c r="L1268" s="16"/>
      <c r="M1268" s="18" t="str">
        <f aca="false">IF(OR(C1268="",D1268=""),"",IF(MOD(COUNTIFS($C$2:C1268,C1268,$D$2:D1268,D1268)*7,10)&lt;3,"teste","treino"))</f>
        <v/>
      </c>
      <c r="N1268" s="16"/>
      <c r="O1268" s="16"/>
      <c r="P1268" s="16"/>
      <c r="Q1268" s="17"/>
    </row>
    <row r="1269" customFormat="false" ht="15" hidden="false" customHeight="false" outlineLevel="0" collapsed="false">
      <c r="A1269" s="15" t="str">
        <f aca="false">IF(B1269="","",ROW()-1)</f>
        <v/>
      </c>
      <c r="B1269" s="16"/>
      <c r="C1269" s="16"/>
      <c r="D1269" s="16"/>
      <c r="E1269" s="16"/>
      <c r="F1269" s="17"/>
      <c r="G1269" s="16"/>
      <c r="H1269" s="16"/>
      <c r="I1269" s="16"/>
      <c r="J1269" s="16"/>
      <c r="K1269" s="16"/>
      <c r="L1269" s="16"/>
      <c r="M1269" s="18" t="str">
        <f aca="false">IF(OR(C1269="",D1269=""),"",IF(MOD(COUNTIFS($C$2:C1269,C1269,$D$2:D1269,D1269)*7,10)&lt;3,"teste","treino"))</f>
        <v/>
      </c>
      <c r="N1269" s="16"/>
      <c r="O1269" s="16"/>
      <c r="P1269" s="16"/>
      <c r="Q1269" s="17"/>
    </row>
    <row r="1270" customFormat="false" ht="15" hidden="false" customHeight="false" outlineLevel="0" collapsed="false">
      <c r="A1270" s="15" t="str">
        <f aca="false">IF(B1270="","",ROW()-1)</f>
        <v/>
      </c>
      <c r="B1270" s="16"/>
      <c r="C1270" s="16"/>
      <c r="D1270" s="16"/>
      <c r="E1270" s="16"/>
      <c r="F1270" s="17"/>
      <c r="G1270" s="16"/>
      <c r="H1270" s="16"/>
      <c r="I1270" s="16"/>
      <c r="J1270" s="16"/>
      <c r="K1270" s="16"/>
      <c r="L1270" s="16"/>
      <c r="M1270" s="18" t="str">
        <f aca="false">IF(OR(C1270="",D1270=""),"",IF(MOD(COUNTIFS($C$2:C1270,C1270,$D$2:D1270,D1270)*7,10)&lt;3,"teste","treino"))</f>
        <v/>
      </c>
      <c r="N1270" s="16"/>
      <c r="O1270" s="16"/>
      <c r="P1270" s="16"/>
      <c r="Q1270" s="17"/>
    </row>
    <row r="1271" customFormat="false" ht="15" hidden="false" customHeight="false" outlineLevel="0" collapsed="false">
      <c r="A1271" s="15" t="str">
        <f aca="false">IF(B1271="","",ROW()-1)</f>
        <v/>
      </c>
      <c r="B1271" s="16"/>
      <c r="C1271" s="16"/>
      <c r="D1271" s="16"/>
      <c r="E1271" s="16"/>
      <c r="F1271" s="17"/>
      <c r="G1271" s="16"/>
      <c r="H1271" s="16"/>
      <c r="I1271" s="16"/>
      <c r="J1271" s="16"/>
      <c r="K1271" s="16"/>
      <c r="L1271" s="16"/>
      <c r="M1271" s="18" t="str">
        <f aca="false">IF(OR(C1271="",D1271=""),"",IF(MOD(COUNTIFS($C$2:C1271,C1271,$D$2:D1271,D1271)*7,10)&lt;3,"teste","treino"))</f>
        <v/>
      </c>
      <c r="N1271" s="16"/>
      <c r="O1271" s="16"/>
      <c r="P1271" s="16"/>
      <c r="Q1271" s="17"/>
    </row>
    <row r="1272" customFormat="false" ht="15" hidden="false" customHeight="false" outlineLevel="0" collapsed="false">
      <c r="A1272" s="15" t="str">
        <f aca="false">IF(B1272="","",ROW()-1)</f>
        <v/>
      </c>
      <c r="B1272" s="16"/>
      <c r="C1272" s="16"/>
      <c r="D1272" s="16"/>
      <c r="E1272" s="16"/>
      <c r="F1272" s="17"/>
      <c r="G1272" s="16"/>
      <c r="H1272" s="16"/>
      <c r="I1272" s="16"/>
      <c r="J1272" s="16"/>
      <c r="K1272" s="16"/>
      <c r="L1272" s="16"/>
      <c r="M1272" s="18" t="str">
        <f aca="false">IF(OR(C1272="",D1272=""),"",IF(MOD(COUNTIFS($C$2:C1272,C1272,$D$2:D1272,D1272)*7,10)&lt;3,"teste","treino"))</f>
        <v/>
      </c>
      <c r="N1272" s="16"/>
      <c r="O1272" s="16"/>
      <c r="P1272" s="16"/>
      <c r="Q1272" s="17"/>
    </row>
    <row r="1273" customFormat="false" ht="15" hidden="false" customHeight="false" outlineLevel="0" collapsed="false">
      <c r="A1273" s="15" t="str">
        <f aca="false">IF(B1273="","",ROW()-1)</f>
        <v/>
      </c>
      <c r="B1273" s="16"/>
      <c r="C1273" s="16"/>
      <c r="D1273" s="16"/>
      <c r="E1273" s="16"/>
      <c r="F1273" s="17"/>
      <c r="G1273" s="16"/>
      <c r="H1273" s="16"/>
      <c r="I1273" s="16"/>
      <c r="J1273" s="16"/>
      <c r="K1273" s="16"/>
      <c r="L1273" s="16"/>
      <c r="M1273" s="18" t="str">
        <f aca="false">IF(OR(C1273="",D1273=""),"",IF(MOD(COUNTIFS($C$2:C1273,C1273,$D$2:D1273,D1273)*7,10)&lt;3,"teste","treino"))</f>
        <v/>
      </c>
      <c r="N1273" s="16"/>
      <c r="O1273" s="16"/>
      <c r="P1273" s="16"/>
      <c r="Q1273" s="17"/>
    </row>
    <row r="1274" customFormat="false" ht="15" hidden="false" customHeight="false" outlineLevel="0" collapsed="false">
      <c r="A1274" s="15" t="str">
        <f aca="false">IF(B1274="","",ROW()-1)</f>
        <v/>
      </c>
      <c r="B1274" s="16"/>
      <c r="C1274" s="16"/>
      <c r="D1274" s="16"/>
      <c r="E1274" s="16"/>
      <c r="F1274" s="17"/>
      <c r="G1274" s="16"/>
      <c r="H1274" s="16"/>
      <c r="I1274" s="16"/>
      <c r="J1274" s="16"/>
      <c r="K1274" s="16"/>
      <c r="L1274" s="16"/>
      <c r="M1274" s="18" t="str">
        <f aca="false">IF(OR(C1274="",D1274=""),"",IF(MOD(COUNTIFS($C$2:C1274,C1274,$D$2:D1274,D1274)*7,10)&lt;3,"teste","treino"))</f>
        <v/>
      </c>
      <c r="N1274" s="16"/>
      <c r="O1274" s="16"/>
      <c r="P1274" s="16"/>
      <c r="Q1274" s="17"/>
    </row>
    <row r="1275" customFormat="false" ht="15" hidden="false" customHeight="false" outlineLevel="0" collapsed="false">
      <c r="A1275" s="15" t="str">
        <f aca="false">IF(B1275="","",ROW()-1)</f>
        <v/>
      </c>
      <c r="B1275" s="16"/>
      <c r="C1275" s="16"/>
      <c r="D1275" s="16"/>
      <c r="E1275" s="16"/>
      <c r="F1275" s="17"/>
      <c r="G1275" s="16"/>
      <c r="H1275" s="16"/>
      <c r="I1275" s="16"/>
      <c r="J1275" s="16"/>
      <c r="K1275" s="16"/>
      <c r="L1275" s="16"/>
      <c r="M1275" s="18" t="str">
        <f aca="false">IF(OR(C1275="",D1275=""),"",IF(MOD(COUNTIFS($C$2:C1275,C1275,$D$2:D1275,D1275)*7,10)&lt;3,"teste","treino"))</f>
        <v/>
      </c>
      <c r="N1275" s="16"/>
      <c r="O1275" s="16"/>
      <c r="P1275" s="16"/>
      <c r="Q1275" s="17"/>
    </row>
    <row r="1276" customFormat="false" ht="15" hidden="false" customHeight="false" outlineLevel="0" collapsed="false">
      <c r="A1276" s="15" t="str">
        <f aca="false">IF(B1276="","",ROW()-1)</f>
        <v/>
      </c>
      <c r="B1276" s="16"/>
      <c r="C1276" s="16"/>
      <c r="D1276" s="16"/>
      <c r="E1276" s="16"/>
      <c r="F1276" s="17"/>
      <c r="G1276" s="16"/>
      <c r="H1276" s="16"/>
      <c r="I1276" s="16"/>
      <c r="J1276" s="16"/>
      <c r="K1276" s="16"/>
      <c r="L1276" s="16"/>
      <c r="M1276" s="18" t="str">
        <f aca="false">IF(OR(C1276="",D1276=""),"",IF(MOD(COUNTIFS($C$2:C1276,C1276,$D$2:D1276,D1276)*7,10)&lt;3,"teste","treino"))</f>
        <v/>
      </c>
      <c r="N1276" s="16"/>
      <c r="O1276" s="16"/>
      <c r="P1276" s="16"/>
      <c r="Q1276" s="17"/>
    </row>
    <row r="1277" customFormat="false" ht="15" hidden="false" customHeight="false" outlineLevel="0" collapsed="false">
      <c r="A1277" s="15" t="str">
        <f aca="false">IF(B1277="","",ROW()-1)</f>
        <v/>
      </c>
      <c r="B1277" s="16"/>
      <c r="C1277" s="16"/>
      <c r="D1277" s="16"/>
      <c r="E1277" s="16"/>
      <c r="F1277" s="17"/>
      <c r="G1277" s="16"/>
      <c r="H1277" s="16"/>
      <c r="I1277" s="16"/>
      <c r="J1277" s="16"/>
      <c r="K1277" s="16"/>
      <c r="L1277" s="16"/>
      <c r="M1277" s="18" t="str">
        <f aca="false">IF(OR(C1277="",D1277=""),"",IF(MOD(COUNTIFS($C$2:C1277,C1277,$D$2:D1277,D1277)*7,10)&lt;3,"teste","treino"))</f>
        <v/>
      </c>
      <c r="N1277" s="16"/>
      <c r="O1277" s="16"/>
      <c r="P1277" s="16"/>
      <c r="Q1277" s="17"/>
    </row>
    <row r="1278" customFormat="false" ht="15" hidden="false" customHeight="false" outlineLevel="0" collapsed="false">
      <c r="A1278" s="15" t="str">
        <f aca="false">IF(B1278="","",ROW()-1)</f>
        <v/>
      </c>
      <c r="B1278" s="16"/>
      <c r="C1278" s="16"/>
      <c r="D1278" s="16"/>
      <c r="E1278" s="16"/>
      <c r="F1278" s="17"/>
      <c r="G1278" s="16"/>
      <c r="H1278" s="16"/>
      <c r="I1278" s="16"/>
      <c r="J1278" s="16"/>
      <c r="K1278" s="16"/>
      <c r="L1278" s="16"/>
      <c r="M1278" s="18" t="str">
        <f aca="false">IF(OR(C1278="",D1278=""),"",IF(MOD(COUNTIFS($C$2:C1278,C1278,$D$2:D1278,D1278)*7,10)&lt;3,"teste","treino"))</f>
        <v/>
      </c>
      <c r="N1278" s="16"/>
      <c r="O1278" s="16"/>
      <c r="P1278" s="16"/>
      <c r="Q1278" s="17"/>
    </row>
    <row r="1279" customFormat="false" ht="15" hidden="false" customHeight="false" outlineLevel="0" collapsed="false">
      <c r="A1279" s="15" t="str">
        <f aca="false">IF(B1279="","",ROW()-1)</f>
        <v/>
      </c>
      <c r="B1279" s="16"/>
      <c r="C1279" s="16"/>
      <c r="D1279" s="16"/>
      <c r="E1279" s="16"/>
      <c r="F1279" s="17"/>
      <c r="G1279" s="16"/>
      <c r="H1279" s="16"/>
      <c r="I1279" s="16"/>
      <c r="J1279" s="16"/>
      <c r="K1279" s="16"/>
      <c r="L1279" s="16"/>
      <c r="M1279" s="18" t="str">
        <f aca="false">IF(OR(C1279="",D1279=""),"",IF(MOD(COUNTIFS($C$2:C1279,C1279,$D$2:D1279,D1279)*7,10)&lt;3,"teste","treino"))</f>
        <v/>
      </c>
      <c r="N1279" s="16"/>
      <c r="O1279" s="16"/>
      <c r="P1279" s="16"/>
      <c r="Q1279" s="17"/>
    </row>
    <row r="1280" customFormat="false" ht="15" hidden="false" customHeight="false" outlineLevel="0" collapsed="false">
      <c r="A1280" s="15" t="str">
        <f aca="false">IF(B1280="","",ROW()-1)</f>
        <v/>
      </c>
      <c r="B1280" s="16"/>
      <c r="C1280" s="16"/>
      <c r="D1280" s="16"/>
      <c r="E1280" s="16"/>
      <c r="F1280" s="17"/>
      <c r="G1280" s="16"/>
      <c r="H1280" s="16"/>
      <c r="I1280" s="16"/>
      <c r="J1280" s="16"/>
      <c r="K1280" s="16"/>
      <c r="L1280" s="16"/>
      <c r="M1280" s="18" t="str">
        <f aca="false">IF(OR(C1280="",D1280=""),"",IF(MOD(COUNTIFS($C$2:C1280,C1280,$D$2:D1280,D1280)*7,10)&lt;3,"teste","treino"))</f>
        <v/>
      </c>
      <c r="N1280" s="16"/>
      <c r="O1280" s="16"/>
      <c r="P1280" s="16"/>
      <c r="Q1280" s="17"/>
    </row>
    <row r="1281" customFormat="false" ht="15" hidden="false" customHeight="false" outlineLevel="0" collapsed="false">
      <c r="A1281" s="15" t="str">
        <f aca="false">IF(B1281="","",ROW()-1)</f>
        <v/>
      </c>
      <c r="B1281" s="16"/>
      <c r="C1281" s="16"/>
      <c r="D1281" s="16"/>
      <c r="E1281" s="16"/>
      <c r="F1281" s="17"/>
      <c r="G1281" s="16"/>
      <c r="H1281" s="16"/>
      <c r="I1281" s="16"/>
      <c r="J1281" s="16"/>
      <c r="K1281" s="16"/>
      <c r="L1281" s="16"/>
      <c r="M1281" s="18" t="str">
        <f aca="false">IF(OR(C1281="",D1281=""),"",IF(MOD(COUNTIFS($C$2:C1281,C1281,$D$2:D1281,D1281)*7,10)&lt;3,"teste","treino"))</f>
        <v/>
      </c>
      <c r="N1281" s="16"/>
      <c r="O1281" s="16"/>
      <c r="P1281" s="16"/>
      <c r="Q1281" s="17"/>
    </row>
    <row r="1282" customFormat="false" ht="15" hidden="false" customHeight="false" outlineLevel="0" collapsed="false">
      <c r="A1282" s="15" t="str">
        <f aca="false">IF(B1282="","",ROW()-1)</f>
        <v/>
      </c>
      <c r="B1282" s="16"/>
      <c r="C1282" s="16"/>
      <c r="D1282" s="16"/>
      <c r="E1282" s="16"/>
      <c r="F1282" s="17"/>
      <c r="G1282" s="16"/>
      <c r="H1282" s="16"/>
      <c r="I1282" s="16"/>
      <c r="J1282" s="16"/>
      <c r="K1282" s="16"/>
      <c r="L1282" s="16"/>
      <c r="M1282" s="18" t="str">
        <f aca="false">IF(OR(C1282="",D1282=""),"",IF(MOD(COUNTIFS($C$2:C1282,C1282,$D$2:D1282,D1282)*7,10)&lt;3,"teste","treino"))</f>
        <v/>
      </c>
      <c r="N1282" s="16"/>
      <c r="O1282" s="16"/>
      <c r="P1282" s="16"/>
      <c r="Q1282" s="17"/>
    </row>
    <row r="1283" customFormat="false" ht="15" hidden="false" customHeight="false" outlineLevel="0" collapsed="false">
      <c r="A1283" s="15" t="str">
        <f aca="false">IF(B1283="","",ROW()-1)</f>
        <v/>
      </c>
      <c r="B1283" s="16"/>
      <c r="C1283" s="16"/>
      <c r="D1283" s="16"/>
      <c r="E1283" s="16"/>
      <c r="F1283" s="17"/>
      <c r="G1283" s="16"/>
      <c r="H1283" s="16"/>
      <c r="I1283" s="16"/>
      <c r="J1283" s="16"/>
      <c r="K1283" s="16"/>
      <c r="L1283" s="16"/>
      <c r="M1283" s="18" t="str">
        <f aca="false">IF(OR(C1283="",D1283=""),"",IF(MOD(COUNTIFS($C$2:C1283,C1283,$D$2:D1283,D1283)*7,10)&lt;3,"teste","treino"))</f>
        <v/>
      </c>
      <c r="N1283" s="16"/>
      <c r="O1283" s="16"/>
      <c r="P1283" s="16"/>
      <c r="Q1283" s="17"/>
    </row>
    <row r="1284" customFormat="false" ht="15" hidden="false" customHeight="false" outlineLevel="0" collapsed="false">
      <c r="A1284" s="15" t="str">
        <f aca="false">IF(B1284="","",ROW()-1)</f>
        <v/>
      </c>
      <c r="B1284" s="16"/>
      <c r="C1284" s="16"/>
      <c r="D1284" s="16"/>
      <c r="E1284" s="16"/>
      <c r="F1284" s="17"/>
      <c r="G1284" s="16"/>
      <c r="H1284" s="16"/>
      <c r="I1284" s="16"/>
      <c r="J1284" s="16"/>
      <c r="K1284" s="16"/>
      <c r="L1284" s="16"/>
      <c r="M1284" s="18" t="str">
        <f aca="false">IF(OR(C1284="",D1284=""),"",IF(MOD(COUNTIFS($C$2:C1284,C1284,$D$2:D1284,D1284)*7,10)&lt;3,"teste","treino"))</f>
        <v/>
      </c>
      <c r="N1284" s="16"/>
      <c r="O1284" s="16"/>
      <c r="P1284" s="16"/>
      <c r="Q1284" s="17"/>
    </row>
    <row r="1285" customFormat="false" ht="15" hidden="false" customHeight="false" outlineLevel="0" collapsed="false">
      <c r="A1285" s="15" t="str">
        <f aca="false">IF(B1285="","",ROW()-1)</f>
        <v/>
      </c>
      <c r="B1285" s="16"/>
      <c r="C1285" s="16"/>
      <c r="D1285" s="16"/>
      <c r="E1285" s="16"/>
      <c r="F1285" s="17"/>
      <c r="G1285" s="16"/>
      <c r="H1285" s="16"/>
      <c r="I1285" s="16"/>
      <c r="J1285" s="16"/>
      <c r="K1285" s="16"/>
      <c r="L1285" s="16"/>
      <c r="M1285" s="18" t="str">
        <f aca="false">IF(OR(C1285="",D1285=""),"",IF(MOD(COUNTIFS($C$2:C1285,C1285,$D$2:D1285,D1285)*7,10)&lt;3,"teste","treino"))</f>
        <v/>
      </c>
      <c r="N1285" s="16"/>
      <c r="O1285" s="16"/>
      <c r="P1285" s="16"/>
      <c r="Q1285" s="17"/>
    </row>
    <row r="1286" customFormat="false" ht="15" hidden="false" customHeight="false" outlineLevel="0" collapsed="false">
      <c r="A1286" s="15" t="str">
        <f aca="false">IF(B1286="","",ROW()-1)</f>
        <v/>
      </c>
      <c r="B1286" s="16"/>
      <c r="C1286" s="16"/>
      <c r="D1286" s="16"/>
      <c r="E1286" s="16"/>
      <c r="F1286" s="17"/>
      <c r="G1286" s="16"/>
      <c r="H1286" s="16"/>
      <c r="I1286" s="16"/>
      <c r="J1286" s="16"/>
      <c r="K1286" s="16"/>
      <c r="L1286" s="16"/>
      <c r="M1286" s="18" t="str">
        <f aca="false">IF(OR(C1286="",D1286=""),"",IF(MOD(COUNTIFS($C$2:C1286,C1286,$D$2:D1286,D1286)*7,10)&lt;3,"teste","treino"))</f>
        <v/>
      </c>
      <c r="N1286" s="16"/>
      <c r="O1286" s="16"/>
      <c r="P1286" s="16"/>
      <c r="Q1286" s="17"/>
    </row>
    <row r="1287" customFormat="false" ht="15" hidden="false" customHeight="false" outlineLevel="0" collapsed="false">
      <c r="A1287" s="15" t="str">
        <f aca="false">IF(B1287="","",ROW()-1)</f>
        <v/>
      </c>
      <c r="B1287" s="16"/>
      <c r="C1287" s="16"/>
      <c r="D1287" s="16"/>
      <c r="E1287" s="16"/>
      <c r="F1287" s="17"/>
      <c r="G1287" s="16"/>
      <c r="H1287" s="16"/>
      <c r="I1287" s="16"/>
      <c r="J1287" s="16"/>
      <c r="K1287" s="16"/>
      <c r="L1287" s="16"/>
      <c r="M1287" s="18" t="str">
        <f aca="false">IF(OR(C1287="",D1287=""),"",IF(MOD(COUNTIFS($C$2:C1287,C1287,$D$2:D1287,D1287)*7,10)&lt;3,"teste","treino"))</f>
        <v/>
      </c>
      <c r="N1287" s="16"/>
      <c r="O1287" s="16"/>
      <c r="P1287" s="16"/>
      <c r="Q1287" s="17"/>
    </row>
    <row r="1288" customFormat="false" ht="15" hidden="false" customHeight="false" outlineLevel="0" collapsed="false">
      <c r="A1288" s="15" t="str">
        <f aca="false">IF(B1288="","",ROW()-1)</f>
        <v/>
      </c>
      <c r="B1288" s="16"/>
      <c r="C1288" s="16"/>
      <c r="D1288" s="16"/>
      <c r="E1288" s="16"/>
      <c r="F1288" s="17"/>
      <c r="G1288" s="16"/>
      <c r="H1288" s="16"/>
      <c r="I1288" s="16"/>
      <c r="J1288" s="16"/>
      <c r="K1288" s="16"/>
      <c r="L1288" s="16"/>
      <c r="M1288" s="18" t="str">
        <f aca="false">IF(OR(C1288="",D1288=""),"",IF(MOD(COUNTIFS($C$2:C1288,C1288,$D$2:D1288,D1288)*7,10)&lt;3,"teste","treino"))</f>
        <v/>
      </c>
      <c r="N1288" s="16"/>
      <c r="O1288" s="16"/>
      <c r="P1288" s="16"/>
      <c r="Q1288" s="17"/>
    </row>
    <row r="1289" customFormat="false" ht="15" hidden="false" customHeight="false" outlineLevel="0" collapsed="false">
      <c r="A1289" s="15" t="str">
        <f aca="false">IF(B1289="","",ROW()-1)</f>
        <v/>
      </c>
      <c r="B1289" s="16"/>
      <c r="C1289" s="16"/>
      <c r="D1289" s="16"/>
      <c r="E1289" s="16"/>
      <c r="F1289" s="17"/>
      <c r="G1289" s="16"/>
      <c r="H1289" s="16"/>
      <c r="I1289" s="16"/>
      <c r="J1289" s="16"/>
      <c r="K1289" s="16"/>
      <c r="L1289" s="16"/>
      <c r="M1289" s="18" t="str">
        <f aca="false">IF(OR(C1289="",D1289=""),"",IF(MOD(COUNTIFS($C$2:C1289,C1289,$D$2:D1289,D1289)*7,10)&lt;3,"teste","treino"))</f>
        <v/>
      </c>
      <c r="N1289" s="16"/>
      <c r="O1289" s="16"/>
      <c r="P1289" s="16"/>
      <c r="Q1289" s="17"/>
    </row>
    <row r="1290" customFormat="false" ht="15" hidden="false" customHeight="false" outlineLevel="0" collapsed="false">
      <c r="A1290" s="15" t="str">
        <f aca="false">IF(B1290="","",ROW()-1)</f>
        <v/>
      </c>
      <c r="B1290" s="16"/>
      <c r="C1290" s="16"/>
      <c r="D1290" s="16"/>
      <c r="E1290" s="16"/>
      <c r="F1290" s="17"/>
      <c r="G1290" s="16"/>
      <c r="H1290" s="16"/>
      <c r="I1290" s="16"/>
      <c r="J1290" s="16"/>
      <c r="K1290" s="16"/>
      <c r="L1290" s="16"/>
      <c r="M1290" s="18" t="str">
        <f aca="false">IF(OR(C1290="",D1290=""),"",IF(MOD(COUNTIFS($C$2:C1290,C1290,$D$2:D1290,D1290)*7,10)&lt;3,"teste","treino"))</f>
        <v/>
      </c>
      <c r="N1290" s="16"/>
      <c r="O1290" s="16"/>
      <c r="P1290" s="16"/>
      <c r="Q1290" s="17"/>
    </row>
    <row r="1291" customFormat="false" ht="15" hidden="false" customHeight="false" outlineLevel="0" collapsed="false">
      <c r="A1291" s="15" t="str">
        <f aca="false">IF(B1291="","",ROW()-1)</f>
        <v/>
      </c>
      <c r="B1291" s="16"/>
      <c r="C1291" s="16"/>
      <c r="D1291" s="16"/>
      <c r="E1291" s="16"/>
      <c r="F1291" s="17"/>
      <c r="G1291" s="16"/>
      <c r="H1291" s="16"/>
      <c r="I1291" s="16"/>
      <c r="J1291" s="16"/>
      <c r="K1291" s="16"/>
      <c r="L1291" s="16"/>
      <c r="M1291" s="18" t="str">
        <f aca="false">IF(OR(C1291="",D1291=""),"",IF(MOD(COUNTIFS($C$2:C1291,C1291,$D$2:D1291,D1291)*7,10)&lt;3,"teste","treino"))</f>
        <v/>
      </c>
      <c r="N1291" s="16"/>
      <c r="O1291" s="16"/>
      <c r="P1291" s="16"/>
      <c r="Q1291" s="17"/>
    </row>
    <row r="1292" customFormat="false" ht="15" hidden="false" customHeight="false" outlineLevel="0" collapsed="false">
      <c r="A1292" s="15" t="str">
        <f aca="false">IF(B1292="","",ROW()-1)</f>
        <v/>
      </c>
      <c r="B1292" s="16"/>
      <c r="C1292" s="16"/>
      <c r="D1292" s="16"/>
      <c r="E1292" s="16"/>
      <c r="F1292" s="17"/>
      <c r="G1292" s="16"/>
      <c r="H1292" s="16"/>
      <c r="I1292" s="16"/>
      <c r="J1292" s="16"/>
      <c r="K1292" s="16"/>
      <c r="L1292" s="16"/>
      <c r="M1292" s="18" t="str">
        <f aca="false">IF(OR(C1292="",D1292=""),"",IF(MOD(COUNTIFS($C$2:C1292,C1292,$D$2:D1292,D1292)*7,10)&lt;3,"teste","treino"))</f>
        <v/>
      </c>
      <c r="N1292" s="16"/>
      <c r="O1292" s="16"/>
      <c r="P1292" s="16"/>
      <c r="Q1292" s="17"/>
    </row>
    <row r="1293" customFormat="false" ht="15" hidden="false" customHeight="false" outlineLevel="0" collapsed="false">
      <c r="A1293" s="15" t="str">
        <f aca="false">IF(B1293="","",ROW()-1)</f>
        <v/>
      </c>
      <c r="B1293" s="16"/>
      <c r="C1293" s="16"/>
      <c r="D1293" s="16"/>
      <c r="E1293" s="16"/>
      <c r="F1293" s="17"/>
      <c r="G1293" s="16"/>
      <c r="H1293" s="16"/>
      <c r="I1293" s="16"/>
      <c r="J1293" s="16"/>
      <c r="K1293" s="16"/>
      <c r="L1293" s="16"/>
      <c r="M1293" s="18" t="str">
        <f aca="false">IF(OR(C1293="",D1293=""),"",IF(MOD(COUNTIFS($C$2:C1293,C1293,$D$2:D1293,D1293)*7,10)&lt;3,"teste","treino"))</f>
        <v/>
      </c>
      <c r="N1293" s="16"/>
      <c r="O1293" s="16"/>
      <c r="P1293" s="16"/>
      <c r="Q1293" s="17"/>
    </row>
    <row r="1294" customFormat="false" ht="15" hidden="false" customHeight="false" outlineLevel="0" collapsed="false">
      <c r="A1294" s="15" t="str">
        <f aca="false">IF(B1294="","",ROW()-1)</f>
        <v/>
      </c>
      <c r="B1294" s="16"/>
      <c r="C1294" s="16"/>
      <c r="D1294" s="16"/>
      <c r="E1294" s="16"/>
      <c r="F1294" s="17"/>
      <c r="G1294" s="16"/>
      <c r="H1294" s="16"/>
      <c r="I1294" s="16"/>
      <c r="J1294" s="16"/>
      <c r="K1294" s="16"/>
      <c r="L1294" s="16"/>
      <c r="M1294" s="18" t="str">
        <f aca="false">IF(OR(C1294="",D1294=""),"",IF(MOD(COUNTIFS($C$2:C1294,C1294,$D$2:D1294,D1294)*7,10)&lt;3,"teste","treino"))</f>
        <v/>
      </c>
      <c r="N1294" s="16"/>
      <c r="O1294" s="16"/>
      <c r="P1294" s="16"/>
      <c r="Q1294" s="17"/>
    </row>
    <row r="1295" customFormat="false" ht="15" hidden="false" customHeight="false" outlineLevel="0" collapsed="false">
      <c r="A1295" s="15" t="str">
        <f aca="false">IF(B1295="","",ROW()-1)</f>
        <v/>
      </c>
      <c r="B1295" s="16"/>
      <c r="C1295" s="16"/>
      <c r="D1295" s="16"/>
      <c r="E1295" s="16"/>
      <c r="F1295" s="17"/>
      <c r="G1295" s="16"/>
      <c r="H1295" s="16"/>
      <c r="I1295" s="16"/>
      <c r="J1295" s="16"/>
      <c r="K1295" s="16"/>
      <c r="L1295" s="16"/>
      <c r="M1295" s="18" t="str">
        <f aca="false">IF(OR(C1295="",D1295=""),"",IF(MOD(COUNTIFS($C$2:C1295,C1295,$D$2:D1295,D1295)*7,10)&lt;3,"teste","treino"))</f>
        <v/>
      </c>
      <c r="N1295" s="16"/>
      <c r="O1295" s="16"/>
      <c r="P1295" s="16"/>
      <c r="Q1295" s="17"/>
    </row>
    <row r="1296" customFormat="false" ht="15" hidden="false" customHeight="false" outlineLevel="0" collapsed="false">
      <c r="A1296" s="15" t="str">
        <f aca="false">IF(B1296="","",ROW()-1)</f>
        <v/>
      </c>
      <c r="B1296" s="16"/>
      <c r="C1296" s="16"/>
      <c r="D1296" s="16"/>
      <c r="E1296" s="16"/>
      <c r="F1296" s="17"/>
      <c r="G1296" s="16"/>
      <c r="H1296" s="16"/>
      <c r="I1296" s="16"/>
      <c r="J1296" s="16"/>
      <c r="K1296" s="16"/>
      <c r="L1296" s="16"/>
      <c r="M1296" s="18" t="str">
        <f aca="false">IF(OR(C1296="",D1296=""),"",IF(MOD(COUNTIFS($C$2:C1296,C1296,$D$2:D1296,D1296)*7,10)&lt;3,"teste","treino"))</f>
        <v/>
      </c>
      <c r="N1296" s="16"/>
      <c r="O1296" s="16"/>
      <c r="P1296" s="16"/>
      <c r="Q1296" s="17"/>
    </row>
    <row r="1297" customFormat="false" ht="15" hidden="false" customHeight="false" outlineLevel="0" collapsed="false">
      <c r="A1297" s="15" t="str">
        <f aca="false">IF(B1297="","",ROW()-1)</f>
        <v/>
      </c>
      <c r="B1297" s="16"/>
      <c r="C1297" s="16"/>
      <c r="D1297" s="16"/>
      <c r="E1297" s="16"/>
      <c r="F1297" s="17"/>
      <c r="G1297" s="16"/>
      <c r="H1297" s="16"/>
      <c r="I1297" s="16"/>
      <c r="J1297" s="16"/>
      <c r="K1297" s="16"/>
      <c r="L1297" s="16"/>
      <c r="M1297" s="18" t="str">
        <f aca="false">IF(OR(C1297="",D1297=""),"",IF(MOD(COUNTIFS($C$2:C1297,C1297,$D$2:D1297,D1297)*7,10)&lt;3,"teste","treino"))</f>
        <v/>
      </c>
      <c r="N1297" s="16"/>
      <c r="O1297" s="16"/>
      <c r="P1297" s="16"/>
      <c r="Q1297" s="17"/>
    </row>
    <row r="1298" customFormat="false" ht="15" hidden="false" customHeight="false" outlineLevel="0" collapsed="false">
      <c r="A1298" s="15" t="str">
        <f aca="false">IF(B1298="","",ROW()-1)</f>
        <v/>
      </c>
      <c r="B1298" s="16"/>
      <c r="C1298" s="16"/>
      <c r="D1298" s="16"/>
      <c r="E1298" s="16"/>
      <c r="F1298" s="17"/>
      <c r="G1298" s="16"/>
      <c r="H1298" s="16"/>
      <c r="I1298" s="16"/>
      <c r="J1298" s="16"/>
      <c r="K1298" s="16"/>
      <c r="L1298" s="16"/>
      <c r="M1298" s="18" t="str">
        <f aca="false">IF(OR(C1298="",D1298=""),"",IF(MOD(COUNTIFS($C$2:C1298,C1298,$D$2:D1298,D1298)*7,10)&lt;3,"teste","treino"))</f>
        <v/>
      </c>
      <c r="N1298" s="16"/>
      <c r="O1298" s="16"/>
      <c r="P1298" s="16"/>
      <c r="Q1298" s="17"/>
    </row>
    <row r="1299" customFormat="false" ht="15" hidden="false" customHeight="false" outlineLevel="0" collapsed="false">
      <c r="A1299" s="15" t="str">
        <f aca="false">IF(B1299="","",ROW()-1)</f>
        <v/>
      </c>
      <c r="B1299" s="16"/>
      <c r="C1299" s="16"/>
      <c r="D1299" s="16"/>
      <c r="E1299" s="16"/>
      <c r="F1299" s="17"/>
      <c r="G1299" s="16"/>
      <c r="H1299" s="16"/>
      <c r="I1299" s="16"/>
      <c r="J1299" s="16"/>
      <c r="K1299" s="16"/>
      <c r="L1299" s="16"/>
      <c r="M1299" s="18" t="str">
        <f aca="false">IF(OR(C1299="",D1299=""),"",IF(MOD(COUNTIFS($C$2:C1299,C1299,$D$2:D1299,D1299)*7,10)&lt;3,"teste","treino"))</f>
        <v/>
      </c>
      <c r="N1299" s="16"/>
      <c r="O1299" s="16"/>
      <c r="P1299" s="16"/>
      <c r="Q1299" s="17"/>
    </row>
    <row r="1300" customFormat="false" ht="15" hidden="false" customHeight="false" outlineLevel="0" collapsed="false">
      <c r="A1300" s="15" t="str">
        <f aca="false">IF(B1300="","",ROW()-1)</f>
        <v/>
      </c>
      <c r="B1300" s="16"/>
      <c r="C1300" s="16"/>
      <c r="D1300" s="16"/>
      <c r="E1300" s="16"/>
      <c r="F1300" s="17"/>
      <c r="G1300" s="16"/>
      <c r="H1300" s="16"/>
      <c r="I1300" s="16"/>
      <c r="J1300" s="16"/>
      <c r="K1300" s="16"/>
      <c r="L1300" s="16"/>
      <c r="M1300" s="18" t="str">
        <f aca="false">IF(OR(C1300="",D1300=""),"",IF(MOD(COUNTIFS($C$2:C1300,C1300,$D$2:D1300,D1300)*7,10)&lt;3,"teste","treino"))</f>
        <v/>
      </c>
      <c r="N1300" s="16"/>
      <c r="O1300" s="16"/>
      <c r="P1300" s="16"/>
      <c r="Q1300" s="17"/>
    </row>
    <row r="1301" customFormat="false" ht="15" hidden="false" customHeight="false" outlineLevel="0" collapsed="false">
      <c r="A1301" s="15" t="str">
        <f aca="false">IF(B1301="","",ROW()-1)</f>
        <v/>
      </c>
      <c r="B1301" s="16"/>
      <c r="C1301" s="16"/>
      <c r="D1301" s="16"/>
      <c r="E1301" s="16"/>
      <c r="F1301" s="17"/>
      <c r="G1301" s="16"/>
      <c r="H1301" s="16"/>
      <c r="I1301" s="16"/>
      <c r="J1301" s="16"/>
      <c r="K1301" s="16"/>
      <c r="L1301" s="16"/>
      <c r="M1301" s="18" t="str">
        <f aca="false">IF(OR(C1301="",D1301=""),"",IF(MOD(COUNTIFS($C$2:C1301,C1301,$D$2:D1301,D1301)*7,10)&lt;3,"teste","treino"))</f>
        <v/>
      </c>
      <c r="N1301" s="16"/>
      <c r="O1301" s="16"/>
      <c r="P1301" s="16"/>
      <c r="Q1301" s="17"/>
    </row>
    <row r="1302" customFormat="false" ht="15" hidden="false" customHeight="false" outlineLevel="0" collapsed="false">
      <c r="A1302" s="15" t="str">
        <f aca="false">IF(B1302="","",ROW()-1)</f>
        <v/>
      </c>
      <c r="B1302" s="16"/>
      <c r="C1302" s="16"/>
      <c r="D1302" s="16"/>
      <c r="E1302" s="16"/>
      <c r="F1302" s="17"/>
      <c r="G1302" s="16"/>
      <c r="H1302" s="16"/>
      <c r="I1302" s="16"/>
      <c r="J1302" s="16"/>
      <c r="K1302" s="16"/>
      <c r="L1302" s="16"/>
      <c r="M1302" s="18" t="str">
        <f aca="false">IF(OR(C1302="",D1302=""),"",IF(MOD(COUNTIFS($C$2:C1302,C1302,$D$2:D1302,D1302)*7,10)&lt;3,"teste","treino"))</f>
        <v/>
      </c>
      <c r="N1302" s="16"/>
      <c r="O1302" s="16"/>
      <c r="P1302" s="16"/>
      <c r="Q1302" s="17"/>
    </row>
    <row r="1303" customFormat="false" ht="15" hidden="false" customHeight="false" outlineLevel="0" collapsed="false">
      <c r="A1303" s="15" t="str">
        <f aca="false">IF(B1303="","",ROW()-1)</f>
        <v/>
      </c>
      <c r="B1303" s="16"/>
      <c r="C1303" s="16"/>
      <c r="D1303" s="16"/>
      <c r="E1303" s="16"/>
      <c r="F1303" s="17"/>
      <c r="G1303" s="16"/>
      <c r="H1303" s="16"/>
      <c r="I1303" s="16"/>
      <c r="J1303" s="16"/>
      <c r="K1303" s="16"/>
      <c r="L1303" s="16"/>
      <c r="M1303" s="18" t="str">
        <f aca="false">IF(OR(C1303="",D1303=""),"",IF(MOD(COUNTIFS($C$2:C1303,C1303,$D$2:D1303,D1303)*7,10)&lt;3,"teste","treino"))</f>
        <v/>
      </c>
      <c r="N1303" s="16"/>
      <c r="O1303" s="16"/>
      <c r="P1303" s="16"/>
      <c r="Q1303" s="17"/>
    </row>
    <row r="1304" customFormat="false" ht="15" hidden="false" customHeight="false" outlineLevel="0" collapsed="false">
      <c r="A1304" s="15" t="str">
        <f aca="false">IF(B1304="","",ROW()-1)</f>
        <v/>
      </c>
      <c r="B1304" s="16"/>
      <c r="C1304" s="16"/>
      <c r="D1304" s="16"/>
      <c r="E1304" s="16"/>
      <c r="F1304" s="17"/>
      <c r="G1304" s="16"/>
      <c r="H1304" s="16"/>
      <c r="I1304" s="16"/>
      <c r="J1304" s="16"/>
      <c r="K1304" s="16"/>
      <c r="L1304" s="16"/>
      <c r="M1304" s="18" t="str">
        <f aca="false">IF(OR(C1304="",D1304=""),"",IF(MOD(COUNTIFS($C$2:C1304,C1304,$D$2:D1304,D1304)*7,10)&lt;3,"teste","treino"))</f>
        <v/>
      </c>
      <c r="N1304" s="16"/>
      <c r="O1304" s="16"/>
      <c r="P1304" s="16"/>
      <c r="Q1304" s="17"/>
    </row>
    <row r="1305" customFormat="false" ht="15" hidden="false" customHeight="false" outlineLevel="0" collapsed="false">
      <c r="A1305" s="15" t="str">
        <f aca="false">IF(B1305="","",ROW()-1)</f>
        <v/>
      </c>
      <c r="B1305" s="16"/>
      <c r="C1305" s="16"/>
      <c r="D1305" s="16"/>
      <c r="E1305" s="16"/>
      <c r="F1305" s="17"/>
      <c r="G1305" s="16"/>
      <c r="H1305" s="16"/>
      <c r="I1305" s="16"/>
      <c r="J1305" s="16"/>
      <c r="K1305" s="16"/>
      <c r="L1305" s="16"/>
      <c r="M1305" s="18" t="str">
        <f aca="false">IF(OR(C1305="",D1305=""),"",IF(MOD(COUNTIFS($C$2:C1305,C1305,$D$2:D1305,D1305)*7,10)&lt;3,"teste","treino"))</f>
        <v/>
      </c>
      <c r="N1305" s="16"/>
      <c r="O1305" s="16"/>
      <c r="P1305" s="16"/>
      <c r="Q1305" s="17"/>
    </row>
    <row r="1306" customFormat="false" ht="15" hidden="false" customHeight="false" outlineLevel="0" collapsed="false">
      <c r="A1306" s="15" t="str">
        <f aca="false">IF(B1306="","",ROW()-1)</f>
        <v/>
      </c>
      <c r="B1306" s="16"/>
      <c r="C1306" s="16"/>
      <c r="D1306" s="16"/>
      <c r="E1306" s="16"/>
      <c r="F1306" s="17"/>
      <c r="G1306" s="16"/>
      <c r="H1306" s="16"/>
      <c r="I1306" s="16"/>
      <c r="J1306" s="16"/>
      <c r="K1306" s="16"/>
      <c r="L1306" s="16"/>
      <c r="M1306" s="18" t="str">
        <f aca="false">IF(OR(C1306="",D1306=""),"",IF(MOD(COUNTIFS($C$2:C1306,C1306,$D$2:D1306,D1306)*7,10)&lt;3,"teste","treino"))</f>
        <v/>
      </c>
      <c r="N1306" s="16"/>
      <c r="O1306" s="16"/>
      <c r="P1306" s="16"/>
      <c r="Q1306" s="17"/>
    </row>
    <row r="1307" customFormat="false" ht="15" hidden="false" customHeight="false" outlineLevel="0" collapsed="false">
      <c r="A1307" s="15" t="str">
        <f aca="false">IF(B1307="","",ROW()-1)</f>
        <v/>
      </c>
      <c r="B1307" s="16"/>
      <c r="C1307" s="16"/>
      <c r="D1307" s="16"/>
      <c r="E1307" s="16"/>
      <c r="F1307" s="17"/>
      <c r="G1307" s="16"/>
      <c r="H1307" s="16"/>
      <c r="I1307" s="16"/>
      <c r="J1307" s="16"/>
      <c r="K1307" s="16"/>
      <c r="L1307" s="16"/>
      <c r="M1307" s="18" t="str">
        <f aca="false">IF(OR(C1307="",D1307=""),"",IF(MOD(COUNTIFS($C$2:C1307,C1307,$D$2:D1307,D1307)*7,10)&lt;3,"teste","treino"))</f>
        <v/>
      </c>
      <c r="N1307" s="16"/>
      <c r="O1307" s="16"/>
      <c r="P1307" s="16"/>
      <c r="Q1307" s="17"/>
    </row>
    <row r="1308" customFormat="false" ht="15" hidden="false" customHeight="false" outlineLevel="0" collapsed="false">
      <c r="A1308" s="15" t="str">
        <f aca="false">IF(B1308="","",ROW()-1)</f>
        <v/>
      </c>
      <c r="B1308" s="16"/>
      <c r="C1308" s="16"/>
      <c r="D1308" s="16"/>
      <c r="E1308" s="16"/>
      <c r="F1308" s="17"/>
      <c r="G1308" s="16"/>
      <c r="H1308" s="16"/>
      <c r="I1308" s="16"/>
      <c r="J1308" s="16"/>
      <c r="K1308" s="16"/>
      <c r="L1308" s="16"/>
      <c r="M1308" s="18" t="str">
        <f aca="false">IF(OR(C1308="",D1308=""),"",IF(MOD(COUNTIFS($C$2:C1308,C1308,$D$2:D1308,D1308)*7,10)&lt;3,"teste","treino"))</f>
        <v/>
      </c>
      <c r="N1308" s="16"/>
      <c r="O1308" s="16"/>
      <c r="P1308" s="16"/>
      <c r="Q1308" s="17"/>
    </row>
    <row r="1309" customFormat="false" ht="15" hidden="false" customHeight="false" outlineLevel="0" collapsed="false">
      <c r="A1309" s="15" t="str">
        <f aca="false">IF(B1309="","",ROW()-1)</f>
        <v/>
      </c>
      <c r="B1309" s="16"/>
      <c r="C1309" s="16"/>
      <c r="D1309" s="16"/>
      <c r="E1309" s="16"/>
      <c r="F1309" s="17"/>
      <c r="G1309" s="16"/>
      <c r="H1309" s="16"/>
      <c r="I1309" s="16"/>
      <c r="J1309" s="16"/>
      <c r="K1309" s="16"/>
      <c r="L1309" s="16"/>
      <c r="M1309" s="18" t="str">
        <f aca="false">IF(OR(C1309="",D1309=""),"",IF(MOD(COUNTIFS($C$2:C1309,C1309,$D$2:D1309,D1309)*7,10)&lt;3,"teste","treino"))</f>
        <v/>
      </c>
      <c r="N1309" s="16"/>
      <c r="O1309" s="16"/>
      <c r="P1309" s="16"/>
      <c r="Q1309" s="17"/>
    </row>
    <row r="1310" customFormat="false" ht="15" hidden="false" customHeight="false" outlineLevel="0" collapsed="false">
      <c r="A1310" s="15" t="str">
        <f aca="false">IF(B1310="","",ROW()-1)</f>
        <v/>
      </c>
      <c r="B1310" s="16"/>
      <c r="C1310" s="16"/>
      <c r="D1310" s="16"/>
      <c r="E1310" s="16"/>
      <c r="F1310" s="17"/>
      <c r="G1310" s="16"/>
      <c r="H1310" s="16"/>
      <c r="I1310" s="16"/>
      <c r="J1310" s="16"/>
      <c r="K1310" s="16"/>
      <c r="L1310" s="16"/>
      <c r="M1310" s="18" t="str">
        <f aca="false">IF(OR(C1310="",D1310=""),"",IF(MOD(COUNTIFS($C$2:C1310,C1310,$D$2:D1310,D1310)*7,10)&lt;3,"teste","treino"))</f>
        <v/>
      </c>
      <c r="N1310" s="16"/>
      <c r="O1310" s="16"/>
      <c r="P1310" s="16"/>
      <c r="Q1310" s="17"/>
    </row>
    <row r="1311" customFormat="false" ht="15" hidden="false" customHeight="false" outlineLevel="0" collapsed="false">
      <c r="A1311" s="15" t="str">
        <f aca="false">IF(B1311="","",ROW()-1)</f>
        <v/>
      </c>
      <c r="B1311" s="16"/>
      <c r="C1311" s="16"/>
      <c r="D1311" s="16"/>
      <c r="E1311" s="16"/>
      <c r="F1311" s="17"/>
      <c r="G1311" s="16"/>
      <c r="H1311" s="16"/>
      <c r="I1311" s="16"/>
      <c r="J1311" s="16"/>
      <c r="K1311" s="16"/>
      <c r="L1311" s="16"/>
      <c r="M1311" s="18" t="str">
        <f aca="false">IF(OR(C1311="",D1311=""),"",IF(MOD(COUNTIFS($C$2:C1311,C1311,$D$2:D1311,D1311)*7,10)&lt;3,"teste","treino"))</f>
        <v/>
      </c>
      <c r="N1311" s="16"/>
      <c r="O1311" s="16"/>
      <c r="P1311" s="16"/>
      <c r="Q1311" s="17"/>
    </row>
    <row r="1312" customFormat="false" ht="15" hidden="false" customHeight="false" outlineLevel="0" collapsed="false">
      <c r="A1312" s="15" t="str">
        <f aca="false">IF(B1312="","",ROW()-1)</f>
        <v/>
      </c>
      <c r="B1312" s="16"/>
      <c r="C1312" s="16"/>
      <c r="D1312" s="16"/>
      <c r="E1312" s="16"/>
      <c r="F1312" s="17"/>
      <c r="G1312" s="16"/>
      <c r="H1312" s="16"/>
      <c r="I1312" s="16"/>
      <c r="J1312" s="16"/>
      <c r="K1312" s="16"/>
      <c r="L1312" s="16"/>
      <c r="M1312" s="18" t="str">
        <f aca="false">IF(OR(C1312="",D1312=""),"",IF(MOD(COUNTIFS($C$2:C1312,C1312,$D$2:D1312,D1312)*7,10)&lt;3,"teste","treino"))</f>
        <v/>
      </c>
      <c r="N1312" s="16"/>
      <c r="O1312" s="16"/>
      <c r="P1312" s="16"/>
      <c r="Q1312" s="17"/>
    </row>
    <row r="1313" customFormat="false" ht="15" hidden="false" customHeight="false" outlineLevel="0" collapsed="false">
      <c r="A1313" s="15" t="str">
        <f aca="false">IF(B1313="","",ROW()-1)</f>
        <v/>
      </c>
      <c r="B1313" s="16"/>
      <c r="C1313" s="16"/>
      <c r="D1313" s="16"/>
      <c r="E1313" s="16"/>
      <c r="F1313" s="17"/>
      <c r="G1313" s="16"/>
      <c r="H1313" s="16"/>
      <c r="I1313" s="16"/>
      <c r="J1313" s="16"/>
      <c r="K1313" s="16"/>
      <c r="L1313" s="16"/>
      <c r="M1313" s="18" t="str">
        <f aca="false">IF(OR(C1313="",D1313=""),"",IF(MOD(COUNTIFS($C$2:C1313,C1313,$D$2:D1313,D1313)*7,10)&lt;3,"teste","treino"))</f>
        <v/>
      </c>
      <c r="N1313" s="16"/>
      <c r="O1313" s="16"/>
      <c r="P1313" s="16"/>
      <c r="Q1313" s="17"/>
    </row>
    <row r="1314" customFormat="false" ht="15" hidden="false" customHeight="false" outlineLevel="0" collapsed="false">
      <c r="A1314" s="15" t="str">
        <f aca="false">IF(B1314="","",ROW()-1)</f>
        <v/>
      </c>
      <c r="B1314" s="16"/>
      <c r="C1314" s="16"/>
      <c r="D1314" s="16"/>
      <c r="E1314" s="16"/>
      <c r="F1314" s="17"/>
      <c r="G1314" s="16"/>
      <c r="H1314" s="16"/>
      <c r="I1314" s="16"/>
      <c r="J1314" s="16"/>
      <c r="K1314" s="16"/>
      <c r="L1314" s="16"/>
      <c r="M1314" s="18" t="str">
        <f aca="false">IF(OR(C1314="",D1314=""),"",IF(MOD(COUNTIFS($C$2:C1314,C1314,$D$2:D1314,D1314)*7,10)&lt;3,"teste","treino"))</f>
        <v/>
      </c>
      <c r="N1314" s="16"/>
      <c r="O1314" s="16"/>
      <c r="P1314" s="16"/>
      <c r="Q1314" s="17"/>
    </row>
    <row r="1315" customFormat="false" ht="15" hidden="false" customHeight="false" outlineLevel="0" collapsed="false">
      <c r="A1315" s="15" t="str">
        <f aca="false">IF(B1315="","",ROW()-1)</f>
        <v/>
      </c>
      <c r="B1315" s="16"/>
      <c r="C1315" s="16"/>
      <c r="D1315" s="16"/>
      <c r="E1315" s="16"/>
      <c r="F1315" s="17"/>
      <c r="G1315" s="16"/>
      <c r="H1315" s="16"/>
      <c r="I1315" s="16"/>
      <c r="J1315" s="16"/>
      <c r="K1315" s="16"/>
      <c r="L1315" s="16"/>
      <c r="M1315" s="18" t="str">
        <f aca="false">IF(OR(C1315="",D1315=""),"",IF(MOD(COUNTIFS($C$2:C1315,C1315,$D$2:D1315,D1315)*7,10)&lt;3,"teste","treino"))</f>
        <v/>
      </c>
      <c r="N1315" s="16"/>
      <c r="O1315" s="16"/>
      <c r="P1315" s="16"/>
      <c r="Q1315" s="17"/>
    </row>
    <row r="1316" customFormat="false" ht="15" hidden="false" customHeight="false" outlineLevel="0" collapsed="false">
      <c r="A1316" s="15" t="str">
        <f aca="false">IF(B1316="","",ROW()-1)</f>
        <v/>
      </c>
      <c r="B1316" s="16"/>
      <c r="C1316" s="16"/>
      <c r="D1316" s="16"/>
      <c r="E1316" s="16"/>
      <c r="F1316" s="17"/>
      <c r="G1316" s="16"/>
      <c r="H1316" s="16"/>
      <c r="I1316" s="16"/>
      <c r="J1316" s="16"/>
      <c r="K1316" s="16"/>
      <c r="L1316" s="16"/>
      <c r="M1316" s="18" t="str">
        <f aca="false">IF(OR(C1316="",D1316=""),"",IF(MOD(COUNTIFS($C$2:C1316,C1316,$D$2:D1316,D1316)*7,10)&lt;3,"teste","treino"))</f>
        <v/>
      </c>
      <c r="N1316" s="16"/>
      <c r="O1316" s="16"/>
      <c r="P1316" s="16"/>
      <c r="Q1316" s="17"/>
    </row>
    <row r="1317" customFormat="false" ht="15" hidden="false" customHeight="false" outlineLevel="0" collapsed="false">
      <c r="A1317" s="15" t="str">
        <f aca="false">IF(B1317="","",ROW()-1)</f>
        <v/>
      </c>
      <c r="B1317" s="16"/>
      <c r="C1317" s="16"/>
      <c r="D1317" s="16"/>
      <c r="E1317" s="16"/>
      <c r="F1317" s="17"/>
      <c r="G1317" s="16"/>
      <c r="H1317" s="16"/>
      <c r="I1317" s="16"/>
      <c r="J1317" s="16"/>
      <c r="K1317" s="16"/>
      <c r="L1317" s="16"/>
      <c r="M1317" s="18" t="str">
        <f aca="false">IF(OR(C1317="",D1317=""),"",IF(MOD(COUNTIFS($C$2:C1317,C1317,$D$2:D1317,D1317)*7,10)&lt;3,"teste","treino"))</f>
        <v/>
      </c>
      <c r="N1317" s="16"/>
      <c r="O1317" s="16"/>
      <c r="P1317" s="16"/>
      <c r="Q1317" s="17"/>
    </row>
    <row r="1318" customFormat="false" ht="15" hidden="false" customHeight="false" outlineLevel="0" collapsed="false">
      <c r="A1318" s="15" t="str">
        <f aca="false">IF(B1318="","",ROW()-1)</f>
        <v/>
      </c>
      <c r="B1318" s="16"/>
      <c r="C1318" s="16"/>
      <c r="D1318" s="16"/>
      <c r="E1318" s="16"/>
      <c r="F1318" s="17"/>
      <c r="G1318" s="16"/>
      <c r="H1318" s="16"/>
      <c r="I1318" s="16"/>
      <c r="J1318" s="16"/>
      <c r="K1318" s="16"/>
      <c r="L1318" s="16"/>
      <c r="M1318" s="18" t="str">
        <f aca="false">IF(OR(C1318="",D1318=""),"",IF(MOD(COUNTIFS($C$2:C1318,C1318,$D$2:D1318,D1318)*7,10)&lt;3,"teste","treino"))</f>
        <v/>
      </c>
      <c r="N1318" s="16"/>
      <c r="O1318" s="16"/>
      <c r="P1318" s="16"/>
      <c r="Q1318" s="17"/>
    </row>
    <row r="1319" customFormat="false" ht="15" hidden="false" customHeight="false" outlineLevel="0" collapsed="false">
      <c r="A1319" s="15" t="str">
        <f aca="false">IF(B1319="","",ROW()-1)</f>
        <v/>
      </c>
      <c r="B1319" s="16"/>
      <c r="C1319" s="16"/>
      <c r="D1319" s="16"/>
      <c r="E1319" s="16"/>
      <c r="F1319" s="17"/>
      <c r="G1319" s="16"/>
      <c r="H1319" s="16"/>
      <c r="I1319" s="16"/>
      <c r="J1319" s="16"/>
      <c r="K1319" s="16"/>
      <c r="L1319" s="16"/>
      <c r="M1319" s="18" t="str">
        <f aca="false">IF(OR(C1319="",D1319=""),"",IF(MOD(COUNTIFS($C$2:C1319,C1319,$D$2:D1319,D1319)*7,10)&lt;3,"teste","treino"))</f>
        <v/>
      </c>
      <c r="N1319" s="16"/>
      <c r="O1319" s="16"/>
      <c r="P1319" s="16"/>
      <c r="Q1319" s="17"/>
    </row>
    <row r="1320" customFormat="false" ht="15" hidden="false" customHeight="false" outlineLevel="0" collapsed="false">
      <c r="A1320" s="15" t="str">
        <f aca="false">IF(B1320="","",ROW()-1)</f>
        <v/>
      </c>
      <c r="B1320" s="16"/>
      <c r="C1320" s="16"/>
      <c r="D1320" s="16"/>
      <c r="E1320" s="16"/>
      <c r="F1320" s="17"/>
      <c r="G1320" s="16"/>
      <c r="H1320" s="16"/>
      <c r="I1320" s="16"/>
      <c r="J1320" s="16"/>
      <c r="K1320" s="16"/>
      <c r="L1320" s="16"/>
      <c r="M1320" s="18" t="str">
        <f aca="false">IF(OR(C1320="",D1320=""),"",IF(MOD(COUNTIFS($C$2:C1320,C1320,$D$2:D1320,D1320)*7,10)&lt;3,"teste","treino"))</f>
        <v/>
      </c>
      <c r="N1320" s="16"/>
      <c r="O1320" s="16"/>
      <c r="P1320" s="16"/>
      <c r="Q1320" s="17"/>
    </row>
    <row r="1321" customFormat="false" ht="15" hidden="false" customHeight="false" outlineLevel="0" collapsed="false">
      <c r="A1321" s="15" t="str">
        <f aca="false">IF(B1321="","",ROW()-1)</f>
        <v/>
      </c>
      <c r="B1321" s="16"/>
      <c r="C1321" s="16"/>
      <c r="D1321" s="16"/>
      <c r="E1321" s="16"/>
      <c r="F1321" s="17"/>
      <c r="G1321" s="16"/>
      <c r="H1321" s="16"/>
      <c r="I1321" s="16"/>
      <c r="J1321" s="16"/>
      <c r="K1321" s="16"/>
      <c r="L1321" s="16"/>
      <c r="M1321" s="18" t="str">
        <f aca="false">IF(OR(C1321="",D1321=""),"",IF(MOD(COUNTIFS($C$2:C1321,C1321,$D$2:D1321,D1321)*7,10)&lt;3,"teste","treino"))</f>
        <v/>
      </c>
      <c r="N1321" s="16"/>
      <c r="O1321" s="16"/>
      <c r="P1321" s="16"/>
      <c r="Q1321" s="17"/>
    </row>
    <row r="1322" customFormat="false" ht="15" hidden="false" customHeight="false" outlineLevel="0" collapsed="false">
      <c r="A1322" s="15" t="str">
        <f aca="false">IF(B1322="","",ROW()-1)</f>
        <v/>
      </c>
      <c r="B1322" s="16"/>
      <c r="C1322" s="16"/>
      <c r="D1322" s="16"/>
      <c r="E1322" s="16"/>
      <c r="F1322" s="17"/>
      <c r="G1322" s="16"/>
      <c r="H1322" s="16"/>
      <c r="I1322" s="16"/>
      <c r="J1322" s="16"/>
      <c r="K1322" s="16"/>
      <c r="L1322" s="16"/>
      <c r="M1322" s="18" t="str">
        <f aca="false">IF(OR(C1322="",D1322=""),"",IF(MOD(COUNTIFS($C$2:C1322,C1322,$D$2:D1322,D1322)*7,10)&lt;3,"teste","treino"))</f>
        <v/>
      </c>
      <c r="N1322" s="16"/>
      <c r="O1322" s="16"/>
      <c r="P1322" s="16"/>
      <c r="Q1322" s="17"/>
    </row>
    <row r="1323" customFormat="false" ht="15" hidden="false" customHeight="false" outlineLevel="0" collapsed="false">
      <c r="A1323" s="15" t="str">
        <f aca="false">IF(B1323="","",ROW()-1)</f>
        <v/>
      </c>
      <c r="B1323" s="16"/>
      <c r="C1323" s="16"/>
      <c r="D1323" s="16"/>
      <c r="E1323" s="16"/>
      <c r="F1323" s="17"/>
      <c r="G1323" s="16"/>
      <c r="H1323" s="16"/>
      <c r="I1323" s="16"/>
      <c r="J1323" s="16"/>
      <c r="K1323" s="16"/>
      <c r="L1323" s="16"/>
      <c r="M1323" s="18" t="str">
        <f aca="false">IF(OR(C1323="",D1323=""),"",IF(MOD(COUNTIFS($C$2:C1323,C1323,$D$2:D1323,D1323)*7,10)&lt;3,"teste","treino"))</f>
        <v/>
      </c>
      <c r="N1323" s="16"/>
      <c r="O1323" s="16"/>
      <c r="P1323" s="16"/>
      <c r="Q1323" s="17"/>
    </row>
    <row r="1324" customFormat="false" ht="15" hidden="false" customHeight="false" outlineLevel="0" collapsed="false">
      <c r="A1324" s="15" t="str">
        <f aca="false">IF(B1324="","",ROW()-1)</f>
        <v/>
      </c>
      <c r="B1324" s="16"/>
      <c r="C1324" s="16"/>
      <c r="D1324" s="16"/>
      <c r="E1324" s="16"/>
      <c r="F1324" s="17"/>
      <c r="G1324" s="16"/>
      <c r="H1324" s="16"/>
      <c r="I1324" s="16"/>
      <c r="J1324" s="16"/>
      <c r="K1324" s="16"/>
      <c r="L1324" s="16"/>
      <c r="M1324" s="18" t="str">
        <f aca="false">IF(OR(C1324="",D1324=""),"",IF(MOD(COUNTIFS($C$2:C1324,C1324,$D$2:D1324,D1324)*7,10)&lt;3,"teste","treino"))</f>
        <v/>
      </c>
      <c r="N1324" s="16"/>
      <c r="O1324" s="16"/>
      <c r="P1324" s="16"/>
      <c r="Q1324" s="17"/>
    </row>
    <row r="1325" customFormat="false" ht="15" hidden="false" customHeight="false" outlineLevel="0" collapsed="false">
      <c r="A1325" s="15" t="str">
        <f aca="false">IF(B1325="","",ROW()-1)</f>
        <v/>
      </c>
      <c r="B1325" s="16"/>
      <c r="C1325" s="16"/>
      <c r="D1325" s="16"/>
      <c r="E1325" s="16"/>
      <c r="F1325" s="17"/>
      <c r="G1325" s="16"/>
      <c r="H1325" s="16"/>
      <c r="I1325" s="16"/>
      <c r="J1325" s="16"/>
      <c r="K1325" s="16"/>
      <c r="L1325" s="16"/>
      <c r="M1325" s="18" t="str">
        <f aca="false">IF(OR(C1325="",D1325=""),"",IF(MOD(COUNTIFS($C$2:C1325,C1325,$D$2:D1325,D1325)*7,10)&lt;3,"teste","treino"))</f>
        <v/>
      </c>
      <c r="N1325" s="16"/>
      <c r="O1325" s="16"/>
      <c r="P1325" s="16"/>
      <c r="Q1325" s="17"/>
    </row>
    <row r="1326" customFormat="false" ht="15" hidden="false" customHeight="false" outlineLevel="0" collapsed="false">
      <c r="A1326" s="15" t="str">
        <f aca="false">IF(B1326="","",ROW()-1)</f>
        <v/>
      </c>
      <c r="B1326" s="16"/>
      <c r="C1326" s="16"/>
      <c r="D1326" s="16"/>
      <c r="E1326" s="16"/>
      <c r="F1326" s="17"/>
      <c r="G1326" s="16"/>
      <c r="H1326" s="16"/>
      <c r="I1326" s="16"/>
      <c r="J1326" s="16"/>
      <c r="K1326" s="16"/>
      <c r="L1326" s="16"/>
      <c r="M1326" s="18" t="str">
        <f aca="false">IF(OR(C1326="",D1326=""),"",IF(MOD(COUNTIFS($C$2:C1326,C1326,$D$2:D1326,D1326)*7,10)&lt;3,"teste","treino"))</f>
        <v/>
      </c>
      <c r="N1326" s="16"/>
      <c r="O1326" s="16"/>
      <c r="P1326" s="16"/>
      <c r="Q1326" s="17"/>
    </row>
    <row r="1327" customFormat="false" ht="15" hidden="false" customHeight="false" outlineLevel="0" collapsed="false">
      <c r="A1327" s="15" t="str">
        <f aca="false">IF(B1327="","",ROW()-1)</f>
        <v/>
      </c>
      <c r="B1327" s="16"/>
      <c r="C1327" s="16"/>
      <c r="D1327" s="16"/>
      <c r="E1327" s="16"/>
      <c r="F1327" s="17"/>
      <c r="G1327" s="16"/>
      <c r="H1327" s="16"/>
      <c r="I1327" s="16"/>
      <c r="J1327" s="16"/>
      <c r="K1327" s="16"/>
      <c r="L1327" s="16"/>
      <c r="M1327" s="18" t="str">
        <f aca="false">IF(OR(C1327="",D1327=""),"",IF(MOD(COUNTIFS($C$2:C1327,C1327,$D$2:D1327,D1327)*7,10)&lt;3,"teste","treino"))</f>
        <v/>
      </c>
      <c r="N1327" s="16"/>
      <c r="O1327" s="16"/>
      <c r="P1327" s="16"/>
      <c r="Q1327" s="17"/>
    </row>
    <row r="1328" customFormat="false" ht="15" hidden="false" customHeight="false" outlineLevel="0" collapsed="false">
      <c r="A1328" s="15" t="str">
        <f aca="false">IF(B1328="","",ROW()-1)</f>
        <v/>
      </c>
      <c r="B1328" s="16"/>
      <c r="C1328" s="16"/>
      <c r="D1328" s="16"/>
      <c r="E1328" s="16"/>
      <c r="F1328" s="17"/>
      <c r="G1328" s="16"/>
      <c r="H1328" s="16"/>
      <c r="I1328" s="16"/>
      <c r="J1328" s="16"/>
      <c r="K1328" s="16"/>
      <c r="L1328" s="16"/>
      <c r="M1328" s="18" t="str">
        <f aca="false">IF(OR(C1328="",D1328=""),"",IF(MOD(COUNTIFS($C$2:C1328,C1328,$D$2:D1328,D1328)*7,10)&lt;3,"teste","treino"))</f>
        <v/>
      </c>
      <c r="N1328" s="16"/>
      <c r="O1328" s="16"/>
      <c r="P1328" s="16"/>
      <c r="Q1328" s="17"/>
    </row>
    <row r="1329" customFormat="false" ht="15" hidden="false" customHeight="false" outlineLevel="0" collapsed="false">
      <c r="A1329" s="15" t="str">
        <f aca="false">IF(B1329="","",ROW()-1)</f>
        <v/>
      </c>
      <c r="B1329" s="16"/>
      <c r="C1329" s="16"/>
      <c r="D1329" s="16"/>
      <c r="E1329" s="16"/>
      <c r="F1329" s="17"/>
      <c r="G1329" s="16"/>
      <c r="H1329" s="16"/>
      <c r="I1329" s="16"/>
      <c r="J1329" s="16"/>
      <c r="K1329" s="16"/>
      <c r="L1329" s="16"/>
      <c r="M1329" s="18" t="str">
        <f aca="false">IF(OR(C1329="",D1329=""),"",IF(MOD(COUNTIFS($C$2:C1329,C1329,$D$2:D1329,D1329)*7,10)&lt;3,"teste","treino"))</f>
        <v/>
      </c>
      <c r="N1329" s="16"/>
      <c r="O1329" s="16"/>
      <c r="P1329" s="16"/>
      <c r="Q1329" s="17"/>
    </row>
    <row r="1330" customFormat="false" ht="15" hidden="false" customHeight="false" outlineLevel="0" collapsed="false">
      <c r="A1330" s="15" t="str">
        <f aca="false">IF(B1330="","",ROW()-1)</f>
        <v/>
      </c>
      <c r="B1330" s="16"/>
      <c r="C1330" s="16"/>
      <c r="D1330" s="16"/>
      <c r="E1330" s="16"/>
      <c r="F1330" s="17"/>
      <c r="G1330" s="16"/>
      <c r="H1330" s="16"/>
      <c r="I1330" s="16"/>
      <c r="J1330" s="16"/>
      <c r="K1330" s="16"/>
      <c r="L1330" s="16"/>
      <c r="M1330" s="18" t="str">
        <f aca="false">IF(OR(C1330="",D1330=""),"",IF(MOD(COUNTIFS($C$2:C1330,C1330,$D$2:D1330,D1330)*7,10)&lt;3,"teste","treino"))</f>
        <v/>
      </c>
      <c r="N1330" s="16"/>
      <c r="O1330" s="16"/>
      <c r="P1330" s="16"/>
      <c r="Q1330" s="17"/>
    </row>
    <row r="1331" customFormat="false" ht="15" hidden="false" customHeight="false" outlineLevel="0" collapsed="false">
      <c r="A1331" s="15" t="str">
        <f aca="false">IF(B1331="","",ROW()-1)</f>
        <v/>
      </c>
      <c r="B1331" s="16"/>
      <c r="C1331" s="16"/>
      <c r="D1331" s="16"/>
      <c r="E1331" s="16"/>
      <c r="F1331" s="17"/>
      <c r="G1331" s="16"/>
      <c r="H1331" s="16"/>
      <c r="I1331" s="16"/>
      <c r="J1331" s="16"/>
      <c r="K1331" s="16"/>
      <c r="L1331" s="16"/>
      <c r="M1331" s="18" t="str">
        <f aca="false">IF(OR(C1331="",D1331=""),"",IF(MOD(COUNTIFS($C$2:C1331,C1331,$D$2:D1331,D1331)*7,10)&lt;3,"teste","treino"))</f>
        <v/>
      </c>
      <c r="N1331" s="16"/>
      <c r="O1331" s="16"/>
      <c r="P1331" s="16"/>
      <c r="Q1331" s="17"/>
    </row>
    <row r="1332" customFormat="false" ht="15" hidden="false" customHeight="false" outlineLevel="0" collapsed="false">
      <c r="A1332" s="15" t="str">
        <f aca="false">IF(B1332="","",ROW()-1)</f>
        <v/>
      </c>
      <c r="B1332" s="16"/>
      <c r="C1332" s="16"/>
      <c r="D1332" s="16"/>
      <c r="E1332" s="16"/>
      <c r="F1332" s="17"/>
      <c r="G1332" s="16"/>
      <c r="H1332" s="16"/>
      <c r="I1332" s="16"/>
      <c r="J1332" s="16"/>
      <c r="K1332" s="16"/>
      <c r="L1332" s="16"/>
      <c r="M1332" s="18" t="str">
        <f aca="false">IF(OR(C1332="",D1332=""),"",IF(MOD(COUNTIFS($C$2:C1332,C1332,$D$2:D1332,D1332)*7,10)&lt;3,"teste","treino"))</f>
        <v/>
      </c>
      <c r="N1332" s="16"/>
      <c r="O1332" s="16"/>
      <c r="P1332" s="16"/>
      <c r="Q1332" s="17"/>
    </row>
    <row r="1333" customFormat="false" ht="15" hidden="false" customHeight="false" outlineLevel="0" collapsed="false">
      <c r="A1333" s="15" t="str">
        <f aca="false">IF(B1333="","",ROW()-1)</f>
        <v/>
      </c>
      <c r="B1333" s="16"/>
      <c r="C1333" s="16"/>
      <c r="D1333" s="16"/>
      <c r="E1333" s="16"/>
      <c r="F1333" s="17"/>
      <c r="G1333" s="16"/>
      <c r="H1333" s="16"/>
      <c r="I1333" s="16"/>
      <c r="J1333" s="16"/>
      <c r="K1333" s="16"/>
      <c r="L1333" s="16"/>
      <c r="M1333" s="18" t="str">
        <f aca="false">IF(OR(C1333="",D1333=""),"",IF(MOD(COUNTIFS($C$2:C1333,C1333,$D$2:D1333,D1333)*7,10)&lt;3,"teste","treino"))</f>
        <v/>
      </c>
      <c r="N1333" s="16"/>
      <c r="O1333" s="16"/>
      <c r="P1333" s="16"/>
      <c r="Q1333" s="17"/>
    </row>
    <row r="1334" customFormat="false" ht="15" hidden="false" customHeight="false" outlineLevel="0" collapsed="false">
      <c r="A1334" s="15" t="str">
        <f aca="false">IF(B1334="","",ROW()-1)</f>
        <v/>
      </c>
      <c r="B1334" s="16"/>
      <c r="C1334" s="16"/>
      <c r="D1334" s="16"/>
      <c r="E1334" s="16"/>
      <c r="F1334" s="17"/>
      <c r="G1334" s="16"/>
      <c r="H1334" s="16"/>
      <c r="I1334" s="16"/>
      <c r="J1334" s="16"/>
      <c r="K1334" s="16"/>
      <c r="L1334" s="16"/>
      <c r="M1334" s="18" t="str">
        <f aca="false">IF(OR(C1334="",D1334=""),"",IF(MOD(COUNTIFS($C$2:C1334,C1334,$D$2:D1334,D1334)*7,10)&lt;3,"teste","treino"))</f>
        <v/>
      </c>
      <c r="N1334" s="16"/>
      <c r="O1334" s="16"/>
      <c r="P1334" s="16"/>
      <c r="Q1334" s="17"/>
    </row>
    <row r="1335" customFormat="false" ht="15" hidden="false" customHeight="false" outlineLevel="0" collapsed="false">
      <c r="A1335" s="15" t="str">
        <f aca="false">IF(B1335="","",ROW()-1)</f>
        <v/>
      </c>
      <c r="B1335" s="16"/>
      <c r="C1335" s="16"/>
      <c r="D1335" s="16"/>
      <c r="E1335" s="16"/>
      <c r="F1335" s="17"/>
      <c r="G1335" s="16"/>
      <c r="H1335" s="16"/>
      <c r="I1335" s="16"/>
      <c r="J1335" s="16"/>
      <c r="K1335" s="16"/>
      <c r="L1335" s="16"/>
      <c r="M1335" s="18" t="str">
        <f aca="false">IF(OR(C1335="",D1335=""),"",IF(MOD(COUNTIFS($C$2:C1335,C1335,$D$2:D1335,D1335)*7,10)&lt;3,"teste","treino"))</f>
        <v/>
      </c>
      <c r="N1335" s="16"/>
      <c r="O1335" s="16"/>
      <c r="P1335" s="16"/>
      <c r="Q1335" s="17"/>
    </row>
    <row r="1336" customFormat="false" ht="15" hidden="false" customHeight="false" outlineLevel="0" collapsed="false">
      <c r="A1336" s="15" t="str">
        <f aca="false">IF(B1336="","",ROW()-1)</f>
        <v/>
      </c>
      <c r="B1336" s="16"/>
      <c r="C1336" s="16"/>
      <c r="D1336" s="16"/>
      <c r="E1336" s="16"/>
      <c r="F1336" s="17"/>
      <c r="G1336" s="16"/>
      <c r="H1336" s="16"/>
      <c r="I1336" s="16"/>
      <c r="J1336" s="16"/>
      <c r="K1336" s="16"/>
      <c r="L1336" s="16"/>
      <c r="M1336" s="18" t="str">
        <f aca="false">IF(OR(C1336="",D1336=""),"",IF(MOD(COUNTIFS($C$2:C1336,C1336,$D$2:D1336,D1336)*7,10)&lt;3,"teste","treino"))</f>
        <v/>
      </c>
      <c r="N1336" s="16"/>
      <c r="O1336" s="16"/>
      <c r="P1336" s="16"/>
      <c r="Q1336" s="17"/>
    </row>
    <row r="1337" customFormat="false" ht="15" hidden="false" customHeight="false" outlineLevel="0" collapsed="false">
      <c r="A1337" s="15" t="str">
        <f aca="false">IF(B1337="","",ROW()-1)</f>
        <v/>
      </c>
      <c r="B1337" s="16"/>
      <c r="C1337" s="16"/>
      <c r="D1337" s="16"/>
      <c r="E1337" s="16"/>
      <c r="F1337" s="17"/>
      <c r="G1337" s="16"/>
      <c r="H1337" s="16"/>
      <c r="I1337" s="16"/>
      <c r="J1337" s="16"/>
      <c r="K1337" s="16"/>
      <c r="L1337" s="16"/>
      <c r="M1337" s="18" t="str">
        <f aca="false">IF(OR(C1337="",D1337=""),"",IF(MOD(COUNTIFS($C$2:C1337,C1337,$D$2:D1337,D1337)*7,10)&lt;3,"teste","treino"))</f>
        <v/>
      </c>
      <c r="N1337" s="16"/>
      <c r="O1337" s="16"/>
      <c r="P1337" s="16"/>
      <c r="Q1337" s="17"/>
    </row>
    <row r="1338" customFormat="false" ht="15" hidden="false" customHeight="false" outlineLevel="0" collapsed="false">
      <c r="A1338" s="15" t="str">
        <f aca="false">IF(B1338="","",ROW()-1)</f>
        <v/>
      </c>
      <c r="B1338" s="16"/>
      <c r="C1338" s="16"/>
      <c r="D1338" s="16"/>
      <c r="E1338" s="16"/>
      <c r="F1338" s="17"/>
      <c r="G1338" s="16"/>
      <c r="H1338" s="16"/>
      <c r="I1338" s="16"/>
      <c r="J1338" s="16"/>
      <c r="K1338" s="16"/>
      <c r="L1338" s="16"/>
      <c r="M1338" s="18" t="str">
        <f aca="false">IF(OR(C1338="",D1338=""),"",IF(MOD(COUNTIFS($C$2:C1338,C1338,$D$2:D1338,D1338)*7,10)&lt;3,"teste","treino"))</f>
        <v/>
      </c>
      <c r="N1338" s="16"/>
      <c r="O1338" s="16"/>
      <c r="P1338" s="16"/>
      <c r="Q1338" s="17"/>
    </row>
    <row r="1339" customFormat="false" ht="15" hidden="false" customHeight="false" outlineLevel="0" collapsed="false">
      <c r="A1339" s="15" t="str">
        <f aca="false">IF(B1339="","",ROW()-1)</f>
        <v/>
      </c>
      <c r="B1339" s="16"/>
      <c r="C1339" s="16"/>
      <c r="D1339" s="16"/>
      <c r="E1339" s="16"/>
      <c r="F1339" s="17"/>
      <c r="G1339" s="16"/>
      <c r="H1339" s="16"/>
      <c r="I1339" s="16"/>
      <c r="J1339" s="16"/>
      <c r="K1339" s="16"/>
      <c r="L1339" s="16"/>
      <c r="M1339" s="18" t="str">
        <f aca="false">IF(OR(C1339="",D1339=""),"",IF(MOD(COUNTIFS($C$2:C1339,C1339,$D$2:D1339,D1339)*7,10)&lt;3,"teste","treino"))</f>
        <v/>
      </c>
      <c r="N1339" s="16"/>
      <c r="O1339" s="16"/>
      <c r="P1339" s="16"/>
      <c r="Q1339" s="17"/>
    </row>
    <row r="1340" customFormat="false" ht="15" hidden="false" customHeight="false" outlineLevel="0" collapsed="false">
      <c r="A1340" s="15" t="str">
        <f aca="false">IF(B1340="","",ROW()-1)</f>
        <v/>
      </c>
      <c r="B1340" s="16"/>
      <c r="C1340" s="16"/>
      <c r="D1340" s="16"/>
      <c r="E1340" s="16"/>
      <c r="F1340" s="17"/>
      <c r="G1340" s="16"/>
      <c r="H1340" s="16"/>
      <c r="I1340" s="16"/>
      <c r="J1340" s="16"/>
      <c r="K1340" s="16"/>
      <c r="L1340" s="16"/>
      <c r="M1340" s="18" t="str">
        <f aca="false">IF(OR(C1340="",D1340=""),"",IF(MOD(COUNTIFS($C$2:C1340,C1340,$D$2:D1340,D1340)*7,10)&lt;3,"teste","treino"))</f>
        <v/>
      </c>
      <c r="N1340" s="16"/>
      <c r="O1340" s="16"/>
      <c r="P1340" s="16"/>
      <c r="Q1340" s="17"/>
    </row>
    <row r="1341" customFormat="false" ht="15" hidden="false" customHeight="false" outlineLevel="0" collapsed="false">
      <c r="A1341" s="15" t="str">
        <f aca="false">IF(B1341="","",ROW()-1)</f>
        <v/>
      </c>
      <c r="B1341" s="16"/>
      <c r="C1341" s="16"/>
      <c r="D1341" s="16"/>
      <c r="E1341" s="16"/>
      <c r="F1341" s="17"/>
      <c r="G1341" s="16"/>
      <c r="H1341" s="16"/>
      <c r="I1341" s="16"/>
      <c r="J1341" s="16"/>
      <c r="K1341" s="16"/>
      <c r="L1341" s="16"/>
      <c r="M1341" s="18" t="str">
        <f aca="false">IF(OR(C1341="",D1341=""),"",IF(MOD(COUNTIFS($C$2:C1341,C1341,$D$2:D1341,D1341)*7,10)&lt;3,"teste","treino"))</f>
        <v/>
      </c>
      <c r="N1341" s="16"/>
      <c r="O1341" s="16"/>
      <c r="P1341" s="16"/>
      <c r="Q1341" s="17"/>
    </row>
    <row r="1342" customFormat="false" ht="15" hidden="false" customHeight="false" outlineLevel="0" collapsed="false">
      <c r="A1342" s="15" t="str">
        <f aca="false">IF(B1342="","",ROW()-1)</f>
        <v/>
      </c>
      <c r="B1342" s="16"/>
      <c r="C1342" s="16"/>
      <c r="D1342" s="16"/>
      <c r="E1342" s="16"/>
      <c r="F1342" s="17"/>
      <c r="G1342" s="16"/>
      <c r="H1342" s="16"/>
      <c r="I1342" s="16"/>
      <c r="J1342" s="16"/>
      <c r="K1342" s="16"/>
      <c r="L1342" s="16"/>
      <c r="M1342" s="18" t="str">
        <f aca="false">IF(OR(C1342="",D1342=""),"",IF(MOD(COUNTIFS($C$2:C1342,C1342,$D$2:D1342,D1342)*7,10)&lt;3,"teste","treino"))</f>
        <v/>
      </c>
      <c r="N1342" s="16"/>
      <c r="O1342" s="16"/>
      <c r="P1342" s="16"/>
      <c r="Q1342" s="17"/>
    </row>
    <row r="1343" customFormat="false" ht="15" hidden="false" customHeight="false" outlineLevel="0" collapsed="false">
      <c r="A1343" s="15" t="str">
        <f aca="false">IF(B1343="","",ROW()-1)</f>
        <v/>
      </c>
      <c r="B1343" s="16"/>
      <c r="C1343" s="16"/>
      <c r="D1343" s="16"/>
      <c r="E1343" s="16"/>
      <c r="F1343" s="17"/>
      <c r="G1343" s="16"/>
      <c r="H1343" s="16"/>
      <c r="I1343" s="16"/>
      <c r="J1343" s="16"/>
      <c r="K1343" s="16"/>
      <c r="L1343" s="16"/>
      <c r="M1343" s="18" t="str">
        <f aca="false">IF(OR(C1343="",D1343=""),"",IF(MOD(COUNTIFS($C$2:C1343,C1343,$D$2:D1343,D1343)*7,10)&lt;3,"teste","treino"))</f>
        <v/>
      </c>
      <c r="N1343" s="16"/>
      <c r="O1343" s="16"/>
      <c r="P1343" s="16"/>
      <c r="Q1343" s="17"/>
    </row>
    <row r="1344" customFormat="false" ht="15" hidden="false" customHeight="false" outlineLevel="0" collapsed="false">
      <c r="A1344" s="15" t="str">
        <f aca="false">IF(B1344="","",ROW()-1)</f>
        <v/>
      </c>
      <c r="B1344" s="16"/>
      <c r="C1344" s="16"/>
      <c r="D1344" s="16"/>
      <c r="E1344" s="16"/>
      <c r="F1344" s="17"/>
      <c r="G1344" s="16"/>
      <c r="H1344" s="16"/>
      <c r="I1344" s="16"/>
      <c r="J1344" s="16"/>
      <c r="K1344" s="16"/>
      <c r="L1344" s="16"/>
      <c r="M1344" s="18" t="str">
        <f aca="false">IF(OR(C1344="",D1344=""),"",IF(MOD(COUNTIFS($C$2:C1344,C1344,$D$2:D1344,D1344)*7,10)&lt;3,"teste","treino"))</f>
        <v/>
      </c>
      <c r="N1344" s="16"/>
      <c r="O1344" s="16"/>
      <c r="P1344" s="16"/>
      <c r="Q1344" s="17"/>
    </row>
    <row r="1345" customFormat="false" ht="15" hidden="false" customHeight="false" outlineLevel="0" collapsed="false">
      <c r="A1345" s="15" t="str">
        <f aca="false">IF(B1345="","",ROW()-1)</f>
        <v/>
      </c>
      <c r="B1345" s="16"/>
      <c r="C1345" s="16"/>
      <c r="D1345" s="16"/>
      <c r="E1345" s="16"/>
      <c r="F1345" s="17"/>
      <c r="G1345" s="16"/>
      <c r="H1345" s="16"/>
      <c r="I1345" s="16"/>
      <c r="J1345" s="16"/>
      <c r="K1345" s="16"/>
      <c r="L1345" s="16"/>
      <c r="M1345" s="18" t="str">
        <f aca="false">IF(OR(C1345="",D1345=""),"",IF(MOD(COUNTIFS($C$2:C1345,C1345,$D$2:D1345,D1345)*7,10)&lt;3,"teste","treino"))</f>
        <v/>
      </c>
      <c r="N1345" s="16"/>
      <c r="O1345" s="16"/>
      <c r="P1345" s="16"/>
      <c r="Q1345" s="17"/>
    </row>
    <row r="1346" customFormat="false" ht="15" hidden="false" customHeight="false" outlineLevel="0" collapsed="false">
      <c r="A1346" s="15" t="str">
        <f aca="false">IF(B1346="","",ROW()-1)</f>
        <v/>
      </c>
      <c r="B1346" s="16"/>
      <c r="C1346" s="16"/>
      <c r="D1346" s="16"/>
      <c r="E1346" s="16"/>
      <c r="F1346" s="17"/>
      <c r="G1346" s="16"/>
      <c r="H1346" s="16"/>
      <c r="I1346" s="16"/>
      <c r="J1346" s="16"/>
      <c r="K1346" s="16"/>
      <c r="L1346" s="16"/>
      <c r="M1346" s="18" t="str">
        <f aca="false">IF(OR(C1346="",D1346=""),"",IF(MOD(COUNTIFS($C$2:C1346,C1346,$D$2:D1346,D1346)*7,10)&lt;3,"teste","treino"))</f>
        <v/>
      </c>
      <c r="N1346" s="16"/>
      <c r="O1346" s="16"/>
      <c r="P1346" s="16"/>
      <c r="Q1346" s="17"/>
    </row>
    <row r="1347" customFormat="false" ht="15" hidden="false" customHeight="false" outlineLevel="0" collapsed="false">
      <c r="A1347" s="15" t="str">
        <f aca="false">IF(B1347="","",ROW()-1)</f>
        <v/>
      </c>
      <c r="B1347" s="16"/>
      <c r="C1347" s="16"/>
      <c r="D1347" s="16"/>
      <c r="E1347" s="16"/>
      <c r="F1347" s="17"/>
      <c r="G1347" s="16"/>
      <c r="H1347" s="16"/>
      <c r="I1347" s="16"/>
      <c r="J1347" s="16"/>
      <c r="K1347" s="16"/>
      <c r="L1347" s="16"/>
      <c r="M1347" s="18" t="str">
        <f aca="false">IF(OR(C1347="",D1347=""),"",IF(MOD(COUNTIFS($C$2:C1347,C1347,$D$2:D1347,D1347)*7,10)&lt;3,"teste","treino"))</f>
        <v/>
      </c>
      <c r="N1347" s="16"/>
      <c r="O1347" s="16"/>
      <c r="P1347" s="16"/>
      <c r="Q1347" s="17"/>
    </row>
    <row r="1348" customFormat="false" ht="15" hidden="false" customHeight="false" outlineLevel="0" collapsed="false">
      <c r="A1348" s="15" t="str">
        <f aca="false">IF(B1348="","",ROW()-1)</f>
        <v/>
      </c>
      <c r="B1348" s="16"/>
      <c r="C1348" s="16"/>
      <c r="D1348" s="16"/>
      <c r="E1348" s="16"/>
      <c r="F1348" s="17"/>
      <c r="G1348" s="16"/>
      <c r="H1348" s="16"/>
      <c r="I1348" s="16"/>
      <c r="J1348" s="16"/>
      <c r="K1348" s="16"/>
      <c r="L1348" s="16"/>
      <c r="M1348" s="18" t="str">
        <f aca="false">IF(OR(C1348="",D1348=""),"",IF(MOD(COUNTIFS($C$2:C1348,C1348,$D$2:D1348,D1348)*7,10)&lt;3,"teste","treino"))</f>
        <v/>
      </c>
      <c r="N1348" s="16"/>
      <c r="O1348" s="16"/>
      <c r="P1348" s="16"/>
      <c r="Q1348" s="17"/>
    </row>
    <row r="1349" customFormat="false" ht="15" hidden="false" customHeight="false" outlineLevel="0" collapsed="false">
      <c r="A1349" s="15" t="str">
        <f aca="false">IF(B1349="","",ROW()-1)</f>
        <v/>
      </c>
      <c r="B1349" s="16"/>
      <c r="C1349" s="16"/>
      <c r="D1349" s="16"/>
      <c r="E1349" s="16"/>
      <c r="F1349" s="17"/>
      <c r="G1349" s="16"/>
      <c r="H1349" s="16"/>
      <c r="I1349" s="16"/>
      <c r="J1349" s="16"/>
      <c r="K1349" s="16"/>
      <c r="L1349" s="16"/>
      <c r="M1349" s="18" t="str">
        <f aca="false">IF(OR(C1349="",D1349=""),"",IF(MOD(COUNTIFS($C$2:C1349,C1349,$D$2:D1349,D1349)*7,10)&lt;3,"teste","treino"))</f>
        <v/>
      </c>
      <c r="N1349" s="16"/>
      <c r="O1349" s="16"/>
      <c r="P1349" s="16"/>
      <c r="Q1349" s="17"/>
    </row>
    <row r="1350" customFormat="false" ht="15" hidden="false" customHeight="false" outlineLevel="0" collapsed="false">
      <c r="A1350" s="15" t="str">
        <f aca="false">IF(B1350="","",ROW()-1)</f>
        <v/>
      </c>
      <c r="B1350" s="16"/>
      <c r="C1350" s="16"/>
      <c r="D1350" s="16"/>
      <c r="E1350" s="16"/>
      <c r="F1350" s="17"/>
      <c r="G1350" s="16"/>
      <c r="H1350" s="16"/>
      <c r="I1350" s="16"/>
      <c r="J1350" s="16"/>
      <c r="K1350" s="16"/>
      <c r="L1350" s="16"/>
      <c r="M1350" s="18" t="str">
        <f aca="false">IF(OR(C1350="",D1350=""),"",IF(MOD(COUNTIFS($C$2:C1350,C1350,$D$2:D1350,D1350)*7,10)&lt;3,"teste","treino"))</f>
        <v/>
      </c>
      <c r="N1350" s="16"/>
      <c r="O1350" s="16"/>
      <c r="P1350" s="16"/>
      <c r="Q1350" s="17"/>
    </row>
    <row r="1351" customFormat="false" ht="15" hidden="false" customHeight="false" outlineLevel="0" collapsed="false">
      <c r="A1351" s="15" t="str">
        <f aca="false">IF(B1351="","",ROW()-1)</f>
        <v/>
      </c>
      <c r="B1351" s="16"/>
      <c r="C1351" s="16"/>
      <c r="D1351" s="16"/>
      <c r="E1351" s="16"/>
      <c r="F1351" s="17"/>
      <c r="G1351" s="16"/>
      <c r="H1351" s="16"/>
      <c r="I1351" s="16"/>
      <c r="J1351" s="16"/>
      <c r="K1351" s="16"/>
      <c r="L1351" s="16"/>
      <c r="M1351" s="18" t="str">
        <f aca="false">IF(OR(C1351="",D1351=""),"",IF(MOD(COUNTIFS($C$2:C1351,C1351,$D$2:D1351,D1351)*7,10)&lt;3,"teste","treino"))</f>
        <v/>
      </c>
      <c r="N1351" s="16"/>
      <c r="O1351" s="16"/>
      <c r="P1351" s="16"/>
      <c r="Q1351" s="17"/>
    </row>
    <row r="1352" customFormat="false" ht="15" hidden="false" customHeight="false" outlineLevel="0" collapsed="false">
      <c r="A1352" s="15" t="str">
        <f aca="false">IF(B1352="","",ROW()-1)</f>
        <v/>
      </c>
      <c r="B1352" s="16"/>
      <c r="C1352" s="16"/>
      <c r="D1352" s="16"/>
      <c r="E1352" s="16"/>
      <c r="F1352" s="17"/>
      <c r="G1352" s="16"/>
      <c r="H1352" s="16"/>
      <c r="I1352" s="16"/>
      <c r="J1352" s="16"/>
      <c r="K1352" s="16"/>
      <c r="L1352" s="16"/>
      <c r="M1352" s="18" t="str">
        <f aca="false">IF(OR(C1352="",D1352=""),"",IF(MOD(COUNTIFS($C$2:C1352,C1352,$D$2:D1352,D1352)*7,10)&lt;3,"teste","treino"))</f>
        <v/>
      </c>
      <c r="N1352" s="16"/>
      <c r="O1352" s="16"/>
      <c r="P1352" s="16"/>
      <c r="Q1352" s="17"/>
    </row>
    <row r="1353" customFormat="false" ht="15" hidden="false" customHeight="false" outlineLevel="0" collapsed="false">
      <c r="A1353" s="15" t="str">
        <f aca="false">IF(B1353="","",ROW()-1)</f>
        <v/>
      </c>
      <c r="B1353" s="16"/>
      <c r="C1353" s="16"/>
      <c r="D1353" s="16"/>
      <c r="E1353" s="16"/>
      <c r="F1353" s="17"/>
      <c r="G1353" s="16"/>
      <c r="H1353" s="16"/>
      <c r="I1353" s="16"/>
      <c r="J1353" s="16"/>
      <c r="K1353" s="16"/>
      <c r="L1353" s="16"/>
      <c r="M1353" s="18" t="str">
        <f aca="false">IF(OR(C1353="",D1353=""),"",IF(MOD(COUNTIFS($C$2:C1353,C1353,$D$2:D1353,D1353)*7,10)&lt;3,"teste","treino"))</f>
        <v/>
      </c>
      <c r="N1353" s="16"/>
      <c r="O1353" s="16"/>
      <c r="P1353" s="16"/>
      <c r="Q1353" s="17"/>
    </row>
    <row r="1354" customFormat="false" ht="15" hidden="false" customHeight="false" outlineLevel="0" collapsed="false">
      <c r="A1354" s="15" t="str">
        <f aca="false">IF(B1354="","",ROW()-1)</f>
        <v/>
      </c>
      <c r="B1354" s="16"/>
      <c r="C1354" s="16"/>
      <c r="D1354" s="16"/>
      <c r="E1354" s="16"/>
      <c r="F1354" s="17"/>
      <c r="G1354" s="16"/>
      <c r="H1354" s="16"/>
      <c r="I1354" s="16"/>
      <c r="J1354" s="16"/>
      <c r="K1354" s="16"/>
      <c r="L1354" s="16"/>
      <c r="M1354" s="18" t="str">
        <f aca="false">IF(OR(C1354="",D1354=""),"",IF(MOD(COUNTIFS($C$2:C1354,C1354,$D$2:D1354,D1354)*7,10)&lt;3,"teste","treino"))</f>
        <v/>
      </c>
      <c r="N1354" s="16"/>
      <c r="O1354" s="16"/>
      <c r="P1354" s="16"/>
      <c r="Q1354" s="17"/>
    </row>
    <row r="1355" customFormat="false" ht="15" hidden="false" customHeight="false" outlineLevel="0" collapsed="false">
      <c r="A1355" s="15" t="str">
        <f aca="false">IF(B1355="","",ROW()-1)</f>
        <v/>
      </c>
      <c r="B1355" s="16"/>
      <c r="C1355" s="16"/>
      <c r="D1355" s="16"/>
      <c r="E1355" s="16"/>
      <c r="F1355" s="17"/>
      <c r="G1355" s="16"/>
      <c r="H1355" s="16"/>
      <c r="I1355" s="16"/>
      <c r="J1355" s="16"/>
      <c r="K1355" s="16"/>
      <c r="L1355" s="16"/>
      <c r="M1355" s="18" t="str">
        <f aca="false">IF(OR(C1355="",D1355=""),"",IF(MOD(COUNTIFS($C$2:C1355,C1355,$D$2:D1355,D1355)*7,10)&lt;3,"teste","treino"))</f>
        <v/>
      </c>
      <c r="N1355" s="16"/>
      <c r="O1355" s="16"/>
      <c r="P1355" s="16"/>
      <c r="Q1355" s="17"/>
    </row>
    <row r="1356" customFormat="false" ht="15" hidden="false" customHeight="false" outlineLevel="0" collapsed="false">
      <c r="A1356" s="15" t="str">
        <f aca="false">IF(B1356="","",ROW()-1)</f>
        <v/>
      </c>
      <c r="B1356" s="16"/>
      <c r="C1356" s="16"/>
      <c r="D1356" s="16"/>
      <c r="E1356" s="16"/>
      <c r="F1356" s="17"/>
      <c r="G1356" s="16"/>
      <c r="H1356" s="16"/>
      <c r="I1356" s="16"/>
      <c r="J1356" s="16"/>
      <c r="K1356" s="16"/>
      <c r="L1356" s="16"/>
      <c r="M1356" s="18" t="str">
        <f aca="false">IF(OR(C1356="",D1356=""),"",IF(MOD(COUNTIFS($C$2:C1356,C1356,$D$2:D1356,D1356)*7,10)&lt;3,"teste","treino"))</f>
        <v/>
      </c>
      <c r="N1356" s="16"/>
      <c r="O1356" s="16"/>
      <c r="P1356" s="16"/>
      <c r="Q1356" s="17"/>
    </row>
    <row r="1357" customFormat="false" ht="15" hidden="false" customHeight="false" outlineLevel="0" collapsed="false">
      <c r="A1357" s="15" t="str">
        <f aca="false">IF(B1357="","",ROW()-1)</f>
        <v/>
      </c>
      <c r="B1357" s="16"/>
      <c r="C1357" s="16"/>
      <c r="D1357" s="16"/>
      <c r="E1357" s="16"/>
      <c r="F1357" s="17"/>
      <c r="G1357" s="16"/>
      <c r="H1357" s="16"/>
      <c r="I1357" s="16"/>
      <c r="J1357" s="16"/>
      <c r="K1357" s="16"/>
      <c r="L1357" s="16"/>
      <c r="M1357" s="18" t="str">
        <f aca="false">IF(OR(C1357="",D1357=""),"",IF(MOD(COUNTIFS($C$2:C1357,C1357,$D$2:D1357,D1357)*7,10)&lt;3,"teste","treino"))</f>
        <v/>
      </c>
      <c r="N1357" s="16"/>
      <c r="O1357" s="16"/>
      <c r="P1357" s="16"/>
      <c r="Q1357" s="17"/>
    </row>
    <row r="1358" customFormat="false" ht="15" hidden="false" customHeight="false" outlineLevel="0" collapsed="false">
      <c r="A1358" s="15" t="str">
        <f aca="false">IF(B1358="","",ROW()-1)</f>
        <v/>
      </c>
      <c r="B1358" s="16"/>
      <c r="C1358" s="16"/>
      <c r="D1358" s="16"/>
      <c r="E1358" s="16"/>
      <c r="F1358" s="17"/>
      <c r="G1358" s="16"/>
      <c r="H1358" s="16"/>
      <c r="I1358" s="16"/>
      <c r="J1358" s="16"/>
      <c r="K1358" s="16"/>
      <c r="L1358" s="16"/>
      <c r="M1358" s="18" t="str">
        <f aca="false">IF(OR(C1358="",D1358=""),"",IF(MOD(COUNTIFS($C$2:C1358,C1358,$D$2:D1358,D1358)*7,10)&lt;3,"teste","treino"))</f>
        <v/>
      </c>
      <c r="N1358" s="16"/>
      <c r="O1358" s="16"/>
      <c r="P1358" s="16"/>
      <c r="Q1358" s="17"/>
    </row>
    <row r="1359" customFormat="false" ht="15" hidden="false" customHeight="false" outlineLevel="0" collapsed="false">
      <c r="A1359" s="15" t="str">
        <f aca="false">IF(B1359="","",ROW()-1)</f>
        <v/>
      </c>
      <c r="B1359" s="16"/>
      <c r="C1359" s="16"/>
      <c r="D1359" s="16"/>
      <c r="E1359" s="16"/>
      <c r="F1359" s="17"/>
      <c r="G1359" s="16"/>
      <c r="H1359" s="16"/>
      <c r="I1359" s="16"/>
      <c r="J1359" s="16"/>
      <c r="K1359" s="16"/>
      <c r="L1359" s="16"/>
      <c r="M1359" s="18" t="str">
        <f aca="false">IF(OR(C1359="",D1359=""),"",IF(MOD(COUNTIFS($C$2:C1359,C1359,$D$2:D1359,D1359)*7,10)&lt;3,"teste","treino"))</f>
        <v/>
      </c>
      <c r="N1359" s="16"/>
      <c r="O1359" s="16"/>
      <c r="P1359" s="16"/>
      <c r="Q1359" s="17"/>
    </row>
    <row r="1360" customFormat="false" ht="15" hidden="false" customHeight="false" outlineLevel="0" collapsed="false">
      <c r="A1360" s="15" t="str">
        <f aca="false">IF(B1360="","",ROW()-1)</f>
        <v/>
      </c>
      <c r="B1360" s="16"/>
      <c r="C1360" s="16"/>
      <c r="D1360" s="16"/>
      <c r="E1360" s="16"/>
      <c r="F1360" s="17"/>
      <c r="G1360" s="16"/>
      <c r="H1360" s="16"/>
      <c r="I1360" s="16"/>
      <c r="J1360" s="16"/>
      <c r="K1360" s="16"/>
      <c r="L1360" s="16"/>
      <c r="M1360" s="18" t="str">
        <f aca="false">IF(OR(C1360="",D1360=""),"",IF(MOD(COUNTIFS($C$2:C1360,C1360,$D$2:D1360,D1360)*7,10)&lt;3,"teste","treino"))</f>
        <v/>
      </c>
      <c r="N1360" s="16"/>
      <c r="O1360" s="16"/>
      <c r="P1360" s="16"/>
      <c r="Q1360" s="17"/>
    </row>
    <row r="1361" customFormat="false" ht="15" hidden="false" customHeight="false" outlineLevel="0" collapsed="false">
      <c r="A1361" s="15" t="str">
        <f aca="false">IF(B1361="","",ROW()-1)</f>
        <v/>
      </c>
      <c r="B1361" s="16"/>
      <c r="C1361" s="16"/>
      <c r="D1361" s="16"/>
      <c r="E1361" s="16"/>
      <c r="F1361" s="17"/>
      <c r="G1361" s="16"/>
      <c r="H1361" s="16"/>
      <c r="I1361" s="16"/>
      <c r="J1361" s="16"/>
      <c r="K1361" s="16"/>
      <c r="L1361" s="16"/>
      <c r="M1361" s="18" t="str">
        <f aca="false">IF(OR(C1361="",D1361=""),"",IF(MOD(COUNTIFS($C$2:C1361,C1361,$D$2:D1361,D1361)*7,10)&lt;3,"teste","treino"))</f>
        <v/>
      </c>
      <c r="N1361" s="16"/>
      <c r="O1361" s="16"/>
      <c r="P1361" s="16"/>
      <c r="Q1361" s="17"/>
    </row>
    <row r="1362" customFormat="false" ht="15" hidden="false" customHeight="false" outlineLevel="0" collapsed="false">
      <c r="A1362" s="15" t="str">
        <f aca="false">IF(B1362="","",ROW()-1)</f>
        <v/>
      </c>
      <c r="B1362" s="16"/>
      <c r="C1362" s="16"/>
      <c r="D1362" s="16"/>
      <c r="E1362" s="16"/>
      <c r="F1362" s="17"/>
      <c r="G1362" s="16"/>
      <c r="H1362" s="16"/>
      <c r="I1362" s="16"/>
      <c r="J1362" s="16"/>
      <c r="K1362" s="16"/>
      <c r="L1362" s="16"/>
      <c r="M1362" s="18" t="str">
        <f aca="false">IF(OR(C1362="",D1362=""),"",IF(MOD(COUNTIFS($C$2:C1362,C1362,$D$2:D1362,D1362)*7,10)&lt;3,"teste","treino"))</f>
        <v/>
      </c>
      <c r="N1362" s="16"/>
      <c r="O1362" s="16"/>
      <c r="P1362" s="16"/>
      <c r="Q1362" s="17"/>
    </row>
    <row r="1363" customFormat="false" ht="15" hidden="false" customHeight="false" outlineLevel="0" collapsed="false">
      <c r="A1363" s="15" t="str">
        <f aca="false">IF(B1363="","",ROW()-1)</f>
        <v/>
      </c>
      <c r="B1363" s="16"/>
      <c r="C1363" s="16"/>
      <c r="D1363" s="16"/>
      <c r="E1363" s="16"/>
      <c r="F1363" s="17"/>
      <c r="G1363" s="16"/>
      <c r="H1363" s="16"/>
      <c r="I1363" s="16"/>
      <c r="J1363" s="16"/>
      <c r="K1363" s="16"/>
      <c r="L1363" s="16"/>
      <c r="M1363" s="18" t="str">
        <f aca="false">IF(OR(C1363="",D1363=""),"",IF(MOD(COUNTIFS($C$2:C1363,C1363,$D$2:D1363,D1363)*7,10)&lt;3,"teste","treino"))</f>
        <v/>
      </c>
      <c r="N1363" s="16"/>
      <c r="O1363" s="16"/>
      <c r="P1363" s="16"/>
      <c r="Q1363" s="17"/>
    </row>
    <row r="1364" customFormat="false" ht="15" hidden="false" customHeight="false" outlineLevel="0" collapsed="false">
      <c r="A1364" s="15" t="str">
        <f aca="false">IF(B1364="","",ROW()-1)</f>
        <v/>
      </c>
      <c r="B1364" s="16"/>
      <c r="C1364" s="16"/>
      <c r="D1364" s="16"/>
      <c r="E1364" s="16"/>
      <c r="F1364" s="17"/>
      <c r="G1364" s="16"/>
      <c r="H1364" s="16"/>
      <c r="I1364" s="16"/>
      <c r="J1364" s="16"/>
      <c r="K1364" s="16"/>
      <c r="L1364" s="16"/>
      <c r="M1364" s="18" t="str">
        <f aca="false">IF(OR(C1364="",D1364=""),"",IF(MOD(COUNTIFS($C$2:C1364,C1364,$D$2:D1364,D1364)*7,10)&lt;3,"teste","treino"))</f>
        <v/>
      </c>
      <c r="N1364" s="16"/>
      <c r="O1364" s="16"/>
      <c r="P1364" s="16"/>
      <c r="Q1364" s="17"/>
    </row>
    <row r="1365" customFormat="false" ht="15" hidden="false" customHeight="false" outlineLevel="0" collapsed="false">
      <c r="A1365" s="15" t="str">
        <f aca="false">IF(B1365="","",ROW()-1)</f>
        <v/>
      </c>
      <c r="B1365" s="16"/>
      <c r="C1365" s="16"/>
      <c r="D1365" s="16"/>
      <c r="E1365" s="16"/>
      <c r="F1365" s="17"/>
      <c r="G1365" s="16"/>
      <c r="H1365" s="16"/>
      <c r="I1365" s="16"/>
      <c r="J1365" s="16"/>
      <c r="K1365" s="16"/>
      <c r="L1365" s="16"/>
      <c r="M1365" s="18" t="str">
        <f aca="false">IF(OR(C1365="",D1365=""),"",IF(MOD(COUNTIFS($C$2:C1365,C1365,$D$2:D1365,D1365)*7,10)&lt;3,"teste","treino"))</f>
        <v/>
      </c>
      <c r="N1365" s="16"/>
      <c r="O1365" s="16"/>
      <c r="P1365" s="16"/>
      <c r="Q1365" s="17"/>
    </row>
    <row r="1366" customFormat="false" ht="15" hidden="false" customHeight="false" outlineLevel="0" collapsed="false">
      <c r="A1366" s="15" t="str">
        <f aca="false">IF(B1366="","",ROW()-1)</f>
        <v/>
      </c>
      <c r="B1366" s="16"/>
      <c r="C1366" s="16"/>
      <c r="D1366" s="16"/>
      <c r="E1366" s="16"/>
      <c r="F1366" s="17"/>
      <c r="G1366" s="16"/>
      <c r="H1366" s="16"/>
      <c r="I1366" s="16"/>
      <c r="J1366" s="16"/>
      <c r="K1366" s="16"/>
      <c r="L1366" s="16"/>
      <c r="M1366" s="18" t="str">
        <f aca="false">IF(OR(C1366="",D1366=""),"",IF(MOD(COUNTIFS($C$2:C1366,C1366,$D$2:D1366,D1366)*7,10)&lt;3,"teste","treino"))</f>
        <v/>
      </c>
      <c r="N1366" s="16"/>
      <c r="O1366" s="16"/>
      <c r="P1366" s="16"/>
      <c r="Q1366" s="17"/>
    </row>
    <row r="1367" customFormat="false" ht="15" hidden="false" customHeight="false" outlineLevel="0" collapsed="false">
      <c r="A1367" s="15" t="str">
        <f aca="false">IF(B1367="","",ROW()-1)</f>
        <v/>
      </c>
      <c r="B1367" s="16"/>
      <c r="C1367" s="16"/>
      <c r="D1367" s="16"/>
      <c r="E1367" s="16"/>
      <c r="F1367" s="17"/>
      <c r="G1367" s="16"/>
      <c r="H1367" s="16"/>
      <c r="I1367" s="16"/>
      <c r="J1367" s="16"/>
      <c r="K1367" s="16"/>
      <c r="L1367" s="16"/>
      <c r="M1367" s="18" t="str">
        <f aca="false">IF(OR(C1367="",D1367=""),"",IF(MOD(COUNTIFS($C$2:C1367,C1367,$D$2:D1367,D1367)*7,10)&lt;3,"teste","treino"))</f>
        <v/>
      </c>
      <c r="N1367" s="16"/>
      <c r="O1367" s="16"/>
      <c r="P1367" s="16"/>
      <c r="Q1367" s="17"/>
    </row>
    <row r="1368" customFormat="false" ht="15" hidden="false" customHeight="false" outlineLevel="0" collapsed="false">
      <c r="A1368" s="15" t="str">
        <f aca="false">IF(B1368="","",ROW()-1)</f>
        <v/>
      </c>
      <c r="B1368" s="16"/>
      <c r="C1368" s="16"/>
      <c r="D1368" s="16"/>
      <c r="E1368" s="16"/>
      <c r="F1368" s="17"/>
      <c r="G1368" s="16"/>
      <c r="H1368" s="16"/>
      <c r="I1368" s="16"/>
      <c r="J1368" s="16"/>
      <c r="K1368" s="16"/>
      <c r="L1368" s="16"/>
      <c r="M1368" s="18" t="str">
        <f aca="false">IF(OR(C1368="",D1368=""),"",IF(MOD(COUNTIFS($C$2:C1368,C1368,$D$2:D1368,D1368)*7,10)&lt;3,"teste","treino"))</f>
        <v/>
      </c>
      <c r="N1368" s="16"/>
      <c r="O1368" s="16"/>
      <c r="P1368" s="16"/>
      <c r="Q1368" s="17"/>
    </row>
    <row r="1369" customFormat="false" ht="15" hidden="false" customHeight="false" outlineLevel="0" collapsed="false">
      <c r="A1369" s="15" t="str">
        <f aca="false">IF(B1369="","",ROW()-1)</f>
        <v/>
      </c>
      <c r="B1369" s="16"/>
      <c r="C1369" s="16"/>
      <c r="D1369" s="16"/>
      <c r="E1369" s="16"/>
      <c r="F1369" s="17"/>
      <c r="G1369" s="16"/>
      <c r="H1369" s="16"/>
      <c r="I1369" s="16"/>
      <c r="J1369" s="16"/>
      <c r="K1369" s="16"/>
      <c r="L1369" s="16"/>
      <c r="M1369" s="18" t="str">
        <f aca="false">IF(OR(C1369="",D1369=""),"",IF(MOD(COUNTIFS($C$2:C1369,C1369,$D$2:D1369,D1369)*7,10)&lt;3,"teste","treino"))</f>
        <v/>
      </c>
      <c r="N1369" s="16"/>
      <c r="O1369" s="16"/>
      <c r="P1369" s="16"/>
      <c r="Q1369" s="17"/>
    </row>
    <row r="1370" customFormat="false" ht="15" hidden="false" customHeight="false" outlineLevel="0" collapsed="false">
      <c r="A1370" s="15" t="str">
        <f aca="false">IF(B1370="","",ROW()-1)</f>
        <v/>
      </c>
      <c r="B1370" s="16"/>
      <c r="C1370" s="16"/>
      <c r="D1370" s="16"/>
      <c r="E1370" s="16"/>
      <c r="F1370" s="17"/>
      <c r="G1370" s="16"/>
      <c r="H1370" s="16"/>
      <c r="I1370" s="16"/>
      <c r="J1370" s="16"/>
      <c r="K1370" s="16"/>
      <c r="L1370" s="16"/>
      <c r="M1370" s="18" t="str">
        <f aca="false">IF(OR(C1370="",D1370=""),"",IF(MOD(COUNTIFS($C$2:C1370,C1370,$D$2:D1370,D1370)*7,10)&lt;3,"teste","treino"))</f>
        <v/>
      </c>
      <c r="N1370" s="16"/>
      <c r="O1370" s="16"/>
      <c r="P1370" s="16"/>
      <c r="Q1370" s="17"/>
    </row>
    <row r="1371" customFormat="false" ht="15" hidden="false" customHeight="false" outlineLevel="0" collapsed="false">
      <c r="A1371" s="15" t="str">
        <f aca="false">IF(B1371="","",ROW()-1)</f>
        <v/>
      </c>
      <c r="B1371" s="16"/>
      <c r="C1371" s="16"/>
      <c r="D1371" s="16"/>
      <c r="E1371" s="16"/>
      <c r="F1371" s="17"/>
      <c r="G1371" s="16"/>
      <c r="H1371" s="16"/>
      <c r="I1371" s="16"/>
      <c r="J1371" s="16"/>
      <c r="K1371" s="16"/>
      <c r="L1371" s="16"/>
      <c r="M1371" s="18" t="str">
        <f aca="false">IF(OR(C1371="",D1371=""),"",IF(MOD(COUNTIFS($C$2:C1371,C1371,$D$2:D1371,D1371)*7,10)&lt;3,"teste","treino"))</f>
        <v/>
      </c>
      <c r="N1371" s="16"/>
      <c r="O1371" s="16"/>
      <c r="P1371" s="16"/>
      <c r="Q1371" s="17"/>
    </row>
    <row r="1372" customFormat="false" ht="15" hidden="false" customHeight="false" outlineLevel="0" collapsed="false">
      <c r="A1372" s="15" t="str">
        <f aca="false">IF(B1372="","",ROW()-1)</f>
        <v/>
      </c>
      <c r="B1372" s="16"/>
      <c r="C1372" s="16"/>
      <c r="D1372" s="16"/>
      <c r="E1372" s="16"/>
      <c r="F1372" s="17"/>
      <c r="G1372" s="16"/>
      <c r="H1372" s="16"/>
      <c r="I1372" s="16"/>
      <c r="J1372" s="16"/>
      <c r="K1372" s="16"/>
      <c r="L1372" s="16"/>
      <c r="M1372" s="18" t="str">
        <f aca="false">IF(OR(C1372="",D1372=""),"",IF(MOD(COUNTIFS($C$2:C1372,C1372,$D$2:D1372,D1372)*7,10)&lt;3,"teste","treino"))</f>
        <v/>
      </c>
      <c r="N1372" s="16"/>
      <c r="O1372" s="16"/>
      <c r="P1372" s="16"/>
      <c r="Q1372" s="17"/>
    </row>
    <row r="1373" customFormat="false" ht="15" hidden="false" customHeight="false" outlineLevel="0" collapsed="false">
      <c r="A1373" s="15" t="str">
        <f aca="false">IF(B1373="","",ROW()-1)</f>
        <v/>
      </c>
      <c r="B1373" s="16"/>
      <c r="C1373" s="16"/>
      <c r="D1373" s="16"/>
      <c r="E1373" s="16"/>
      <c r="F1373" s="17"/>
      <c r="G1373" s="16"/>
      <c r="H1373" s="16"/>
      <c r="I1373" s="16"/>
      <c r="J1373" s="16"/>
      <c r="K1373" s="16"/>
      <c r="L1373" s="16"/>
      <c r="M1373" s="18" t="str">
        <f aca="false">IF(OR(C1373="",D1373=""),"",IF(MOD(COUNTIFS($C$2:C1373,C1373,$D$2:D1373,D1373)*7,10)&lt;3,"teste","treino"))</f>
        <v/>
      </c>
      <c r="N1373" s="16"/>
      <c r="O1373" s="16"/>
      <c r="P1373" s="16"/>
      <c r="Q1373" s="17"/>
    </row>
    <row r="1374" customFormat="false" ht="15" hidden="false" customHeight="false" outlineLevel="0" collapsed="false">
      <c r="A1374" s="15" t="str">
        <f aca="false">IF(B1374="","",ROW()-1)</f>
        <v/>
      </c>
      <c r="B1374" s="16"/>
      <c r="C1374" s="16"/>
      <c r="D1374" s="16"/>
      <c r="E1374" s="16"/>
      <c r="F1374" s="17"/>
      <c r="G1374" s="16"/>
      <c r="H1374" s="16"/>
      <c r="I1374" s="16"/>
      <c r="J1374" s="16"/>
      <c r="K1374" s="16"/>
      <c r="L1374" s="16"/>
      <c r="M1374" s="18" t="str">
        <f aca="false">IF(OR(C1374="",D1374=""),"",IF(MOD(COUNTIFS($C$2:C1374,C1374,$D$2:D1374,D1374)*7,10)&lt;3,"teste","treino"))</f>
        <v/>
      </c>
      <c r="N1374" s="16"/>
      <c r="O1374" s="16"/>
      <c r="P1374" s="16"/>
      <c r="Q1374" s="17"/>
    </row>
    <row r="1375" customFormat="false" ht="15" hidden="false" customHeight="false" outlineLevel="0" collapsed="false">
      <c r="A1375" s="15" t="str">
        <f aca="false">IF(B1375="","",ROW()-1)</f>
        <v/>
      </c>
      <c r="B1375" s="16"/>
      <c r="C1375" s="16"/>
      <c r="D1375" s="16"/>
      <c r="E1375" s="16"/>
      <c r="F1375" s="17"/>
      <c r="G1375" s="16"/>
      <c r="H1375" s="16"/>
      <c r="I1375" s="16"/>
      <c r="J1375" s="16"/>
      <c r="K1375" s="16"/>
      <c r="L1375" s="16"/>
      <c r="M1375" s="18" t="str">
        <f aca="false">IF(OR(C1375="",D1375=""),"",IF(MOD(COUNTIFS($C$2:C1375,C1375,$D$2:D1375,D1375)*7,10)&lt;3,"teste","treino"))</f>
        <v/>
      </c>
      <c r="N1375" s="16"/>
      <c r="O1375" s="16"/>
      <c r="P1375" s="16"/>
      <c r="Q1375" s="17"/>
    </row>
    <row r="1376" customFormat="false" ht="15" hidden="false" customHeight="false" outlineLevel="0" collapsed="false">
      <c r="A1376" s="15" t="str">
        <f aca="false">IF(B1376="","",ROW()-1)</f>
        <v/>
      </c>
      <c r="B1376" s="16"/>
      <c r="C1376" s="16"/>
      <c r="D1376" s="16"/>
      <c r="E1376" s="16"/>
      <c r="F1376" s="17"/>
      <c r="G1376" s="16"/>
      <c r="H1376" s="16"/>
      <c r="I1376" s="16"/>
      <c r="J1376" s="16"/>
      <c r="K1376" s="16"/>
      <c r="L1376" s="16"/>
      <c r="M1376" s="18" t="str">
        <f aca="false">IF(OR(C1376="",D1376=""),"",IF(MOD(COUNTIFS($C$2:C1376,C1376,$D$2:D1376,D1376)*7,10)&lt;3,"teste","treino"))</f>
        <v/>
      </c>
      <c r="N1376" s="16"/>
      <c r="O1376" s="16"/>
      <c r="P1376" s="16"/>
      <c r="Q1376" s="17"/>
    </row>
    <row r="1377" customFormat="false" ht="15" hidden="false" customHeight="false" outlineLevel="0" collapsed="false">
      <c r="A1377" s="15" t="str">
        <f aca="false">IF(B1377="","",ROW()-1)</f>
        <v/>
      </c>
      <c r="B1377" s="16"/>
      <c r="C1377" s="16"/>
      <c r="D1377" s="16"/>
      <c r="E1377" s="16"/>
      <c r="F1377" s="17"/>
      <c r="G1377" s="16"/>
      <c r="H1377" s="16"/>
      <c r="I1377" s="16"/>
      <c r="J1377" s="16"/>
      <c r="K1377" s="16"/>
      <c r="L1377" s="16"/>
      <c r="M1377" s="18" t="str">
        <f aca="false">IF(OR(C1377="",D1377=""),"",IF(MOD(COUNTIFS($C$2:C1377,C1377,$D$2:D1377,D1377)*7,10)&lt;3,"teste","treino"))</f>
        <v/>
      </c>
      <c r="N1377" s="16"/>
      <c r="O1377" s="16"/>
      <c r="P1377" s="16"/>
      <c r="Q1377" s="17"/>
    </row>
    <row r="1378" customFormat="false" ht="15" hidden="false" customHeight="false" outlineLevel="0" collapsed="false">
      <c r="A1378" s="15" t="str">
        <f aca="false">IF(B1378="","",ROW()-1)</f>
        <v/>
      </c>
      <c r="B1378" s="16"/>
      <c r="C1378" s="16"/>
      <c r="D1378" s="16"/>
      <c r="E1378" s="16"/>
      <c r="F1378" s="17"/>
      <c r="G1378" s="16"/>
      <c r="H1378" s="16"/>
      <c r="I1378" s="16"/>
      <c r="J1378" s="16"/>
      <c r="K1378" s="16"/>
      <c r="L1378" s="16"/>
      <c r="M1378" s="18" t="str">
        <f aca="false">IF(OR(C1378="",D1378=""),"",IF(MOD(COUNTIFS($C$2:C1378,C1378,$D$2:D1378,D1378)*7,10)&lt;3,"teste","treino"))</f>
        <v/>
      </c>
      <c r="N1378" s="16"/>
      <c r="O1378" s="16"/>
      <c r="P1378" s="16"/>
      <c r="Q1378" s="17"/>
    </row>
    <row r="1379" customFormat="false" ht="15" hidden="false" customHeight="false" outlineLevel="0" collapsed="false">
      <c r="A1379" s="15" t="str">
        <f aca="false">IF(B1379="","",ROW()-1)</f>
        <v/>
      </c>
      <c r="B1379" s="16"/>
      <c r="C1379" s="16"/>
      <c r="D1379" s="16"/>
      <c r="E1379" s="16"/>
      <c r="F1379" s="17"/>
      <c r="G1379" s="16"/>
      <c r="H1379" s="16"/>
      <c r="I1379" s="16"/>
      <c r="J1379" s="16"/>
      <c r="K1379" s="16"/>
      <c r="L1379" s="16"/>
      <c r="M1379" s="18" t="str">
        <f aca="false">IF(OR(C1379="",D1379=""),"",IF(MOD(COUNTIFS($C$2:C1379,C1379,$D$2:D1379,D1379)*7,10)&lt;3,"teste","treino"))</f>
        <v/>
      </c>
      <c r="N1379" s="16"/>
      <c r="O1379" s="16"/>
      <c r="P1379" s="16"/>
      <c r="Q1379" s="17"/>
    </row>
    <row r="1380" customFormat="false" ht="15" hidden="false" customHeight="false" outlineLevel="0" collapsed="false">
      <c r="A1380" s="15" t="str">
        <f aca="false">IF(B1380="","",ROW()-1)</f>
        <v/>
      </c>
      <c r="B1380" s="16"/>
      <c r="C1380" s="16"/>
      <c r="D1380" s="16"/>
      <c r="E1380" s="16"/>
      <c r="F1380" s="17"/>
      <c r="G1380" s="16"/>
      <c r="H1380" s="16"/>
      <c r="I1380" s="16"/>
      <c r="J1380" s="16"/>
      <c r="K1380" s="16"/>
      <c r="L1380" s="16"/>
      <c r="M1380" s="18" t="str">
        <f aca="false">IF(OR(C1380="",D1380=""),"",IF(MOD(COUNTIFS($C$2:C1380,C1380,$D$2:D1380,D1380)*7,10)&lt;3,"teste","treino"))</f>
        <v/>
      </c>
      <c r="N1380" s="16"/>
      <c r="O1380" s="16"/>
      <c r="P1380" s="16"/>
      <c r="Q1380" s="17"/>
    </row>
    <row r="1381" customFormat="false" ht="15" hidden="false" customHeight="false" outlineLevel="0" collapsed="false">
      <c r="A1381" s="15" t="str">
        <f aca="false">IF(B1381="","",ROW()-1)</f>
        <v/>
      </c>
      <c r="B1381" s="16"/>
      <c r="C1381" s="16"/>
      <c r="D1381" s="16"/>
      <c r="E1381" s="16"/>
      <c r="F1381" s="17"/>
      <c r="G1381" s="16"/>
      <c r="H1381" s="16"/>
      <c r="I1381" s="16"/>
      <c r="J1381" s="16"/>
      <c r="K1381" s="16"/>
      <c r="L1381" s="16"/>
      <c r="M1381" s="18" t="str">
        <f aca="false">IF(OR(C1381="",D1381=""),"",IF(MOD(COUNTIFS($C$2:C1381,C1381,$D$2:D1381,D1381)*7,10)&lt;3,"teste","treino"))</f>
        <v/>
      </c>
      <c r="N1381" s="16"/>
      <c r="O1381" s="16"/>
      <c r="P1381" s="16"/>
      <c r="Q1381" s="17"/>
    </row>
    <row r="1382" customFormat="false" ht="15" hidden="false" customHeight="false" outlineLevel="0" collapsed="false">
      <c r="A1382" s="15" t="str">
        <f aca="false">IF(B1382="","",ROW()-1)</f>
        <v/>
      </c>
      <c r="B1382" s="16"/>
      <c r="C1382" s="16"/>
      <c r="D1382" s="16"/>
      <c r="E1382" s="16"/>
      <c r="F1382" s="17"/>
      <c r="G1382" s="16"/>
      <c r="H1382" s="16"/>
      <c r="I1382" s="16"/>
      <c r="J1382" s="16"/>
      <c r="K1382" s="16"/>
      <c r="L1382" s="16"/>
      <c r="M1382" s="18" t="str">
        <f aca="false">IF(OR(C1382="",D1382=""),"",IF(MOD(COUNTIFS($C$2:C1382,C1382,$D$2:D1382,D1382)*7,10)&lt;3,"teste","treino"))</f>
        <v/>
      </c>
      <c r="N1382" s="16"/>
      <c r="O1382" s="16"/>
      <c r="P1382" s="16"/>
      <c r="Q1382" s="17"/>
    </row>
    <row r="1383" customFormat="false" ht="15" hidden="false" customHeight="false" outlineLevel="0" collapsed="false">
      <c r="A1383" s="15" t="str">
        <f aca="false">IF(B1383="","",ROW()-1)</f>
        <v/>
      </c>
      <c r="B1383" s="16"/>
      <c r="C1383" s="16"/>
      <c r="D1383" s="16"/>
      <c r="E1383" s="16"/>
      <c r="F1383" s="17"/>
      <c r="G1383" s="16"/>
      <c r="H1383" s="16"/>
      <c r="I1383" s="16"/>
      <c r="J1383" s="16"/>
      <c r="K1383" s="16"/>
      <c r="L1383" s="16"/>
      <c r="M1383" s="18" t="str">
        <f aca="false">IF(OR(C1383="",D1383=""),"",IF(MOD(COUNTIFS($C$2:C1383,C1383,$D$2:D1383,D1383)*7,10)&lt;3,"teste","treino"))</f>
        <v/>
      </c>
      <c r="N1383" s="16"/>
      <c r="O1383" s="16"/>
      <c r="P1383" s="16"/>
      <c r="Q1383" s="17"/>
    </row>
    <row r="1384" customFormat="false" ht="15" hidden="false" customHeight="false" outlineLevel="0" collapsed="false">
      <c r="A1384" s="15" t="str">
        <f aca="false">IF(B1384="","",ROW()-1)</f>
        <v/>
      </c>
      <c r="B1384" s="16"/>
      <c r="C1384" s="16"/>
      <c r="D1384" s="16"/>
      <c r="E1384" s="16"/>
      <c r="F1384" s="17"/>
      <c r="G1384" s="16"/>
      <c r="H1384" s="16"/>
      <c r="I1384" s="16"/>
      <c r="J1384" s="16"/>
      <c r="K1384" s="16"/>
      <c r="L1384" s="16"/>
      <c r="M1384" s="18" t="str">
        <f aca="false">IF(OR(C1384="",D1384=""),"",IF(MOD(COUNTIFS($C$2:C1384,C1384,$D$2:D1384,D1384)*7,10)&lt;3,"teste","treino"))</f>
        <v/>
      </c>
      <c r="N1384" s="16"/>
      <c r="O1384" s="16"/>
      <c r="P1384" s="16"/>
      <c r="Q1384" s="17"/>
    </row>
    <row r="1385" customFormat="false" ht="15" hidden="false" customHeight="false" outlineLevel="0" collapsed="false">
      <c r="A1385" s="15" t="str">
        <f aca="false">IF(B1385="","",ROW()-1)</f>
        <v/>
      </c>
      <c r="B1385" s="16"/>
      <c r="C1385" s="16"/>
      <c r="D1385" s="16"/>
      <c r="E1385" s="16"/>
      <c r="F1385" s="17"/>
      <c r="G1385" s="16"/>
      <c r="H1385" s="16"/>
      <c r="I1385" s="16"/>
      <c r="J1385" s="16"/>
      <c r="K1385" s="16"/>
      <c r="L1385" s="16"/>
      <c r="M1385" s="18" t="str">
        <f aca="false">IF(OR(C1385="",D1385=""),"",IF(MOD(COUNTIFS($C$2:C1385,C1385,$D$2:D1385,D1385)*7,10)&lt;3,"teste","treino"))</f>
        <v/>
      </c>
      <c r="N1385" s="16"/>
      <c r="O1385" s="16"/>
      <c r="P1385" s="16"/>
      <c r="Q1385" s="17"/>
    </row>
    <row r="1386" customFormat="false" ht="15" hidden="false" customHeight="false" outlineLevel="0" collapsed="false">
      <c r="A1386" s="15" t="str">
        <f aca="false">IF(B1386="","",ROW()-1)</f>
        <v/>
      </c>
      <c r="B1386" s="16"/>
      <c r="C1386" s="16"/>
      <c r="D1386" s="16"/>
      <c r="E1386" s="16"/>
      <c r="F1386" s="17"/>
      <c r="G1386" s="16"/>
      <c r="H1386" s="16"/>
      <c r="I1386" s="16"/>
      <c r="J1386" s="16"/>
      <c r="K1386" s="16"/>
      <c r="L1386" s="16"/>
      <c r="M1386" s="18" t="str">
        <f aca="false">IF(OR(C1386="",D1386=""),"",IF(MOD(COUNTIFS($C$2:C1386,C1386,$D$2:D1386,D1386)*7,10)&lt;3,"teste","treino"))</f>
        <v/>
      </c>
      <c r="N1386" s="16"/>
      <c r="O1386" s="16"/>
      <c r="P1386" s="16"/>
      <c r="Q1386" s="17"/>
    </row>
    <row r="1387" customFormat="false" ht="15" hidden="false" customHeight="false" outlineLevel="0" collapsed="false">
      <c r="A1387" s="15" t="str">
        <f aca="false">IF(B1387="","",ROW()-1)</f>
        <v/>
      </c>
      <c r="B1387" s="16"/>
      <c r="C1387" s="16"/>
      <c r="D1387" s="16"/>
      <c r="E1387" s="16"/>
      <c r="F1387" s="17"/>
      <c r="G1387" s="16"/>
      <c r="H1387" s="16"/>
      <c r="I1387" s="16"/>
      <c r="J1387" s="16"/>
      <c r="K1387" s="16"/>
      <c r="L1387" s="16"/>
      <c r="M1387" s="18" t="str">
        <f aca="false">IF(OR(C1387="",D1387=""),"",IF(MOD(COUNTIFS($C$2:C1387,C1387,$D$2:D1387,D1387)*7,10)&lt;3,"teste","treino"))</f>
        <v/>
      </c>
      <c r="N1387" s="16"/>
      <c r="O1387" s="16"/>
      <c r="P1387" s="16"/>
      <c r="Q1387" s="17"/>
    </row>
    <row r="1388" customFormat="false" ht="15" hidden="false" customHeight="false" outlineLevel="0" collapsed="false">
      <c r="A1388" s="15" t="str">
        <f aca="false">IF(B1388="","",ROW()-1)</f>
        <v/>
      </c>
      <c r="B1388" s="16"/>
      <c r="C1388" s="16"/>
      <c r="D1388" s="16"/>
      <c r="E1388" s="16"/>
      <c r="F1388" s="17"/>
      <c r="G1388" s="16"/>
      <c r="H1388" s="16"/>
      <c r="I1388" s="16"/>
      <c r="J1388" s="16"/>
      <c r="K1388" s="16"/>
      <c r="L1388" s="16"/>
      <c r="M1388" s="18" t="str">
        <f aca="false">IF(OR(C1388="",D1388=""),"",IF(MOD(COUNTIFS($C$2:C1388,C1388,$D$2:D1388,D1388)*7,10)&lt;3,"teste","treino"))</f>
        <v/>
      </c>
      <c r="N1388" s="16"/>
      <c r="O1388" s="16"/>
      <c r="P1388" s="16"/>
      <c r="Q1388" s="17"/>
    </row>
    <row r="1389" customFormat="false" ht="15" hidden="false" customHeight="false" outlineLevel="0" collapsed="false">
      <c r="A1389" s="15" t="str">
        <f aca="false">IF(B1389="","",ROW()-1)</f>
        <v/>
      </c>
      <c r="B1389" s="16"/>
      <c r="C1389" s="16"/>
      <c r="D1389" s="16"/>
      <c r="E1389" s="16"/>
      <c r="F1389" s="17"/>
      <c r="G1389" s="16"/>
      <c r="H1389" s="16"/>
      <c r="I1389" s="16"/>
      <c r="J1389" s="16"/>
      <c r="K1389" s="16"/>
      <c r="L1389" s="16"/>
      <c r="M1389" s="18" t="str">
        <f aca="false">IF(OR(C1389="",D1389=""),"",IF(MOD(COUNTIFS($C$2:C1389,C1389,$D$2:D1389,D1389)*7,10)&lt;3,"teste","treino"))</f>
        <v/>
      </c>
      <c r="N1389" s="16"/>
      <c r="O1389" s="16"/>
      <c r="P1389" s="16"/>
      <c r="Q1389" s="17"/>
    </row>
    <row r="1390" customFormat="false" ht="15" hidden="false" customHeight="false" outlineLevel="0" collapsed="false">
      <c r="A1390" s="15" t="str">
        <f aca="false">IF(B1390="","",ROW()-1)</f>
        <v/>
      </c>
      <c r="B1390" s="16"/>
      <c r="C1390" s="16"/>
      <c r="D1390" s="16"/>
      <c r="E1390" s="16"/>
      <c r="F1390" s="17"/>
      <c r="G1390" s="16"/>
      <c r="H1390" s="16"/>
      <c r="I1390" s="16"/>
      <c r="J1390" s="16"/>
      <c r="K1390" s="16"/>
      <c r="L1390" s="16"/>
      <c r="M1390" s="18" t="str">
        <f aca="false">IF(OR(C1390="",D1390=""),"",IF(MOD(COUNTIFS($C$2:C1390,C1390,$D$2:D1390,D1390)*7,10)&lt;3,"teste","treino"))</f>
        <v/>
      </c>
      <c r="N1390" s="16"/>
      <c r="O1390" s="16"/>
      <c r="P1390" s="16"/>
      <c r="Q1390" s="17"/>
    </row>
    <row r="1391" customFormat="false" ht="15" hidden="false" customHeight="false" outlineLevel="0" collapsed="false">
      <c r="A1391" s="15" t="str">
        <f aca="false">IF(B1391="","",ROW()-1)</f>
        <v/>
      </c>
      <c r="B1391" s="16"/>
      <c r="C1391" s="16"/>
      <c r="D1391" s="16"/>
      <c r="E1391" s="16"/>
      <c r="F1391" s="17"/>
      <c r="G1391" s="16"/>
      <c r="H1391" s="16"/>
      <c r="I1391" s="16"/>
      <c r="J1391" s="16"/>
      <c r="K1391" s="16"/>
      <c r="L1391" s="16"/>
      <c r="M1391" s="18" t="str">
        <f aca="false">IF(OR(C1391="",D1391=""),"",IF(MOD(COUNTIFS($C$2:C1391,C1391,$D$2:D1391,D1391)*7,10)&lt;3,"teste","treino"))</f>
        <v/>
      </c>
      <c r="N1391" s="16"/>
      <c r="O1391" s="16"/>
      <c r="P1391" s="16"/>
      <c r="Q1391" s="17"/>
    </row>
    <row r="1392" customFormat="false" ht="15" hidden="false" customHeight="false" outlineLevel="0" collapsed="false">
      <c r="A1392" s="15" t="str">
        <f aca="false">IF(B1392="","",ROW()-1)</f>
        <v/>
      </c>
      <c r="B1392" s="16"/>
      <c r="C1392" s="16"/>
      <c r="D1392" s="16"/>
      <c r="E1392" s="16"/>
      <c r="F1392" s="17"/>
      <c r="G1392" s="16"/>
      <c r="H1392" s="16"/>
      <c r="I1392" s="16"/>
      <c r="J1392" s="16"/>
      <c r="K1392" s="16"/>
      <c r="L1392" s="16"/>
      <c r="M1392" s="18" t="str">
        <f aca="false">IF(OR(C1392="",D1392=""),"",IF(MOD(COUNTIFS($C$2:C1392,C1392,$D$2:D1392,D1392)*7,10)&lt;3,"teste","treino"))</f>
        <v/>
      </c>
      <c r="N1392" s="16"/>
      <c r="O1392" s="16"/>
      <c r="P1392" s="16"/>
      <c r="Q1392" s="17"/>
    </row>
    <row r="1393" customFormat="false" ht="15" hidden="false" customHeight="false" outlineLevel="0" collapsed="false">
      <c r="A1393" s="15" t="str">
        <f aca="false">IF(B1393="","",ROW()-1)</f>
        <v/>
      </c>
      <c r="B1393" s="16"/>
      <c r="C1393" s="16"/>
      <c r="D1393" s="16"/>
      <c r="E1393" s="16"/>
      <c r="F1393" s="17"/>
      <c r="G1393" s="16"/>
      <c r="H1393" s="16"/>
      <c r="I1393" s="16"/>
      <c r="J1393" s="16"/>
      <c r="K1393" s="16"/>
      <c r="L1393" s="16"/>
      <c r="M1393" s="18" t="str">
        <f aca="false">IF(OR(C1393="",D1393=""),"",IF(MOD(COUNTIFS($C$2:C1393,C1393,$D$2:D1393,D1393)*7,10)&lt;3,"teste","treino"))</f>
        <v/>
      </c>
      <c r="N1393" s="16"/>
      <c r="O1393" s="16"/>
      <c r="P1393" s="16"/>
      <c r="Q1393" s="17"/>
    </row>
    <row r="1394" customFormat="false" ht="15" hidden="false" customHeight="false" outlineLevel="0" collapsed="false">
      <c r="A1394" s="15" t="str">
        <f aca="false">IF(B1394="","",ROW()-1)</f>
        <v/>
      </c>
      <c r="B1394" s="16"/>
      <c r="C1394" s="16"/>
      <c r="D1394" s="16"/>
      <c r="E1394" s="16"/>
      <c r="F1394" s="17"/>
      <c r="G1394" s="16"/>
      <c r="H1394" s="16"/>
      <c r="I1394" s="16"/>
      <c r="J1394" s="16"/>
      <c r="K1394" s="16"/>
      <c r="L1394" s="16"/>
      <c r="M1394" s="18" t="str">
        <f aca="false">IF(OR(C1394="",D1394=""),"",IF(MOD(COUNTIFS($C$2:C1394,C1394,$D$2:D1394,D1394)*7,10)&lt;3,"teste","treino"))</f>
        <v/>
      </c>
      <c r="N1394" s="16"/>
      <c r="O1394" s="16"/>
      <c r="P1394" s="16"/>
      <c r="Q1394" s="17"/>
    </row>
    <row r="1395" customFormat="false" ht="15" hidden="false" customHeight="false" outlineLevel="0" collapsed="false">
      <c r="A1395" s="15" t="str">
        <f aca="false">IF(B1395="","",ROW()-1)</f>
        <v/>
      </c>
      <c r="B1395" s="16"/>
      <c r="C1395" s="16"/>
      <c r="D1395" s="16"/>
      <c r="E1395" s="16"/>
      <c r="F1395" s="17"/>
      <c r="G1395" s="16"/>
      <c r="H1395" s="16"/>
      <c r="I1395" s="16"/>
      <c r="J1395" s="16"/>
      <c r="K1395" s="16"/>
      <c r="L1395" s="16"/>
      <c r="M1395" s="18" t="str">
        <f aca="false">IF(OR(C1395="",D1395=""),"",IF(MOD(COUNTIFS($C$2:C1395,C1395,$D$2:D1395,D1395)*7,10)&lt;3,"teste","treino"))</f>
        <v/>
      </c>
      <c r="N1395" s="16"/>
      <c r="O1395" s="16"/>
      <c r="P1395" s="16"/>
      <c r="Q1395" s="17"/>
    </row>
    <row r="1396" customFormat="false" ht="15" hidden="false" customHeight="false" outlineLevel="0" collapsed="false">
      <c r="A1396" s="15" t="str">
        <f aca="false">IF(B1396="","",ROW()-1)</f>
        <v/>
      </c>
      <c r="B1396" s="16"/>
      <c r="C1396" s="16"/>
      <c r="D1396" s="16"/>
      <c r="E1396" s="16"/>
      <c r="F1396" s="17"/>
      <c r="G1396" s="16"/>
      <c r="H1396" s="16"/>
      <c r="I1396" s="16"/>
      <c r="J1396" s="16"/>
      <c r="K1396" s="16"/>
      <c r="L1396" s="16"/>
      <c r="M1396" s="18" t="str">
        <f aca="false">IF(OR(C1396="",D1396=""),"",IF(MOD(COUNTIFS($C$2:C1396,C1396,$D$2:D1396,D1396)*7,10)&lt;3,"teste","treino"))</f>
        <v/>
      </c>
      <c r="N1396" s="16"/>
      <c r="O1396" s="16"/>
      <c r="P1396" s="16"/>
      <c r="Q1396" s="17"/>
    </row>
    <row r="1397" customFormat="false" ht="15" hidden="false" customHeight="false" outlineLevel="0" collapsed="false">
      <c r="A1397" s="15" t="str">
        <f aca="false">IF(B1397="","",ROW()-1)</f>
        <v/>
      </c>
      <c r="B1397" s="16"/>
      <c r="C1397" s="16"/>
      <c r="D1397" s="16"/>
      <c r="E1397" s="16"/>
      <c r="F1397" s="17"/>
      <c r="G1397" s="16"/>
      <c r="H1397" s="16"/>
      <c r="I1397" s="16"/>
      <c r="J1397" s="16"/>
      <c r="K1397" s="16"/>
      <c r="L1397" s="16"/>
      <c r="M1397" s="18" t="str">
        <f aca="false">IF(OR(C1397="",D1397=""),"",IF(MOD(COUNTIFS($C$2:C1397,C1397,$D$2:D1397,D1397)*7,10)&lt;3,"teste","treino"))</f>
        <v/>
      </c>
      <c r="N1397" s="16"/>
      <c r="O1397" s="16"/>
      <c r="P1397" s="16"/>
      <c r="Q1397" s="17"/>
    </row>
    <row r="1398" customFormat="false" ht="15" hidden="false" customHeight="false" outlineLevel="0" collapsed="false">
      <c r="A1398" s="15" t="str">
        <f aca="false">IF(B1398="","",ROW()-1)</f>
        <v/>
      </c>
      <c r="B1398" s="16"/>
      <c r="C1398" s="16"/>
      <c r="D1398" s="16"/>
      <c r="E1398" s="16"/>
      <c r="F1398" s="17"/>
      <c r="G1398" s="16"/>
      <c r="H1398" s="16"/>
      <c r="I1398" s="16"/>
      <c r="J1398" s="16"/>
      <c r="K1398" s="16"/>
      <c r="L1398" s="16"/>
      <c r="M1398" s="18" t="str">
        <f aca="false">IF(OR(C1398="",D1398=""),"",IF(MOD(COUNTIFS($C$2:C1398,C1398,$D$2:D1398,D1398)*7,10)&lt;3,"teste","treino"))</f>
        <v/>
      </c>
      <c r="N1398" s="16"/>
      <c r="O1398" s="16"/>
      <c r="P1398" s="16"/>
      <c r="Q1398" s="17"/>
    </row>
    <row r="1399" customFormat="false" ht="15" hidden="false" customHeight="false" outlineLevel="0" collapsed="false">
      <c r="A1399" s="15" t="str">
        <f aca="false">IF(B1399="","",ROW()-1)</f>
        <v/>
      </c>
      <c r="B1399" s="16"/>
      <c r="C1399" s="16"/>
      <c r="D1399" s="16"/>
      <c r="E1399" s="16"/>
      <c r="F1399" s="17"/>
      <c r="G1399" s="16"/>
      <c r="H1399" s="16"/>
      <c r="I1399" s="16"/>
      <c r="J1399" s="16"/>
      <c r="K1399" s="16"/>
      <c r="L1399" s="16"/>
      <c r="M1399" s="18" t="str">
        <f aca="false">IF(OR(C1399="",D1399=""),"",IF(MOD(COUNTIFS($C$2:C1399,C1399,$D$2:D1399,D1399)*7,10)&lt;3,"teste","treino"))</f>
        <v/>
      </c>
      <c r="N1399" s="16"/>
      <c r="O1399" s="16"/>
      <c r="P1399" s="16"/>
      <c r="Q1399" s="17"/>
    </row>
    <row r="1400" customFormat="false" ht="15" hidden="false" customHeight="false" outlineLevel="0" collapsed="false">
      <c r="A1400" s="15" t="str">
        <f aca="false">IF(B1400="","",ROW()-1)</f>
        <v/>
      </c>
      <c r="B1400" s="16"/>
      <c r="C1400" s="16"/>
      <c r="D1400" s="16"/>
      <c r="E1400" s="16"/>
      <c r="F1400" s="17"/>
      <c r="G1400" s="16"/>
      <c r="H1400" s="16"/>
      <c r="I1400" s="16"/>
      <c r="J1400" s="16"/>
      <c r="K1400" s="16"/>
      <c r="L1400" s="16"/>
      <c r="M1400" s="18" t="str">
        <f aca="false">IF(OR(C1400="",D1400=""),"",IF(MOD(COUNTIFS($C$2:C1400,C1400,$D$2:D1400,D1400)*7,10)&lt;3,"teste","treino"))</f>
        <v/>
      </c>
      <c r="N1400" s="16"/>
      <c r="O1400" s="16"/>
      <c r="P1400" s="16"/>
      <c r="Q1400" s="17"/>
    </row>
    <row r="1401" customFormat="false" ht="15" hidden="false" customHeight="false" outlineLevel="0" collapsed="false">
      <c r="A1401" s="15" t="str">
        <f aca="false">IF(B1401="","",ROW()-1)</f>
        <v/>
      </c>
      <c r="B1401" s="16"/>
      <c r="C1401" s="16"/>
      <c r="D1401" s="16"/>
      <c r="E1401" s="16"/>
      <c r="F1401" s="17"/>
      <c r="G1401" s="16"/>
      <c r="H1401" s="16"/>
      <c r="I1401" s="16"/>
      <c r="J1401" s="16"/>
      <c r="K1401" s="16"/>
      <c r="L1401" s="16"/>
      <c r="M1401" s="18" t="str">
        <f aca="false">IF(OR(C1401="",D1401=""),"",IF(MOD(COUNTIFS($C$2:C1401,C1401,$D$2:D1401,D1401)*7,10)&lt;3,"teste","treino"))</f>
        <v/>
      </c>
      <c r="N1401" s="16"/>
      <c r="O1401" s="16"/>
      <c r="P1401" s="16"/>
      <c r="Q1401" s="17"/>
    </row>
    <row r="1402" customFormat="false" ht="15" hidden="false" customHeight="false" outlineLevel="0" collapsed="false">
      <c r="A1402" s="15" t="str">
        <f aca="false">IF(B1402="","",ROW()-1)</f>
        <v/>
      </c>
      <c r="B1402" s="16"/>
      <c r="C1402" s="16"/>
      <c r="D1402" s="16"/>
      <c r="E1402" s="16"/>
      <c r="F1402" s="17"/>
      <c r="G1402" s="16"/>
      <c r="H1402" s="16"/>
      <c r="I1402" s="16"/>
      <c r="J1402" s="16"/>
      <c r="K1402" s="16"/>
      <c r="L1402" s="16"/>
      <c r="M1402" s="18" t="str">
        <f aca="false">IF(OR(C1402="",D1402=""),"",IF(MOD(COUNTIFS($C$2:C1402,C1402,$D$2:D1402,D1402)*7,10)&lt;3,"teste","treino"))</f>
        <v/>
      </c>
      <c r="N1402" s="16"/>
      <c r="O1402" s="16"/>
      <c r="P1402" s="16"/>
      <c r="Q1402" s="17"/>
    </row>
    <row r="1403" customFormat="false" ht="15" hidden="false" customHeight="false" outlineLevel="0" collapsed="false">
      <c r="A1403" s="15" t="str">
        <f aca="false">IF(B1403="","",ROW()-1)</f>
        <v/>
      </c>
      <c r="B1403" s="16"/>
      <c r="C1403" s="16"/>
      <c r="D1403" s="16"/>
      <c r="E1403" s="16"/>
      <c r="F1403" s="17"/>
      <c r="G1403" s="16"/>
      <c r="H1403" s="16"/>
      <c r="I1403" s="16"/>
      <c r="J1403" s="16"/>
      <c r="K1403" s="16"/>
      <c r="L1403" s="16"/>
      <c r="M1403" s="18" t="str">
        <f aca="false">IF(OR(C1403="",D1403=""),"",IF(MOD(COUNTIFS($C$2:C1403,C1403,$D$2:D1403,D1403)*7,10)&lt;3,"teste","treino"))</f>
        <v/>
      </c>
      <c r="N1403" s="16"/>
      <c r="O1403" s="16"/>
      <c r="P1403" s="16"/>
      <c r="Q1403" s="17"/>
    </row>
    <row r="1404" customFormat="false" ht="15" hidden="false" customHeight="false" outlineLevel="0" collapsed="false">
      <c r="A1404" s="15" t="str">
        <f aca="false">IF(B1404="","",ROW()-1)</f>
        <v/>
      </c>
      <c r="B1404" s="16"/>
      <c r="C1404" s="16"/>
      <c r="D1404" s="16"/>
      <c r="E1404" s="16"/>
      <c r="F1404" s="17"/>
      <c r="G1404" s="16"/>
      <c r="H1404" s="16"/>
      <c r="I1404" s="16"/>
      <c r="J1404" s="16"/>
      <c r="K1404" s="16"/>
      <c r="L1404" s="16"/>
      <c r="M1404" s="18" t="str">
        <f aca="false">IF(OR(C1404="",D1404=""),"",IF(MOD(COUNTIFS($C$2:C1404,C1404,$D$2:D1404,D1404)*7,10)&lt;3,"teste","treino"))</f>
        <v/>
      </c>
      <c r="N1404" s="16"/>
      <c r="O1404" s="16"/>
      <c r="P1404" s="16"/>
      <c r="Q1404" s="17"/>
    </row>
    <row r="1405" customFormat="false" ht="15" hidden="false" customHeight="false" outlineLevel="0" collapsed="false">
      <c r="A1405" s="15" t="str">
        <f aca="false">IF(B1405="","",ROW()-1)</f>
        <v/>
      </c>
      <c r="B1405" s="16"/>
      <c r="C1405" s="16"/>
      <c r="D1405" s="16"/>
      <c r="E1405" s="16"/>
      <c r="F1405" s="17"/>
      <c r="G1405" s="16"/>
      <c r="H1405" s="16"/>
      <c r="I1405" s="16"/>
      <c r="J1405" s="16"/>
      <c r="K1405" s="16"/>
      <c r="L1405" s="16"/>
      <c r="M1405" s="18" t="str">
        <f aca="false">IF(OR(C1405="",D1405=""),"",IF(MOD(COUNTIFS($C$2:C1405,C1405,$D$2:D1405,D1405)*7,10)&lt;3,"teste","treino"))</f>
        <v/>
      </c>
      <c r="N1405" s="16"/>
      <c r="O1405" s="16"/>
      <c r="P1405" s="16"/>
      <c r="Q1405" s="17"/>
    </row>
    <row r="1406" customFormat="false" ht="15" hidden="false" customHeight="false" outlineLevel="0" collapsed="false">
      <c r="A1406" s="15" t="str">
        <f aca="false">IF(B1406="","",ROW()-1)</f>
        <v/>
      </c>
      <c r="B1406" s="16"/>
      <c r="C1406" s="16"/>
      <c r="D1406" s="16"/>
      <c r="E1406" s="16"/>
      <c r="F1406" s="17"/>
      <c r="G1406" s="16"/>
      <c r="H1406" s="16"/>
      <c r="I1406" s="16"/>
      <c r="J1406" s="16"/>
      <c r="K1406" s="16"/>
      <c r="L1406" s="16"/>
      <c r="M1406" s="18" t="str">
        <f aca="false">IF(OR(C1406="",D1406=""),"",IF(MOD(COUNTIFS($C$2:C1406,C1406,$D$2:D1406,D1406)*7,10)&lt;3,"teste","treino"))</f>
        <v/>
      </c>
      <c r="N1406" s="16"/>
      <c r="O1406" s="16"/>
      <c r="P1406" s="16"/>
      <c r="Q1406" s="17"/>
    </row>
    <row r="1407" customFormat="false" ht="15" hidden="false" customHeight="false" outlineLevel="0" collapsed="false">
      <c r="A1407" s="15" t="str">
        <f aca="false">IF(B1407="","",ROW()-1)</f>
        <v/>
      </c>
      <c r="B1407" s="16"/>
      <c r="C1407" s="16"/>
      <c r="D1407" s="16"/>
      <c r="E1407" s="16"/>
      <c r="F1407" s="17"/>
      <c r="G1407" s="16"/>
      <c r="H1407" s="16"/>
      <c r="I1407" s="16"/>
      <c r="J1407" s="16"/>
      <c r="K1407" s="16"/>
      <c r="L1407" s="16"/>
      <c r="M1407" s="18" t="str">
        <f aca="false">IF(OR(C1407="",D1407=""),"",IF(MOD(COUNTIFS($C$2:C1407,C1407,$D$2:D1407,D1407)*7,10)&lt;3,"teste","treino"))</f>
        <v/>
      </c>
      <c r="N1407" s="16"/>
      <c r="O1407" s="16"/>
      <c r="P1407" s="16"/>
      <c r="Q1407" s="17"/>
    </row>
    <row r="1408" customFormat="false" ht="15" hidden="false" customHeight="false" outlineLevel="0" collapsed="false">
      <c r="A1408" s="15" t="str">
        <f aca="false">IF(B1408="","",ROW()-1)</f>
        <v/>
      </c>
      <c r="B1408" s="16"/>
      <c r="C1408" s="16"/>
      <c r="D1408" s="16"/>
      <c r="E1408" s="16"/>
      <c r="F1408" s="17"/>
      <c r="G1408" s="16"/>
      <c r="H1408" s="16"/>
      <c r="I1408" s="16"/>
      <c r="J1408" s="16"/>
      <c r="K1408" s="16"/>
      <c r="L1408" s="16"/>
      <c r="M1408" s="18" t="str">
        <f aca="false">IF(OR(C1408="",D1408=""),"",IF(MOD(COUNTIFS($C$2:C1408,C1408,$D$2:D1408,D1408)*7,10)&lt;3,"teste","treino"))</f>
        <v/>
      </c>
      <c r="N1408" s="16"/>
      <c r="O1408" s="16"/>
      <c r="P1408" s="16"/>
      <c r="Q1408" s="17"/>
    </row>
    <row r="1409" customFormat="false" ht="15" hidden="false" customHeight="false" outlineLevel="0" collapsed="false">
      <c r="A1409" s="15" t="str">
        <f aca="false">IF(B1409="","",ROW()-1)</f>
        <v/>
      </c>
      <c r="B1409" s="16"/>
      <c r="C1409" s="16"/>
      <c r="D1409" s="16"/>
      <c r="E1409" s="16"/>
      <c r="F1409" s="17"/>
      <c r="G1409" s="16"/>
      <c r="H1409" s="16"/>
      <c r="I1409" s="16"/>
      <c r="J1409" s="16"/>
      <c r="K1409" s="16"/>
      <c r="L1409" s="16"/>
      <c r="M1409" s="18" t="str">
        <f aca="false">IF(OR(C1409="",D1409=""),"",IF(MOD(COUNTIFS($C$2:C1409,C1409,$D$2:D1409,D1409)*7,10)&lt;3,"teste","treino"))</f>
        <v/>
      </c>
      <c r="N1409" s="16"/>
      <c r="O1409" s="16"/>
      <c r="P1409" s="16"/>
      <c r="Q1409" s="17"/>
    </row>
    <row r="1410" customFormat="false" ht="15" hidden="false" customHeight="false" outlineLevel="0" collapsed="false">
      <c r="A1410" s="15" t="str">
        <f aca="false">IF(B1410="","",ROW()-1)</f>
        <v/>
      </c>
      <c r="B1410" s="16"/>
      <c r="C1410" s="16"/>
      <c r="D1410" s="16"/>
      <c r="E1410" s="16"/>
      <c r="F1410" s="17"/>
      <c r="G1410" s="16"/>
      <c r="H1410" s="16"/>
      <c r="I1410" s="16"/>
      <c r="J1410" s="16"/>
      <c r="K1410" s="16"/>
      <c r="L1410" s="16"/>
      <c r="M1410" s="18" t="str">
        <f aca="false">IF(OR(C1410="",D1410=""),"",IF(MOD(COUNTIFS($C$2:C1410,C1410,$D$2:D1410,D1410)*7,10)&lt;3,"teste","treino"))</f>
        <v/>
      </c>
      <c r="N1410" s="16"/>
      <c r="O1410" s="16"/>
      <c r="P1410" s="16"/>
      <c r="Q1410" s="17"/>
    </row>
    <row r="1411" customFormat="false" ht="15" hidden="false" customHeight="false" outlineLevel="0" collapsed="false">
      <c r="A1411" s="15" t="str">
        <f aca="false">IF(B1411="","",ROW()-1)</f>
        <v/>
      </c>
      <c r="B1411" s="16"/>
      <c r="C1411" s="16"/>
      <c r="D1411" s="16"/>
      <c r="E1411" s="16"/>
      <c r="F1411" s="17"/>
      <c r="G1411" s="16"/>
      <c r="H1411" s="16"/>
      <c r="I1411" s="16"/>
      <c r="J1411" s="16"/>
      <c r="K1411" s="16"/>
      <c r="L1411" s="16"/>
      <c r="M1411" s="18" t="str">
        <f aca="false">IF(OR(C1411="",D1411=""),"",IF(MOD(COUNTIFS($C$2:C1411,C1411,$D$2:D1411,D1411)*7,10)&lt;3,"teste","treino"))</f>
        <v/>
      </c>
      <c r="N1411" s="16"/>
      <c r="O1411" s="16"/>
      <c r="P1411" s="16"/>
      <c r="Q1411" s="17"/>
    </row>
    <row r="1412" customFormat="false" ht="15" hidden="false" customHeight="false" outlineLevel="0" collapsed="false">
      <c r="A1412" s="15" t="str">
        <f aca="false">IF(B1412="","",ROW()-1)</f>
        <v/>
      </c>
      <c r="B1412" s="16"/>
      <c r="C1412" s="16"/>
      <c r="D1412" s="16"/>
      <c r="E1412" s="16"/>
      <c r="F1412" s="17"/>
      <c r="G1412" s="16"/>
      <c r="H1412" s="16"/>
      <c r="I1412" s="16"/>
      <c r="J1412" s="16"/>
      <c r="K1412" s="16"/>
      <c r="L1412" s="16"/>
      <c r="M1412" s="18" t="str">
        <f aca="false">IF(OR(C1412="",D1412=""),"",IF(MOD(COUNTIFS($C$2:C1412,C1412,$D$2:D1412,D1412)*7,10)&lt;3,"teste","treino"))</f>
        <v/>
      </c>
      <c r="N1412" s="16"/>
      <c r="O1412" s="16"/>
      <c r="P1412" s="16"/>
      <c r="Q1412" s="17"/>
    </row>
    <row r="1413" customFormat="false" ht="15" hidden="false" customHeight="false" outlineLevel="0" collapsed="false">
      <c r="A1413" s="15" t="str">
        <f aca="false">IF(B1413="","",ROW()-1)</f>
        <v/>
      </c>
      <c r="B1413" s="16"/>
      <c r="C1413" s="16"/>
      <c r="D1413" s="16"/>
      <c r="E1413" s="16"/>
      <c r="F1413" s="17"/>
      <c r="G1413" s="16"/>
      <c r="H1413" s="16"/>
      <c r="I1413" s="16"/>
      <c r="J1413" s="16"/>
      <c r="K1413" s="16"/>
      <c r="L1413" s="16"/>
      <c r="M1413" s="18" t="str">
        <f aca="false">IF(OR(C1413="",D1413=""),"",IF(MOD(COUNTIFS($C$2:C1413,C1413,$D$2:D1413,D1413)*7,10)&lt;3,"teste","treino"))</f>
        <v/>
      </c>
      <c r="N1413" s="16"/>
      <c r="O1413" s="16"/>
      <c r="P1413" s="16"/>
      <c r="Q1413" s="17"/>
    </row>
    <row r="1414" customFormat="false" ht="15" hidden="false" customHeight="false" outlineLevel="0" collapsed="false">
      <c r="A1414" s="15" t="str">
        <f aca="false">IF(B1414="","",ROW()-1)</f>
        <v/>
      </c>
      <c r="B1414" s="16"/>
      <c r="C1414" s="16"/>
      <c r="D1414" s="16"/>
      <c r="E1414" s="16"/>
      <c r="F1414" s="17"/>
      <c r="G1414" s="16"/>
      <c r="H1414" s="16"/>
      <c r="I1414" s="16"/>
      <c r="J1414" s="16"/>
      <c r="K1414" s="16"/>
      <c r="L1414" s="16"/>
      <c r="M1414" s="18" t="str">
        <f aca="false">IF(OR(C1414="",D1414=""),"",IF(MOD(COUNTIFS($C$2:C1414,C1414,$D$2:D1414,D1414)*7,10)&lt;3,"teste","treino"))</f>
        <v/>
      </c>
      <c r="N1414" s="16"/>
      <c r="O1414" s="16"/>
      <c r="P1414" s="16"/>
      <c r="Q1414" s="17"/>
    </row>
    <row r="1415" customFormat="false" ht="15" hidden="false" customHeight="false" outlineLevel="0" collapsed="false">
      <c r="A1415" s="15" t="str">
        <f aca="false">IF(B1415="","",ROW()-1)</f>
        <v/>
      </c>
      <c r="B1415" s="16"/>
      <c r="C1415" s="16"/>
      <c r="D1415" s="16"/>
      <c r="E1415" s="16"/>
      <c r="F1415" s="17"/>
      <c r="G1415" s="16"/>
      <c r="H1415" s="16"/>
      <c r="I1415" s="16"/>
      <c r="J1415" s="16"/>
      <c r="K1415" s="16"/>
      <c r="L1415" s="16"/>
      <c r="M1415" s="18" t="str">
        <f aca="false">IF(OR(C1415="",D1415=""),"",IF(MOD(COUNTIFS($C$2:C1415,C1415,$D$2:D1415,D1415)*7,10)&lt;3,"teste","treino"))</f>
        <v/>
      </c>
      <c r="N1415" s="16"/>
      <c r="O1415" s="16"/>
      <c r="P1415" s="16"/>
      <c r="Q1415" s="17"/>
    </row>
    <row r="1416" customFormat="false" ht="15" hidden="false" customHeight="false" outlineLevel="0" collapsed="false">
      <c r="A1416" s="15" t="str">
        <f aca="false">IF(B1416="","",ROW()-1)</f>
        <v/>
      </c>
      <c r="B1416" s="16"/>
      <c r="C1416" s="16"/>
      <c r="D1416" s="16"/>
      <c r="E1416" s="16"/>
      <c r="F1416" s="17"/>
      <c r="G1416" s="16"/>
      <c r="H1416" s="16"/>
      <c r="I1416" s="16"/>
      <c r="J1416" s="16"/>
      <c r="K1416" s="16"/>
      <c r="L1416" s="16"/>
      <c r="M1416" s="18" t="str">
        <f aca="false">IF(OR(C1416="",D1416=""),"",IF(MOD(COUNTIFS($C$2:C1416,C1416,$D$2:D1416,D1416)*7,10)&lt;3,"teste","treino"))</f>
        <v/>
      </c>
      <c r="N1416" s="16"/>
      <c r="O1416" s="16"/>
      <c r="P1416" s="16"/>
      <c r="Q1416" s="17"/>
    </row>
    <row r="1417" customFormat="false" ht="15" hidden="false" customHeight="false" outlineLevel="0" collapsed="false">
      <c r="A1417" s="15" t="str">
        <f aca="false">IF(B1417="","",ROW()-1)</f>
        <v/>
      </c>
      <c r="B1417" s="16"/>
      <c r="C1417" s="16"/>
      <c r="D1417" s="16"/>
      <c r="E1417" s="16"/>
      <c r="F1417" s="17"/>
      <c r="G1417" s="16"/>
      <c r="H1417" s="16"/>
      <c r="I1417" s="16"/>
      <c r="J1417" s="16"/>
      <c r="K1417" s="16"/>
      <c r="L1417" s="16"/>
      <c r="M1417" s="18" t="str">
        <f aca="false">IF(OR(C1417="",D1417=""),"",IF(MOD(COUNTIFS($C$2:C1417,C1417,$D$2:D1417,D1417)*7,10)&lt;3,"teste","treino"))</f>
        <v/>
      </c>
      <c r="N1417" s="16"/>
      <c r="O1417" s="16"/>
      <c r="P1417" s="16"/>
      <c r="Q1417" s="17"/>
    </row>
    <row r="1418" customFormat="false" ht="15" hidden="false" customHeight="false" outlineLevel="0" collapsed="false">
      <c r="A1418" s="15" t="str">
        <f aca="false">IF(B1418="","",ROW()-1)</f>
        <v/>
      </c>
      <c r="B1418" s="16"/>
      <c r="C1418" s="16"/>
      <c r="D1418" s="16"/>
      <c r="E1418" s="16"/>
      <c r="F1418" s="17"/>
      <c r="G1418" s="16"/>
      <c r="H1418" s="16"/>
      <c r="I1418" s="16"/>
      <c r="J1418" s="16"/>
      <c r="K1418" s="16"/>
      <c r="L1418" s="16"/>
      <c r="M1418" s="18" t="str">
        <f aca="false">IF(OR(C1418="",D1418=""),"",IF(MOD(COUNTIFS($C$2:C1418,C1418,$D$2:D1418,D1418)*7,10)&lt;3,"teste","treino"))</f>
        <v/>
      </c>
      <c r="N1418" s="16"/>
      <c r="O1418" s="16"/>
      <c r="P1418" s="16"/>
      <c r="Q1418" s="17"/>
    </row>
    <row r="1419" customFormat="false" ht="15" hidden="false" customHeight="false" outlineLevel="0" collapsed="false">
      <c r="A1419" s="15" t="str">
        <f aca="false">IF(B1419="","",ROW()-1)</f>
        <v/>
      </c>
      <c r="B1419" s="16"/>
      <c r="C1419" s="16"/>
      <c r="D1419" s="16"/>
      <c r="E1419" s="16"/>
      <c r="F1419" s="17"/>
      <c r="G1419" s="16"/>
      <c r="H1419" s="16"/>
      <c r="I1419" s="16"/>
      <c r="J1419" s="16"/>
      <c r="K1419" s="16"/>
      <c r="L1419" s="16"/>
      <c r="M1419" s="18" t="str">
        <f aca="false">IF(OR(C1419="",D1419=""),"",IF(MOD(COUNTIFS($C$2:C1419,C1419,$D$2:D1419,D1419)*7,10)&lt;3,"teste","treino"))</f>
        <v/>
      </c>
      <c r="N1419" s="16"/>
      <c r="O1419" s="16"/>
      <c r="P1419" s="16"/>
      <c r="Q1419" s="17"/>
    </row>
    <row r="1420" customFormat="false" ht="15" hidden="false" customHeight="false" outlineLevel="0" collapsed="false">
      <c r="A1420" s="15" t="str">
        <f aca="false">IF(B1420="","",ROW()-1)</f>
        <v/>
      </c>
      <c r="B1420" s="16"/>
      <c r="C1420" s="16"/>
      <c r="D1420" s="16"/>
      <c r="E1420" s="16"/>
      <c r="F1420" s="17"/>
      <c r="G1420" s="16"/>
      <c r="H1420" s="16"/>
      <c r="I1420" s="16"/>
      <c r="J1420" s="16"/>
      <c r="K1420" s="16"/>
      <c r="L1420" s="16"/>
      <c r="M1420" s="18" t="str">
        <f aca="false">IF(OR(C1420="",D1420=""),"",IF(MOD(COUNTIFS($C$2:C1420,C1420,$D$2:D1420,D1420)*7,10)&lt;3,"teste","treino"))</f>
        <v/>
      </c>
      <c r="N1420" s="16"/>
      <c r="O1420" s="16"/>
      <c r="P1420" s="16"/>
      <c r="Q1420" s="17"/>
    </row>
    <row r="1421" customFormat="false" ht="15" hidden="false" customHeight="false" outlineLevel="0" collapsed="false">
      <c r="A1421" s="15" t="str">
        <f aca="false">IF(B1421="","",ROW()-1)</f>
        <v/>
      </c>
      <c r="B1421" s="16"/>
      <c r="C1421" s="16"/>
      <c r="D1421" s="16"/>
      <c r="E1421" s="16"/>
      <c r="F1421" s="17"/>
      <c r="G1421" s="16"/>
      <c r="H1421" s="16"/>
      <c r="I1421" s="16"/>
      <c r="J1421" s="16"/>
      <c r="K1421" s="16"/>
      <c r="L1421" s="16"/>
      <c r="M1421" s="18" t="str">
        <f aca="false">IF(OR(C1421="",D1421=""),"",IF(MOD(COUNTIFS($C$2:C1421,C1421,$D$2:D1421,D1421)*7,10)&lt;3,"teste","treino"))</f>
        <v/>
      </c>
      <c r="N1421" s="16"/>
      <c r="O1421" s="16"/>
      <c r="P1421" s="16"/>
      <c r="Q1421" s="17"/>
    </row>
    <row r="1422" customFormat="false" ht="15" hidden="false" customHeight="false" outlineLevel="0" collapsed="false">
      <c r="A1422" s="15" t="str">
        <f aca="false">IF(B1422="","",ROW()-1)</f>
        <v/>
      </c>
      <c r="B1422" s="16"/>
      <c r="C1422" s="16"/>
      <c r="D1422" s="16"/>
      <c r="E1422" s="16"/>
      <c r="F1422" s="17"/>
      <c r="G1422" s="16"/>
      <c r="H1422" s="16"/>
      <c r="I1422" s="16"/>
      <c r="J1422" s="16"/>
      <c r="K1422" s="16"/>
      <c r="L1422" s="16"/>
      <c r="M1422" s="18" t="str">
        <f aca="false">IF(OR(C1422="",D1422=""),"",IF(MOD(COUNTIFS($C$2:C1422,C1422,$D$2:D1422,D1422)*7,10)&lt;3,"teste","treino"))</f>
        <v/>
      </c>
      <c r="N1422" s="16"/>
      <c r="O1422" s="16"/>
      <c r="P1422" s="16"/>
      <c r="Q1422" s="17"/>
    </row>
    <row r="1423" customFormat="false" ht="15" hidden="false" customHeight="false" outlineLevel="0" collapsed="false">
      <c r="A1423" s="15" t="str">
        <f aca="false">IF(B1423="","",ROW()-1)</f>
        <v/>
      </c>
      <c r="B1423" s="16"/>
      <c r="C1423" s="16"/>
      <c r="D1423" s="16"/>
      <c r="E1423" s="16"/>
      <c r="F1423" s="17"/>
      <c r="G1423" s="16"/>
      <c r="H1423" s="16"/>
      <c r="I1423" s="16"/>
      <c r="J1423" s="16"/>
      <c r="K1423" s="16"/>
      <c r="L1423" s="16"/>
      <c r="M1423" s="18" t="str">
        <f aca="false">IF(OR(C1423="",D1423=""),"",IF(MOD(COUNTIFS($C$2:C1423,C1423,$D$2:D1423,D1423)*7,10)&lt;3,"teste","treino"))</f>
        <v/>
      </c>
      <c r="N1423" s="16"/>
      <c r="O1423" s="16"/>
      <c r="P1423" s="16"/>
      <c r="Q1423" s="17"/>
    </row>
    <row r="1424" customFormat="false" ht="15" hidden="false" customHeight="false" outlineLevel="0" collapsed="false">
      <c r="A1424" s="15" t="str">
        <f aca="false">IF(B1424="","",ROW()-1)</f>
        <v/>
      </c>
      <c r="B1424" s="16"/>
      <c r="C1424" s="16"/>
      <c r="D1424" s="16"/>
      <c r="E1424" s="16"/>
      <c r="F1424" s="17"/>
      <c r="G1424" s="16"/>
      <c r="H1424" s="16"/>
      <c r="I1424" s="16"/>
      <c r="J1424" s="16"/>
      <c r="K1424" s="16"/>
      <c r="L1424" s="16"/>
      <c r="M1424" s="18" t="str">
        <f aca="false">IF(OR(C1424="",D1424=""),"",IF(MOD(COUNTIFS($C$2:C1424,C1424,$D$2:D1424,D1424)*7,10)&lt;3,"teste","treino"))</f>
        <v/>
      </c>
      <c r="N1424" s="16"/>
      <c r="O1424" s="16"/>
      <c r="P1424" s="16"/>
      <c r="Q1424" s="17"/>
    </row>
    <row r="1425" customFormat="false" ht="15" hidden="false" customHeight="false" outlineLevel="0" collapsed="false">
      <c r="A1425" s="15" t="str">
        <f aca="false">IF(B1425="","",ROW()-1)</f>
        <v/>
      </c>
      <c r="B1425" s="16"/>
      <c r="C1425" s="16"/>
      <c r="D1425" s="16"/>
      <c r="E1425" s="16"/>
      <c r="F1425" s="17"/>
      <c r="G1425" s="16"/>
      <c r="H1425" s="16"/>
      <c r="I1425" s="16"/>
      <c r="J1425" s="16"/>
      <c r="K1425" s="16"/>
      <c r="L1425" s="16"/>
      <c r="M1425" s="18" t="str">
        <f aca="false">IF(OR(C1425="",D1425=""),"",IF(MOD(COUNTIFS($C$2:C1425,C1425,$D$2:D1425,D1425)*7,10)&lt;3,"teste","treino"))</f>
        <v/>
      </c>
      <c r="N1425" s="16"/>
      <c r="O1425" s="16"/>
      <c r="P1425" s="16"/>
      <c r="Q1425" s="17"/>
    </row>
    <row r="1426" customFormat="false" ht="15" hidden="false" customHeight="false" outlineLevel="0" collapsed="false">
      <c r="A1426" s="15" t="str">
        <f aca="false">IF(B1426="","",ROW()-1)</f>
        <v/>
      </c>
      <c r="B1426" s="16"/>
      <c r="C1426" s="16"/>
      <c r="D1426" s="16"/>
      <c r="E1426" s="16"/>
      <c r="F1426" s="17"/>
      <c r="G1426" s="16"/>
      <c r="H1426" s="16"/>
      <c r="I1426" s="16"/>
      <c r="J1426" s="16"/>
      <c r="K1426" s="16"/>
      <c r="L1426" s="16"/>
      <c r="M1426" s="18" t="str">
        <f aca="false">IF(OR(C1426="",D1426=""),"",IF(MOD(COUNTIFS($C$2:C1426,C1426,$D$2:D1426,D1426)*7,10)&lt;3,"teste","treino"))</f>
        <v/>
      </c>
      <c r="N1426" s="16"/>
      <c r="O1426" s="16"/>
      <c r="P1426" s="16"/>
      <c r="Q1426" s="17"/>
    </row>
    <row r="1427" customFormat="false" ht="15" hidden="false" customHeight="false" outlineLevel="0" collapsed="false">
      <c r="A1427" s="15" t="str">
        <f aca="false">IF(B1427="","",ROW()-1)</f>
        <v/>
      </c>
      <c r="B1427" s="16"/>
      <c r="C1427" s="16"/>
      <c r="D1427" s="16"/>
      <c r="E1427" s="16"/>
      <c r="F1427" s="17"/>
      <c r="G1427" s="16"/>
      <c r="H1427" s="16"/>
      <c r="I1427" s="16"/>
      <c r="J1427" s="16"/>
      <c r="K1427" s="16"/>
      <c r="L1427" s="16"/>
      <c r="M1427" s="18" t="str">
        <f aca="false">IF(OR(C1427="",D1427=""),"",IF(MOD(COUNTIFS($C$2:C1427,C1427,$D$2:D1427,D1427)*7,10)&lt;3,"teste","treino"))</f>
        <v/>
      </c>
      <c r="N1427" s="16"/>
      <c r="O1427" s="16"/>
      <c r="P1427" s="16"/>
      <c r="Q1427" s="17"/>
    </row>
    <row r="1428" customFormat="false" ht="15" hidden="false" customHeight="false" outlineLevel="0" collapsed="false">
      <c r="A1428" s="15" t="str">
        <f aca="false">IF(B1428="","",ROW()-1)</f>
        <v/>
      </c>
      <c r="B1428" s="16"/>
      <c r="C1428" s="16"/>
      <c r="D1428" s="16"/>
      <c r="E1428" s="16"/>
      <c r="F1428" s="17"/>
      <c r="G1428" s="16"/>
      <c r="H1428" s="16"/>
      <c r="I1428" s="16"/>
      <c r="J1428" s="16"/>
      <c r="K1428" s="16"/>
      <c r="L1428" s="16"/>
      <c r="M1428" s="18" t="str">
        <f aca="false">IF(OR(C1428="",D1428=""),"",IF(MOD(COUNTIFS($C$2:C1428,C1428,$D$2:D1428,D1428)*7,10)&lt;3,"teste","treino"))</f>
        <v/>
      </c>
      <c r="N1428" s="16"/>
      <c r="O1428" s="16"/>
      <c r="P1428" s="16"/>
      <c r="Q1428" s="17"/>
    </row>
    <row r="1429" customFormat="false" ht="15" hidden="false" customHeight="false" outlineLevel="0" collapsed="false">
      <c r="A1429" s="15" t="str">
        <f aca="false">IF(B1429="","",ROW()-1)</f>
        <v/>
      </c>
      <c r="B1429" s="16"/>
      <c r="C1429" s="16"/>
      <c r="D1429" s="16"/>
      <c r="E1429" s="16"/>
      <c r="F1429" s="17"/>
      <c r="G1429" s="16"/>
      <c r="H1429" s="16"/>
      <c r="I1429" s="16"/>
      <c r="J1429" s="16"/>
      <c r="K1429" s="16"/>
      <c r="L1429" s="16"/>
      <c r="M1429" s="18" t="str">
        <f aca="false">IF(OR(C1429="",D1429=""),"",IF(MOD(COUNTIFS($C$2:C1429,C1429,$D$2:D1429,D1429)*7,10)&lt;3,"teste","treino"))</f>
        <v/>
      </c>
      <c r="N1429" s="16"/>
      <c r="O1429" s="16"/>
      <c r="P1429" s="16"/>
      <c r="Q1429" s="17"/>
    </row>
    <row r="1430" customFormat="false" ht="15" hidden="false" customHeight="false" outlineLevel="0" collapsed="false">
      <c r="A1430" s="15" t="str">
        <f aca="false">IF(B1430="","",ROW()-1)</f>
        <v/>
      </c>
      <c r="B1430" s="16"/>
      <c r="C1430" s="16"/>
      <c r="D1430" s="16"/>
      <c r="E1430" s="16"/>
      <c r="F1430" s="17"/>
      <c r="G1430" s="16"/>
      <c r="H1430" s="16"/>
      <c r="I1430" s="16"/>
      <c r="J1430" s="16"/>
      <c r="K1430" s="16"/>
      <c r="L1430" s="16"/>
      <c r="M1430" s="18" t="str">
        <f aca="false">IF(OR(C1430="",D1430=""),"",IF(MOD(COUNTIFS($C$2:C1430,C1430,$D$2:D1430,D1430)*7,10)&lt;3,"teste","treino"))</f>
        <v/>
      </c>
      <c r="N1430" s="16"/>
      <c r="O1430" s="16"/>
      <c r="P1430" s="16"/>
      <c r="Q1430" s="17"/>
    </row>
    <row r="1431" customFormat="false" ht="15" hidden="false" customHeight="false" outlineLevel="0" collapsed="false">
      <c r="A1431" s="15" t="str">
        <f aca="false">IF(B1431="","",ROW()-1)</f>
        <v/>
      </c>
      <c r="B1431" s="16"/>
      <c r="C1431" s="16"/>
      <c r="D1431" s="16"/>
      <c r="E1431" s="16"/>
      <c r="F1431" s="17"/>
      <c r="G1431" s="16"/>
      <c r="H1431" s="16"/>
      <c r="I1431" s="16"/>
      <c r="J1431" s="16"/>
      <c r="K1431" s="16"/>
      <c r="L1431" s="16"/>
      <c r="M1431" s="18" t="str">
        <f aca="false">IF(OR(C1431="",D1431=""),"",IF(MOD(COUNTIFS($C$2:C1431,C1431,$D$2:D1431,D1431)*7,10)&lt;3,"teste","treino"))</f>
        <v/>
      </c>
      <c r="N1431" s="16"/>
      <c r="O1431" s="16"/>
      <c r="P1431" s="16"/>
      <c r="Q1431" s="17"/>
    </row>
    <row r="1432" customFormat="false" ht="15" hidden="false" customHeight="false" outlineLevel="0" collapsed="false">
      <c r="A1432" s="15" t="str">
        <f aca="false">IF(B1432="","",ROW()-1)</f>
        <v/>
      </c>
      <c r="B1432" s="16"/>
      <c r="C1432" s="16"/>
      <c r="D1432" s="16"/>
      <c r="E1432" s="16"/>
      <c r="F1432" s="17"/>
      <c r="G1432" s="16"/>
      <c r="H1432" s="16"/>
      <c r="I1432" s="16"/>
      <c r="J1432" s="16"/>
      <c r="K1432" s="16"/>
      <c r="L1432" s="16"/>
      <c r="M1432" s="18" t="str">
        <f aca="false">IF(OR(C1432="",D1432=""),"",IF(MOD(COUNTIFS($C$2:C1432,C1432,$D$2:D1432,D1432)*7,10)&lt;3,"teste","treino"))</f>
        <v/>
      </c>
      <c r="N1432" s="16"/>
      <c r="O1432" s="16"/>
      <c r="P1432" s="16"/>
      <c r="Q1432" s="17"/>
    </row>
    <row r="1433" customFormat="false" ht="15" hidden="false" customHeight="false" outlineLevel="0" collapsed="false">
      <c r="A1433" s="15" t="str">
        <f aca="false">IF(B1433="","",ROW()-1)</f>
        <v/>
      </c>
      <c r="B1433" s="16"/>
      <c r="C1433" s="16"/>
      <c r="D1433" s="16"/>
      <c r="E1433" s="16"/>
      <c r="F1433" s="17"/>
      <c r="G1433" s="16"/>
      <c r="H1433" s="16"/>
      <c r="I1433" s="16"/>
      <c r="J1433" s="16"/>
      <c r="K1433" s="16"/>
      <c r="L1433" s="16"/>
      <c r="M1433" s="18" t="str">
        <f aca="false">IF(OR(C1433="",D1433=""),"",IF(MOD(COUNTIFS($C$2:C1433,C1433,$D$2:D1433,D1433)*7,10)&lt;3,"teste","treino"))</f>
        <v/>
      </c>
      <c r="N1433" s="16"/>
      <c r="O1433" s="16"/>
      <c r="P1433" s="16"/>
      <c r="Q1433" s="17"/>
    </row>
    <row r="1434" customFormat="false" ht="15" hidden="false" customHeight="false" outlineLevel="0" collapsed="false">
      <c r="A1434" s="15" t="str">
        <f aca="false">IF(B1434="","",ROW()-1)</f>
        <v/>
      </c>
      <c r="B1434" s="16"/>
      <c r="C1434" s="16"/>
      <c r="D1434" s="16"/>
      <c r="E1434" s="16"/>
      <c r="F1434" s="17"/>
      <c r="G1434" s="16"/>
      <c r="H1434" s="16"/>
      <c r="I1434" s="16"/>
      <c r="J1434" s="16"/>
      <c r="K1434" s="16"/>
      <c r="L1434" s="16"/>
      <c r="M1434" s="18" t="str">
        <f aca="false">IF(OR(C1434="",D1434=""),"",IF(MOD(COUNTIFS($C$2:C1434,C1434,$D$2:D1434,D1434)*7,10)&lt;3,"teste","treino"))</f>
        <v/>
      </c>
      <c r="N1434" s="16"/>
      <c r="O1434" s="16"/>
      <c r="P1434" s="16"/>
      <c r="Q1434" s="17"/>
    </row>
    <row r="1435" customFormat="false" ht="15" hidden="false" customHeight="false" outlineLevel="0" collapsed="false">
      <c r="A1435" s="15" t="str">
        <f aca="false">IF(B1435="","",ROW()-1)</f>
        <v/>
      </c>
      <c r="B1435" s="16"/>
      <c r="C1435" s="16"/>
      <c r="D1435" s="16"/>
      <c r="E1435" s="16"/>
      <c r="F1435" s="17"/>
      <c r="G1435" s="16"/>
      <c r="H1435" s="16"/>
      <c r="I1435" s="16"/>
      <c r="J1435" s="16"/>
      <c r="K1435" s="16"/>
      <c r="L1435" s="16"/>
      <c r="M1435" s="18" t="str">
        <f aca="false">IF(OR(C1435="",D1435=""),"",IF(MOD(COUNTIFS($C$2:C1435,C1435,$D$2:D1435,D1435)*7,10)&lt;3,"teste","treino"))</f>
        <v/>
      </c>
      <c r="N1435" s="16"/>
      <c r="O1435" s="16"/>
      <c r="P1435" s="16"/>
      <c r="Q1435" s="17"/>
    </row>
    <row r="1436" customFormat="false" ht="15" hidden="false" customHeight="false" outlineLevel="0" collapsed="false">
      <c r="A1436" s="15" t="str">
        <f aca="false">IF(B1436="","",ROW()-1)</f>
        <v/>
      </c>
      <c r="B1436" s="16"/>
      <c r="C1436" s="16"/>
      <c r="D1436" s="16"/>
      <c r="E1436" s="16"/>
      <c r="F1436" s="17"/>
      <c r="G1436" s="16"/>
      <c r="H1436" s="16"/>
      <c r="I1436" s="16"/>
      <c r="J1436" s="16"/>
      <c r="K1436" s="16"/>
      <c r="L1436" s="16"/>
      <c r="M1436" s="18" t="str">
        <f aca="false">IF(OR(C1436="",D1436=""),"",IF(MOD(COUNTIFS($C$2:C1436,C1436,$D$2:D1436,D1436)*7,10)&lt;3,"teste","treino"))</f>
        <v/>
      </c>
      <c r="N1436" s="16"/>
      <c r="O1436" s="16"/>
      <c r="P1436" s="16"/>
      <c r="Q1436" s="17"/>
    </row>
    <row r="1437" customFormat="false" ht="15" hidden="false" customHeight="false" outlineLevel="0" collapsed="false">
      <c r="A1437" s="15" t="str">
        <f aca="false">IF(B1437="","",ROW()-1)</f>
        <v/>
      </c>
      <c r="B1437" s="16"/>
      <c r="C1437" s="16"/>
      <c r="D1437" s="16"/>
      <c r="E1437" s="16"/>
      <c r="F1437" s="17"/>
      <c r="G1437" s="16"/>
      <c r="H1437" s="16"/>
      <c r="I1437" s="16"/>
      <c r="J1437" s="16"/>
      <c r="K1437" s="16"/>
      <c r="L1437" s="16"/>
      <c r="M1437" s="18" t="str">
        <f aca="false">IF(OR(C1437="",D1437=""),"",IF(MOD(COUNTIFS($C$2:C1437,C1437,$D$2:D1437,D1437)*7,10)&lt;3,"teste","treino"))</f>
        <v/>
      </c>
      <c r="N1437" s="16"/>
      <c r="O1437" s="16"/>
      <c r="P1437" s="16"/>
      <c r="Q1437" s="17"/>
    </row>
    <row r="1438" customFormat="false" ht="15" hidden="false" customHeight="false" outlineLevel="0" collapsed="false">
      <c r="A1438" s="15" t="str">
        <f aca="false">IF(B1438="","",ROW()-1)</f>
        <v/>
      </c>
      <c r="B1438" s="16"/>
      <c r="C1438" s="16"/>
      <c r="D1438" s="16"/>
      <c r="E1438" s="16"/>
      <c r="F1438" s="17"/>
      <c r="G1438" s="16"/>
      <c r="H1438" s="16"/>
      <c r="I1438" s="16"/>
      <c r="J1438" s="16"/>
      <c r="K1438" s="16"/>
      <c r="L1438" s="16"/>
      <c r="M1438" s="18" t="str">
        <f aca="false">IF(OR(C1438="",D1438=""),"",IF(MOD(COUNTIFS($C$2:C1438,C1438,$D$2:D1438,D1438)*7,10)&lt;3,"teste","treino"))</f>
        <v/>
      </c>
      <c r="N1438" s="16"/>
      <c r="O1438" s="16"/>
      <c r="P1438" s="16"/>
      <c r="Q1438" s="17"/>
    </row>
    <row r="1439" customFormat="false" ht="15" hidden="false" customHeight="false" outlineLevel="0" collapsed="false">
      <c r="A1439" s="15" t="str">
        <f aca="false">IF(B1439="","",ROW()-1)</f>
        <v/>
      </c>
      <c r="B1439" s="16"/>
      <c r="C1439" s="16"/>
      <c r="D1439" s="16"/>
      <c r="E1439" s="16"/>
      <c r="F1439" s="17"/>
      <c r="G1439" s="16"/>
      <c r="H1439" s="16"/>
      <c r="I1439" s="16"/>
      <c r="J1439" s="16"/>
      <c r="K1439" s="16"/>
      <c r="L1439" s="16"/>
      <c r="M1439" s="18" t="str">
        <f aca="false">IF(OR(C1439="",D1439=""),"",IF(MOD(COUNTIFS($C$2:C1439,C1439,$D$2:D1439,D1439)*7,10)&lt;3,"teste","treino"))</f>
        <v/>
      </c>
      <c r="N1439" s="16"/>
      <c r="O1439" s="16"/>
      <c r="P1439" s="16"/>
      <c r="Q1439" s="17"/>
    </row>
    <row r="1440" customFormat="false" ht="15" hidden="false" customHeight="false" outlineLevel="0" collapsed="false">
      <c r="A1440" s="15" t="str">
        <f aca="false">IF(B1440="","",ROW()-1)</f>
        <v/>
      </c>
      <c r="B1440" s="16"/>
      <c r="C1440" s="16"/>
      <c r="D1440" s="16"/>
      <c r="E1440" s="16"/>
      <c r="F1440" s="17"/>
      <c r="G1440" s="16"/>
      <c r="H1440" s="16"/>
      <c r="I1440" s="16"/>
      <c r="J1440" s="16"/>
      <c r="K1440" s="16"/>
      <c r="L1440" s="16"/>
      <c r="M1440" s="18" t="str">
        <f aca="false">IF(OR(C1440="",D1440=""),"",IF(MOD(COUNTIFS($C$2:C1440,C1440,$D$2:D1440,D1440)*7,10)&lt;3,"teste","treino"))</f>
        <v/>
      </c>
      <c r="N1440" s="16"/>
      <c r="O1440" s="16"/>
      <c r="P1440" s="16"/>
      <c r="Q1440" s="17"/>
    </row>
    <row r="1441" customFormat="false" ht="15" hidden="false" customHeight="false" outlineLevel="0" collapsed="false">
      <c r="A1441" s="15" t="str">
        <f aca="false">IF(B1441="","",ROW()-1)</f>
        <v/>
      </c>
      <c r="B1441" s="16"/>
      <c r="C1441" s="16"/>
      <c r="D1441" s="16"/>
      <c r="E1441" s="16"/>
      <c r="F1441" s="17"/>
      <c r="G1441" s="16"/>
      <c r="H1441" s="16"/>
      <c r="I1441" s="16"/>
      <c r="J1441" s="16"/>
      <c r="K1441" s="16"/>
      <c r="L1441" s="16"/>
      <c r="M1441" s="18" t="str">
        <f aca="false">IF(OR(C1441="",D1441=""),"",IF(MOD(COUNTIFS($C$2:C1441,C1441,$D$2:D1441,D1441)*7,10)&lt;3,"teste","treino"))</f>
        <v/>
      </c>
      <c r="N1441" s="16"/>
      <c r="O1441" s="16"/>
      <c r="P1441" s="16"/>
      <c r="Q1441" s="17"/>
    </row>
    <row r="1442" customFormat="false" ht="15" hidden="false" customHeight="false" outlineLevel="0" collapsed="false">
      <c r="A1442" s="15" t="str">
        <f aca="false">IF(B1442="","",ROW()-1)</f>
        <v/>
      </c>
      <c r="B1442" s="16"/>
      <c r="C1442" s="16"/>
      <c r="D1442" s="16"/>
      <c r="E1442" s="16"/>
      <c r="F1442" s="17"/>
      <c r="G1442" s="16"/>
      <c r="H1442" s="16"/>
      <c r="I1442" s="16"/>
      <c r="J1442" s="16"/>
      <c r="K1442" s="16"/>
      <c r="L1442" s="16"/>
      <c r="M1442" s="18" t="str">
        <f aca="false">IF(OR(C1442="",D1442=""),"",IF(MOD(COUNTIFS($C$2:C1442,C1442,$D$2:D1442,D1442)*7,10)&lt;3,"teste","treino"))</f>
        <v/>
      </c>
      <c r="N1442" s="16"/>
      <c r="O1442" s="16"/>
      <c r="P1442" s="16"/>
      <c r="Q1442" s="17"/>
    </row>
    <row r="1443" customFormat="false" ht="15" hidden="false" customHeight="false" outlineLevel="0" collapsed="false">
      <c r="A1443" s="15" t="str">
        <f aca="false">IF(B1443="","",ROW()-1)</f>
        <v/>
      </c>
      <c r="B1443" s="16"/>
      <c r="C1443" s="16"/>
      <c r="D1443" s="16"/>
      <c r="E1443" s="16"/>
      <c r="F1443" s="17"/>
      <c r="G1443" s="16"/>
      <c r="H1443" s="16"/>
      <c r="I1443" s="16"/>
      <c r="J1443" s="16"/>
      <c r="K1443" s="16"/>
      <c r="L1443" s="16"/>
      <c r="M1443" s="18" t="str">
        <f aca="false">IF(OR(C1443="",D1443=""),"",IF(MOD(COUNTIFS($C$2:C1443,C1443,$D$2:D1443,D1443)*7,10)&lt;3,"teste","treino"))</f>
        <v/>
      </c>
      <c r="N1443" s="16"/>
      <c r="O1443" s="16"/>
      <c r="P1443" s="16"/>
      <c r="Q1443" s="17"/>
    </row>
    <row r="1444" customFormat="false" ht="15" hidden="false" customHeight="false" outlineLevel="0" collapsed="false">
      <c r="A1444" s="15" t="str">
        <f aca="false">IF(B1444="","",ROW()-1)</f>
        <v/>
      </c>
      <c r="B1444" s="16"/>
      <c r="C1444" s="16"/>
      <c r="D1444" s="16"/>
      <c r="E1444" s="16"/>
      <c r="F1444" s="17"/>
      <c r="G1444" s="16"/>
      <c r="H1444" s="16"/>
      <c r="I1444" s="16"/>
      <c r="J1444" s="16"/>
      <c r="K1444" s="16"/>
      <c r="L1444" s="16"/>
      <c r="M1444" s="18" t="str">
        <f aca="false">IF(OR(C1444="",D1444=""),"",IF(MOD(COUNTIFS($C$2:C1444,C1444,$D$2:D1444,D1444)*7,10)&lt;3,"teste","treino"))</f>
        <v/>
      </c>
      <c r="N1444" s="16"/>
      <c r="O1444" s="16"/>
      <c r="P1444" s="16"/>
      <c r="Q1444" s="17"/>
    </row>
    <row r="1445" customFormat="false" ht="15" hidden="false" customHeight="false" outlineLevel="0" collapsed="false">
      <c r="A1445" s="15" t="str">
        <f aca="false">IF(B1445="","",ROW()-1)</f>
        <v/>
      </c>
      <c r="B1445" s="16"/>
      <c r="C1445" s="16"/>
      <c r="D1445" s="16"/>
      <c r="E1445" s="16"/>
      <c r="F1445" s="17"/>
      <c r="G1445" s="16"/>
      <c r="H1445" s="16"/>
      <c r="I1445" s="16"/>
      <c r="J1445" s="16"/>
      <c r="K1445" s="16"/>
      <c r="L1445" s="16"/>
      <c r="M1445" s="18" t="str">
        <f aca="false">IF(OR(C1445="",D1445=""),"",IF(MOD(COUNTIFS($C$2:C1445,C1445,$D$2:D1445,D1445)*7,10)&lt;3,"teste","treino"))</f>
        <v/>
      </c>
      <c r="N1445" s="16"/>
      <c r="O1445" s="16"/>
      <c r="P1445" s="16"/>
      <c r="Q1445" s="17"/>
    </row>
    <row r="1446" customFormat="false" ht="15" hidden="false" customHeight="false" outlineLevel="0" collapsed="false">
      <c r="A1446" s="15" t="str">
        <f aca="false">IF(B1446="","",ROW()-1)</f>
        <v/>
      </c>
      <c r="B1446" s="16"/>
      <c r="C1446" s="16"/>
      <c r="D1446" s="16"/>
      <c r="E1446" s="16"/>
      <c r="F1446" s="17"/>
      <c r="G1446" s="16"/>
      <c r="H1446" s="16"/>
      <c r="I1446" s="16"/>
      <c r="J1446" s="16"/>
      <c r="K1446" s="16"/>
      <c r="L1446" s="16"/>
      <c r="M1446" s="18" t="str">
        <f aca="false">IF(OR(C1446="",D1446=""),"",IF(MOD(COUNTIFS($C$2:C1446,C1446,$D$2:D1446,D1446)*7,10)&lt;3,"teste","treino"))</f>
        <v/>
      </c>
      <c r="N1446" s="16"/>
      <c r="O1446" s="16"/>
      <c r="P1446" s="16"/>
      <c r="Q1446" s="17"/>
    </row>
    <row r="1447" customFormat="false" ht="15" hidden="false" customHeight="false" outlineLevel="0" collapsed="false">
      <c r="A1447" s="15" t="str">
        <f aca="false">IF(B1447="","",ROW()-1)</f>
        <v/>
      </c>
      <c r="B1447" s="16"/>
      <c r="C1447" s="16"/>
      <c r="D1447" s="16"/>
      <c r="E1447" s="16"/>
      <c r="F1447" s="17"/>
      <c r="G1447" s="16"/>
      <c r="H1447" s="16"/>
      <c r="I1447" s="16"/>
      <c r="J1447" s="16"/>
      <c r="K1447" s="16"/>
      <c r="L1447" s="16"/>
      <c r="M1447" s="18" t="str">
        <f aca="false">IF(OR(C1447="",D1447=""),"",IF(MOD(COUNTIFS($C$2:C1447,C1447,$D$2:D1447,D1447)*7,10)&lt;3,"teste","treino"))</f>
        <v/>
      </c>
      <c r="N1447" s="16"/>
      <c r="O1447" s="16"/>
      <c r="P1447" s="16"/>
      <c r="Q1447" s="17"/>
    </row>
    <row r="1448" customFormat="false" ht="15" hidden="false" customHeight="false" outlineLevel="0" collapsed="false">
      <c r="A1448" s="15" t="str">
        <f aca="false">IF(B1448="","",ROW()-1)</f>
        <v/>
      </c>
      <c r="B1448" s="16"/>
      <c r="C1448" s="16"/>
      <c r="D1448" s="16"/>
      <c r="E1448" s="16"/>
      <c r="F1448" s="17"/>
      <c r="G1448" s="16"/>
      <c r="H1448" s="16"/>
      <c r="I1448" s="16"/>
      <c r="J1448" s="16"/>
      <c r="K1448" s="16"/>
      <c r="L1448" s="16"/>
      <c r="M1448" s="18" t="str">
        <f aca="false">IF(OR(C1448="",D1448=""),"",IF(MOD(COUNTIFS($C$2:C1448,C1448,$D$2:D1448,D1448)*7,10)&lt;3,"teste","treino"))</f>
        <v/>
      </c>
      <c r="N1448" s="16"/>
      <c r="O1448" s="16"/>
      <c r="P1448" s="16"/>
      <c r="Q1448" s="17"/>
    </row>
    <row r="1449" customFormat="false" ht="15" hidden="false" customHeight="false" outlineLevel="0" collapsed="false">
      <c r="A1449" s="15" t="str">
        <f aca="false">IF(B1449="","",ROW()-1)</f>
        <v/>
      </c>
      <c r="B1449" s="16"/>
      <c r="C1449" s="16"/>
      <c r="D1449" s="16"/>
      <c r="E1449" s="16"/>
      <c r="F1449" s="17"/>
      <c r="G1449" s="16"/>
      <c r="H1449" s="16"/>
      <c r="I1449" s="16"/>
      <c r="J1449" s="16"/>
      <c r="K1449" s="16"/>
      <c r="L1449" s="16"/>
      <c r="M1449" s="18" t="str">
        <f aca="false">IF(OR(C1449="",D1449=""),"",IF(MOD(COUNTIFS($C$2:C1449,C1449,$D$2:D1449,D1449)*7,10)&lt;3,"teste","treino"))</f>
        <v/>
      </c>
      <c r="N1449" s="16"/>
      <c r="O1449" s="16"/>
      <c r="P1449" s="16"/>
      <c r="Q1449" s="17"/>
    </row>
    <row r="1450" customFormat="false" ht="15" hidden="false" customHeight="false" outlineLevel="0" collapsed="false">
      <c r="A1450" s="15" t="str">
        <f aca="false">IF(B1450="","",ROW()-1)</f>
        <v/>
      </c>
      <c r="B1450" s="16"/>
      <c r="C1450" s="16"/>
      <c r="D1450" s="16"/>
      <c r="E1450" s="16"/>
      <c r="F1450" s="17"/>
      <c r="G1450" s="16"/>
      <c r="H1450" s="16"/>
      <c r="I1450" s="16"/>
      <c r="J1450" s="16"/>
      <c r="K1450" s="16"/>
      <c r="L1450" s="16"/>
      <c r="M1450" s="18" t="str">
        <f aca="false">IF(OR(C1450="",D1450=""),"",IF(MOD(COUNTIFS($C$2:C1450,C1450,$D$2:D1450,D1450)*7,10)&lt;3,"teste","treino"))</f>
        <v/>
      </c>
      <c r="N1450" s="16"/>
      <c r="O1450" s="16"/>
      <c r="P1450" s="16"/>
      <c r="Q1450" s="17"/>
    </row>
    <row r="1451" customFormat="false" ht="15" hidden="false" customHeight="false" outlineLevel="0" collapsed="false">
      <c r="A1451" s="15" t="str">
        <f aca="false">IF(B1451="","",ROW()-1)</f>
        <v/>
      </c>
      <c r="B1451" s="16"/>
      <c r="C1451" s="16"/>
      <c r="D1451" s="16"/>
      <c r="E1451" s="16"/>
      <c r="F1451" s="17"/>
      <c r="G1451" s="16"/>
      <c r="H1451" s="16"/>
      <c r="I1451" s="16"/>
      <c r="J1451" s="16"/>
      <c r="K1451" s="16"/>
      <c r="L1451" s="16"/>
      <c r="M1451" s="18" t="str">
        <f aca="false">IF(OR(C1451="",D1451=""),"",IF(MOD(COUNTIFS($C$2:C1451,C1451,$D$2:D1451,D1451)*7,10)&lt;3,"teste","treino"))</f>
        <v/>
      </c>
      <c r="N1451" s="16"/>
      <c r="O1451" s="16"/>
      <c r="P1451" s="16"/>
      <c r="Q1451" s="17"/>
    </row>
    <row r="1452" customFormat="false" ht="15" hidden="false" customHeight="false" outlineLevel="0" collapsed="false">
      <c r="A1452" s="15" t="str">
        <f aca="false">IF(B1452="","",ROW()-1)</f>
        <v/>
      </c>
      <c r="B1452" s="16"/>
      <c r="C1452" s="16"/>
      <c r="D1452" s="16"/>
      <c r="E1452" s="16"/>
      <c r="F1452" s="17"/>
      <c r="G1452" s="16"/>
      <c r="H1452" s="16"/>
      <c r="I1452" s="16"/>
      <c r="J1452" s="16"/>
      <c r="K1452" s="16"/>
      <c r="L1452" s="16"/>
      <c r="M1452" s="18" t="str">
        <f aca="false">IF(OR(C1452="",D1452=""),"",IF(MOD(COUNTIFS($C$2:C1452,C1452,$D$2:D1452,D1452)*7,10)&lt;3,"teste","treino"))</f>
        <v/>
      </c>
      <c r="N1452" s="16"/>
      <c r="O1452" s="16"/>
      <c r="P1452" s="16"/>
      <c r="Q1452" s="17"/>
    </row>
    <row r="1453" customFormat="false" ht="15" hidden="false" customHeight="false" outlineLevel="0" collapsed="false">
      <c r="A1453" s="15" t="str">
        <f aca="false">IF(B1453="","",ROW()-1)</f>
        <v/>
      </c>
      <c r="B1453" s="16"/>
      <c r="C1453" s="16"/>
      <c r="D1453" s="16"/>
      <c r="E1453" s="16"/>
      <c r="F1453" s="17"/>
      <c r="G1453" s="16"/>
      <c r="H1453" s="16"/>
      <c r="I1453" s="16"/>
      <c r="J1453" s="16"/>
      <c r="K1453" s="16"/>
      <c r="L1453" s="16"/>
      <c r="M1453" s="18" t="str">
        <f aca="false">IF(OR(C1453="",D1453=""),"",IF(MOD(COUNTIFS($C$2:C1453,C1453,$D$2:D1453,D1453)*7,10)&lt;3,"teste","treino"))</f>
        <v/>
      </c>
      <c r="N1453" s="16"/>
      <c r="O1453" s="16"/>
      <c r="P1453" s="16"/>
      <c r="Q1453" s="17"/>
    </row>
    <row r="1454" customFormat="false" ht="15" hidden="false" customHeight="false" outlineLevel="0" collapsed="false">
      <c r="A1454" s="15" t="str">
        <f aca="false">IF(B1454="","",ROW()-1)</f>
        <v/>
      </c>
      <c r="B1454" s="16"/>
      <c r="C1454" s="16"/>
      <c r="D1454" s="16"/>
      <c r="E1454" s="16"/>
      <c r="F1454" s="17"/>
      <c r="G1454" s="16"/>
      <c r="H1454" s="16"/>
      <c r="I1454" s="16"/>
      <c r="J1454" s="16"/>
      <c r="K1454" s="16"/>
      <c r="L1454" s="16"/>
      <c r="M1454" s="18" t="str">
        <f aca="false">IF(OR(C1454="",D1454=""),"",IF(MOD(COUNTIFS($C$2:C1454,C1454,$D$2:D1454,D1454)*7,10)&lt;3,"teste","treino"))</f>
        <v/>
      </c>
      <c r="N1454" s="16"/>
      <c r="O1454" s="16"/>
      <c r="P1454" s="16"/>
      <c r="Q1454" s="17"/>
    </row>
    <row r="1455" customFormat="false" ht="15" hidden="false" customHeight="false" outlineLevel="0" collapsed="false">
      <c r="A1455" s="15" t="str">
        <f aca="false">IF(B1455="","",ROW()-1)</f>
        <v/>
      </c>
      <c r="B1455" s="16"/>
      <c r="C1455" s="16"/>
      <c r="D1455" s="16"/>
      <c r="E1455" s="16"/>
      <c r="F1455" s="17"/>
      <c r="G1455" s="16"/>
      <c r="H1455" s="16"/>
      <c r="I1455" s="16"/>
      <c r="J1455" s="16"/>
      <c r="K1455" s="16"/>
      <c r="L1455" s="16"/>
      <c r="M1455" s="18" t="str">
        <f aca="false">IF(OR(C1455="",D1455=""),"",IF(MOD(COUNTIFS($C$2:C1455,C1455,$D$2:D1455,D1455)*7,10)&lt;3,"teste","treino"))</f>
        <v/>
      </c>
      <c r="N1455" s="16"/>
      <c r="O1455" s="16"/>
      <c r="P1455" s="16"/>
      <c r="Q1455" s="17"/>
    </row>
    <row r="1456" customFormat="false" ht="15" hidden="false" customHeight="false" outlineLevel="0" collapsed="false">
      <c r="A1456" s="15" t="str">
        <f aca="false">IF(B1456="","",ROW()-1)</f>
        <v/>
      </c>
      <c r="B1456" s="16"/>
      <c r="C1456" s="16"/>
      <c r="D1456" s="16"/>
      <c r="E1456" s="16"/>
      <c r="F1456" s="17"/>
      <c r="G1456" s="16"/>
      <c r="H1456" s="16"/>
      <c r="I1456" s="16"/>
      <c r="J1456" s="16"/>
      <c r="K1456" s="16"/>
      <c r="L1456" s="16"/>
      <c r="M1456" s="18" t="str">
        <f aca="false">IF(OR(C1456="",D1456=""),"",IF(MOD(COUNTIFS($C$2:C1456,C1456,$D$2:D1456,D1456)*7,10)&lt;3,"teste","treino"))</f>
        <v/>
      </c>
      <c r="N1456" s="16"/>
      <c r="O1456" s="16"/>
      <c r="P1456" s="16"/>
      <c r="Q1456" s="17"/>
    </row>
    <row r="1457" customFormat="false" ht="15" hidden="false" customHeight="false" outlineLevel="0" collapsed="false">
      <c r="A1457" s="15" t="str">
        <f aca="false">IF(B1457="","",ROW()-1)</f>
        <v/>
      </c>
      <c r="B1457" s="16"/>
      <c r="C1457" s="16"/>
      <c r="D1457" s="16"/>
      <c r="E1457" s="16"/>
      <c r="F1457" s="17"/>
      <c r="G1457" s="16"/>
      <c r="H1457" s="16"/>
      <c r="I1457" s="16"/>
      <c r="J1457" s="16"/>
      <c r="K1457" s="16"/>
      <c r="L1457" s="16"/>
      <c r="M1457" s="18" t="str">
        <f aca="false">IF(OR(C1457="",D1457=""),"",IF(MOD(COUNTIFS($C$2:C1457,C1457,$D$2:D1457,D1457)*7,10)&lt;3,"teste","treino"))</f>
        <v/>
      </c>
      <c r="N1457" s="16"/>
      <c r="O1457" s="16"/>
      <c r="P1457" s="16"/>
      <c r="Q1457" s="17"/>
    </row>
    <row r="1458" customFormat="false" ht="15" hidden="false" customHeight="false" outlineLevel="0" collapsed="false">
      <c r="A1458" s="15" t="str">
        <f aca="false">IF(B1458="","",ROW()-1)</f>
        <v/>
      </c>
      <c r="B1458" s="16"/>
      <c r="C1458" s="16"/>
      <c r="D1458" s="16"/>
      <c r="E1458" s="16"/>
      <c r="F1458" s="17"/>
      <c r="G1458" s="16"/>
      <c r="H1458" s="16"/>
      <c r="I1458" s="16"/>
      <c r="J1458" s="16"/>
      <c r="K1458" s="16"/>
      <c r="L1458" s="16"/>
      <c r="M1458" s="18" t="str">
        <f aca="false">IF(OR(C1458="",D1458=""),"",IF(MOD(COUNTIFS($C$2:C1458,C1458,$D$2:D1458,D1458)*7,10)&lt;3,"teste","treino"))</f>
        <v/>
      </c>
      <c r="N1458" s="16"/>
      <c r="O1458" s="16"/>
      <c r="P1458" s="16"/>
      <c r="Q1458" s="17"/>
    </row>
    <row r="1459" customFormat="false" ht="15" hidden="false" customHeight="false" outlineLevel="0" collapsed="false">
      <c r="A1459" s="15" t="str">
        <f aca="false">IF(B1459="","",ROW()-1)</f>
        <v/>
      </c>
      <c r="B1459" s="16"/>
      <c r="C1459" s="16"/>
      <c r="D1459" s="16"/>
      <c r="E1459" s="16"/>
      <c r="F1459" s="17"/>
      <c r="G1459" s="16"/>
      <c r="H1459" s="16"/>
      <c r="I1459" s="16"/>
      <c r="J1459" s="16"/>
      <c r="K1459" s="16"/>
      <c r="L1459" s="16"/>
      <c r="M1459" s="18" t="str">
        <f aca="false">IF(OR(C1459="",D1459=""),"",IF(MOD(COUNTIFS($C$2:C1459,C1459,$D$2:D1459,D1459)*7,10)&lt;3,"teste","treino"))</f>
        <v/>
      </c>
      <c r="N1459" s="16"/>
      <c r="O1459" s="16"/>
      <c r="P1459" s="16"/>
      <c r="Q1459" s="17"/>
    </row>
    <row r="1460" customFormat="false" ht="15" hidden="false" customHeight="false" outlineLevel="0" collapsed="false">
      <c r="A1460" s="15" t="str">
        <f aca="false">IF(B1460="","",ROW()-1)</f>
        <v/>
      </c>
      <c r="B1460" s="16"/>
      <c r="C1460" s="16"/>
      <c r="D1460" s="16"/>
      <c r="E1460" s="16"/>
      <c r="F1460" s="17"/>
      <c r="G1460" s="16"/>
      <c r="H1460" s="16"/>
      <c r="I1460" s="16"/>
      <c r="J1460" s="16"/>
      <c r="K1460" s="16"/>
      <c r="L1460" s="16"/>
      <c r="M1460" s="18" t="str">
        <f aca="false">IF(OR(C1460="",D1460=""),"",IF(MOD(COUNTIFS($C$2:C1460,C1460,$D$2:D1460,D1460)*7,10)&lt;3,"teste","treino"))</f>
        <v/>
      </c>
      <c r="N1460" s="16"/>
      <c r="O1460" s="16"/>
      <c r="P1460" s="16"/>
      <c r="Q1460" s="17"/>
    </row>
    <row r="1461" customFormat="false" ht="15" hidden="false" customHeight="false" outlineLevel="0" collapsed="false">
      <c r="A1461" s="15" t="str">
        <f aca="false">IF(B1461="","",ROW()-1)</f>
        <v/>
      </c>
      <c r="B1461" s="16"/>
      <c r="C1461" s="16"/>
      <c r="D1461" s="16"/>
      <c r="E1461" s="16"/>
      <c r="F1461" s="17"/>
      <c r="G1461" s="16"/>
      <c r="H1461" s="16"/>
      <c r="I1461" s="16"/>
      <c r="J1461" s="16"/>
      <c r="K1461" s="16"/>
      <c r="L1461" s="16"/>
      <c r="M1461" s="18" t="str">
        <f aca="false">IF(OR(C1461="",D1461=""),"",IF(MOD(COUNTIFS($C$2:C1461,C1461,$D$2:D1461,D1461)*7,10)&lt;3,"teste","treino"))</f>
        <v/>
      </c>
      <c r="N1461" s="16"/>
      <c r="O1461" s="16"/>
      <c r="P1461" s="16"/>
      <c r="Q1461" s="17"/>
    </row>
    <row r="1462" customFormat="false" ht="15" hidden="false" customHeight="false" outlineLevel="0" collapsed="false">
      <c r="A1462" s="15" t="str">
        <f aca="false">IF(B1462="","",ROW()-1)</f>
        <v/>
      </c>
      <c r="B1462" s="16"/>
      <c r="C1462" s="16"/>
      <c r="D1462" s="16"/>
      <c r="E1462" s="16"/>
      <c r="F1462" s="17"/>
      <c r="G1462" s="16"/>
      <c r="H1462" s="16"/>
      <c r="I1462" s="16"/>
      <c r="J1462" s="16"/>
      <c r="K1462" s="16"/>
      <c r="L1462" s="16"/>
      <c r="M1462" s="18" t="str">
        <f aca="false">IF(OR(C1462="",D1462=""),"",IF(MOD(COUNTIFS($C$2:C1462,C1462,$D$2:D1462,D1462)*7,10)&lt;3,"teste","treino"))</f>
        <v/>
      </c>
      <c r="N1462" s="16"/>
      <c r="O1462" s="16"/>
      <c r="P1462" s="16"/>
      <c r="Q1462" s="17"/>
    </row>
    <row r="1463" customFormat="false" ht="15" hidden="false" customHeight="false" outlineLevel="0" collapsed="false">
      <c r="A1463" s="15" t="str">
        <f aca="false">IF(B1463="","",ROW()-1)</f>
        <v/>
      </c>
      <c r="B1463" s="16"/>
      <c r="C1463" s="16"/>
      <c r="D1463" s="16"/>
      <c r="E1463" s="16"/>
      <c r="F1463" s="17"/>
      <c r="G1463" s="16"/>
      <c r="H1463" s="16"/>
      <c r="I1463" s="16"/>
      <c r="J1463" s="16"/>
      <c r="K1463" s="16"/>
      <c r="L1463" s="16"/>
      <c r="M1463" s="18" t="str">
        <f aca="false">IF(OR(C1463="",D1463=""),"",IF(MOD(COUNTIFS($C$2:C1463,C1463,$D$2:D1463,D1463)*7,10)&lt;3,"teste","treino"))</f>
        <v/>
      </c>
      <c r="N1463" s="16"/>
      <c r="O1463" s="16"/>
      <c r="P1463" s="16"/>
      <c r="Q1463" s="17"/>
    </row>
    <row r="1464" customFormat="false" ht="15" hidden="false" customHeight="false" outlineLevel="0" collapsed="false">
      <c r="A1464" s="15" t="str">
        <f aca="false">IF(B1464="","",ROW()-1)</f>
        <v/>
      </c>
      <c r="B1464" s="16"/>
      <c r="C1464" s="16"/>
      <c r="D1464" s="16"/>
      <c r="E1464" s="16"/>
      <c r="F1464" s="17"/>
      <c r="G1464" s="16"/>
      <c r="H1464" s="16"/>
      <c r="I1464" s="16"/>
      <c r="J1464" s="16"/>
      <c r="K1464" s="16"/>
      <c r="L1464" s="16"/>
      <c r="M1464" s="18" t="str">
        <f aca="false">IF(OR(C1464="",D1464=""),"",IF(MOD(COUNTIFS($C$2:C1464,C1464,$D$2:D1464,D1464)*7,10)&lt;3,"teste","treino"))</f>
        <v/>
      </c>
      <c r="N1464" s="16"/>
      <c r="O1464" s="16"/>
      <c r="P1464" s="16"/>
      <c r="Q1464" s="17"/>
    </row>
    <row r="1465" customFormat="false" ht="15" hidden="false" customHeight="false" outlineLevel="0" collapsed="false">
      <c r="A1465" s="15" t="str">
        <f aca="false">IF(B1465="","",ROW()-1)</f>
        <v/>
      </c>
      <c r="B1465" s="16"/>
      <c r="C1465" s="16"/>
      <c r="D1465" s="16"/>
      <c r="E1465" s="16"/>
      <c r="F1465" s="17"/>
      <c r="G1465" s="16"/>
      <c r="H1465" s="16"/>
      <c r="I1465" s="16"/>
      <c r="J1465" s="16"/>
      <c r="K1465" s="16"/>
      <c r="L1465" s="16"/>
      <c r="M1465" s="18" t="str">
        <f aca="false">IF(OR(C1465="",D1465=""),"",IF(MOD(COUNTIFS($C$2:C1465,C1465,$D$2:D1465,D1465)*7,10)&lt;3,"teste","treino"))</f>
        <v/>
      </c>
      <c r="N1465" s="16"/>
      <c r="O1465" s="16"/>
      <c r="P1465" s="16"/>
      <c r="Q1465" s="17"/>
    </row>
    <row r="1466" customFormat="false" ht="15" hidden="false" customHeight="false" outlineLevel="0" collapsed="false">
      <c r="A1466" s="15" t="str">
        <f aca="false">IF(B1466="","",ROW()-1)</f>
        <v/>
      </c>
      <c r="B1466" s="16"/>
      <c r="C1466" s="16"/>
      <c r="D1466" s="16"/>
      <c r="E1466" s="16"/>
      <c r="F1466" s="17"/>
      <c r="G1466" s="16"/>
      <c r="H1466" s="16"/>
      <c r="I1466" s="16"/>
      <c r="J1466" s="16"/>
      <c r="K1466" s="16"/>
      <c r="L1466" s="16"/>
      <c r="M1466" s="18" t="str">
        <f aca="false">IF(OR(C1466="",D1466=""),"",IF(MOD(COUNTIFS($C$2:C1466,C1466,$D$2:D1466,D1466)*7,10)&lt;3,"teste","treino"))</f>
        <v/>
      </c>
      <c r="N1466" s="16"/>
      <c r="O1466" s="16"/>
      <c r="P1466" s="16"/>
      <c r="Q1466" s="17"/>
    </row>
    <row r="1467" customFormat="false" ht="15" hidden="false" customHeight="false" outlineLevel="0" collapsed="false">
      <c r="A1467" s="15" t="str">
        <f aca="false">IF(B1467="","",ROW()-1)</f>
        <v/>
      </c>
      <c r="B1467" s="16"/>
      <c r="C1467" s="16"/>
      <c r="D1467" s="16"/>
      <c r="E1467" s="16"/>
      <c r="F1467" s="17"/>
      <c r="G1467" s="16"/>
      <c r="H1467" s="16"/>
      <c r="I1467" s="16"/>
      <c r="J1467" s="16"/>
      <c r="K1467" s="16"/>
      <c r="L1467" s="16"/>
      <c r="M1467" s="18" t="str">
        <f aca="false">IF(OR(C1467="",D1467=""),"",IF(MOD(COUNTIFS($C$2:C1467,C1467,$D$2:D1467,D1467)*7,10)&lt;3,"teste","treino"))</f>
        <v/>
      </c>
      <c r="N1467" s="16"/>
      <c r="O1467" s="16"/>
      <c r="P1467" s="16"/>
      <c r="Q1467" s="17"/>
    </row>
    <row r="1468" customFormat="false" ht="15" hidden="false" customHeight="false" outlineLevel="0" collapsed="false">
      <c r="A1468" s="15" t="str">
        <f aca="false">IF(B1468="","",ROW()-1)</f>
        <v/>
      </c>
      <c r="B1468" s="16"/>
      <c r="C1468" s="16"/>
      <c r="D1468" s="16"/>
      <c r="E1468" s="16"/>
      <c r="F1468" s="17"/>
      <c r="G1468" s="16"/>
      <c r="H1468" s="16"/>
      <c r="I1468" s="16"/>
      <c r="J1468" s="16"/>
      <c r="K1468" s="16"/>
      <c r="L1468" s="16"/>
      <c r="M1468" s="18" t="str">
        <f aca="false">IF(OR(C1468="",D1468=""),"",IF(MOD(COUNTIFS($C$2:C1468,C1468,$D$2:D1468,D1468)*7,10)&lt;3,"teste","treino"))</f>
        <v/>
      </c>
      <c r="N1468" s="16"/>
      <c r="O1468" s="16"/>
      <c r="P1468" s="16"/>
      <c r="Q1468" s="17"/>
    </row>
    <row r="1469" customFormat="false" ht="15" hidden="false" customHeight="false" outlineLevel="0" collapsed="false">
      <c r="A1469" s="15" t="str">
        <f aca="false">IF(B1469="","",ROW()-1)</f>
        <v/>
      </c>
      <c r="B1469" s="16"/>
      <c r="C1469" s="16"/>
      <c r="D1469" s="16"/>
      <c r="E1469" s="16"/>
      <c r="F1469" s="17"/>
      <c r="G1469" s="16"/>
      <c r="H1469" s="16"/>
      <c r="I1469" s="16"/>
      <c r="J1469" s="16"/>
      <c r="K1469" s="16"/>
      <c r="L1469" s="16"/>
      <c r="M1469" s="18" t="str">
        <f aca="false">IF(OR(C1469="",D1469=""),"",IF(MOD(COUNTIFS($C$2:C1469,C1469,$D$2:D1469,D1469)*7,10)&lt;3,"teste","treino"))</f>
        <v/>
      </c>
      <c r="N1469" s="16"/>
      <c r="O1469" s="16"/>
      <c r="P1469" s="16"/>
      <c r="Q1469" s="17"/>
    </row>
    <row r="1470" customFormat="false" ht="15" hidden="false" customHeight="false" outlineLevel="0" collapsed="false">
      <c r="A1470" s="15" t="str">
        <f aca="false">IF(B1470="","",ROW()-1)</f>
        <v/>
      </c>
      <c r="B1470" s="16"/>
      <c r="C1470" s="16"/>
      <c r="D1470" s="16"/>
      <c r="E1470" s="16"/>
      <c r="F1470" s="17"/>
      <c r="G1470" s="16"/>
      <c r="H1470" s="16"/>
      <c r="I1470" s="16"/>
      <c r="J1470" s="16"/>
      <c r="K1470" s="16"/>
      <c r="L1470" s="16"/>
      <c r="M1470" s="18" t="str">
        <f aca="false">IF(OR(C1470="",D1470=""),"",IF(MOD(COUNTIFS($C$2:C1470,C1470,$D$2:D1470,D1470)*7,10)&lt;3,"teste","treino"))</f>
        <v/>
      </c>
      <c r="N1470" s="16"/>
      <c r="O1470" s="16"/>
      <c r="P1470" s="16"/>
      <c r="Q1470" s="17"/>
    </row>
    <row r="1471" customFormat="false" ht="15" hidden="false" customHeight="false" outlineLevel="0" collapsed="false">
      <c r="A1471" s="15" t="str">
        <f aca="false">IF(B1471="","",ROW()-1)</f>
        <v/>
      </c>
      <c r="B1471" s="16"/>
      <c r="C1471" s="16"/>
      <c r="D1471" s="16"/>
      <c r="E1471" s="16"/>
      <c r="F1471" s="17"/>
      <c r="G1471" s="16"/>
      <c r="H1471" s="16"/>
      <c r="I1471" s="16"/>
      <c r="J1471" s="16"/>
      <c r="K1471" s="16"/>
      <c r="L1471" s="16"/>
      <c r="M1471" s="18" t="str">
        <f aca="false">IF(OR(C1471="",D1471=""),"",IF(MOD(COUNTIFS($C$2:C1471,C1471,$D$2:D1471,D1471)*7,10)&lt;3,"teste","treino"))</f>
        <v/>
      </c>
      <c r="N1471" s="16"/>
      <c r="O1471" s="16"/>
      <c r="P1471" s="16"/>
      <c r="Q1471" s="17"/>
    </row>
    <row r="1472" customFormat="false" ht="15" hidden="false" customHeight="false" outlineLevel="0" collapsed="false">
      <c r="A1472" s="15" t="str">
        <f aca="false">IF(B1472="","",ROW()-1)</f>
        <v/>
      </c>
      <c r="B1472" s="16"/>
      <c r="C1472" s="16"/>
      <c r="D1472" s="16"/>
      <c r="E1472" s="16"/>
      <c r="F1472" s="17"/>
      <c r="G1472" s="16"/>
      <c r="H1472" s="16"/>
      <c r="I1472" s="16"/>
      <c r="J1472" s="16"/>
      <c r="K1472" s="16"/>
      <c r="L1472" s="16"/>
      <c r="M1472" s="18" t="str">
        <f aca="false">IF(OR(C1472="",D1472=""),"",IF(MOD(COUNTIFS($C$2:C1472,C1472,$D$2:D1472,D1472)*7,10)&lt;3,"teste","treino"))</f>
        <v/>
      </c>
      <c r="N1472" s="16"/>
      <c r="O1472" s="16"/>
      <c r="P1472" s="16"/>
      <c r="Q1472" s="17"/>
    </row>
    <row r="1473" customFormat="false" ht="15" hidden="false" customHeight="false" outlineLevel="0" collapsed="false">
      <c r="A1473" s="15" t="str">
        <f aca="false">IF(B1473="","",ROW()-1)</f>
        <v/>
      </c>
      <c r="B1473" s="16"/>
      <c r="C1473" s="16"/>
      <c r="D1473" s="16"/>
      <c r="E1473" s="16"/>
      <c r="F1473" s="17"/>
      <c r="G1473" s="16"/>
      <c r="H1473" s="16"/>
      <c r="I1473" s="16"/>
      <c r="J1473" s="16"/>
      <c r="K1473" s="16"/>
      <c r="L1473" s="16"/>
      <c r="M1473" s="18" t="str">
        <f aca="false">IF(OR(C1473="",D1473=""),"",IF(MOD(COUNTIFS($C$2:C1473,C1473,$D$2:D1473,D1473)*7,10)&lt;3,"teste","treino"))</f>
        <v/>
      </c>
      <c r="N1473" s="16"/>
      <c r="O1473" s="16"/>
      <c r="P1473" s="16"/>
      <c r="Q1473" s="17"/>
    </row>
    <row r="1474" customFormat="false" ht="15" hidden="false" customHeight="false" outlineLevel="0" collapsed="false">
      <c r="A1474" s="15" t="str">
        <f aca="false">IF(B1474="","",ROW()-1)</f>
        <v/>
      </c>
      <c r="B1474" s="16"/>
      <c r="C1474" s="16"/>
      <c r="D1474" s="16"/>
      <c r="E1474" s="16"/>
      <c r="F1474" s="17"/>
      <c r="G1474" s="16"/>
      <c r="H1474" s="16"/>
      <c r="I1474" s="16"/>
      <c r="J1474" s="16"/>
      <c r="K1474" s="16"/>
      <c r="L1474" s="16"/>
      <c r="M1474" s="18" t="str">
        <f aca="false">IF(OR(C1474="",D1474=""),"",IF(MOD(COUNTIFS($C$2:C1474,C1474,$D$2:D1474,D1474)*7,10)&lt;3,"teste","treino"))</f>
        <v/>
      </c>
      <c r="N1474" s="16"/>
      <c r="O1474" s="16"/>
      <c r="P1474" s="16"/>
      <c r="Q1474" s="17"/>
    </row>
    <row r="1475" customFormat="false" ht="15" hidden="false" customHeight="false" outlineLevel="0" collapsed="false">
      <c r="A1475" s="15" t="str">
        <f aca="false">IF(B1475="","",ROW()-1)</f>
        <v/>
      </c>
      <c r="B1475" s="16"/>
      <c r="C1475" s="16"/>
      <c r="D1475" s="16"/>
      <c r="E1475" s="16"/>
      <c r="F1475" s="17"/>
      <c r="G1475" s="16"/>
      <c r="H1475" s="16"/>
      <c r="I1475" s="16"/>
      <c r="J1475" s="16"/>
      <c r="K1475" s="16"/>
      <c r="L1475" s="16"/>
      <c r="M1475" s="18" t="str">
        <f aca="false">IF(OR(C1475="",D1475=""),"",IF(MOD(COUNTIFS($C$2:C1475,C1475,$D$2:D1475,D1475)*7,10)&lt;3,"teste","treino"))</f>
        <v/>
      </c>
      <c r="N1475" s="16"/>
      <c r="O1475" s="16"/>
      <c r="P1475" s="16"/>
      <c r="Q1475" s="17"/>
    </row>
    <row r="1476" customFormat="false" ht="15" hidden="false" customHeight="false" outlineLevel="0" collapsed="false">
      <c r="A1476" s="15" t="str">
        <f aca="false">IF(B1476="","",ROW()-1)</f>
        <v/>
      </c>
      <c r="B1476" s="16"/>
      <c r="C1476" s="16"/>
      <c r="D1476" s="16"/>
      <c r="E1476" s="16"/>
      <c r="F1476" s="17"/>
      <c r="G1476" s="16"/>
      <c r="H1476" s="16"/>
      <c r="I1476" s="16"/>
      <c r="J1476" s="16"/>
      <c r="K1476" s="16"/>
      <c r="L1476" s="16"/>
      <c r="M1476" s="18" t="str">
        <f aca="false">IF(OR(C1476="",D1476=""),"",IF(MOD(COUNTIFS($C$2:C1476,C1476,$D$2:D1476,D1476)*7,10)&lt;3,"teste","treino"))</f>
        <v/>
      </c>
      <c r="N1476" s="16"/>
      <c r="O1476" s="16"/>
      <c r="P1476" s="16"/>
      <c r="Q1476" s="17"/>
    </row>
    <row r="1477" customFormat="false" ht="15" hidden="false" customHeight="false" outlineLevel="0" collapsed="false">
      <c r="A1477" s="15" t="str">
        <f aca="false">IF(B1477="","",ROW()-1)</f>
        <v/>
      </c>
      <c r="B1477" s="16"/>
      <c r="C1477" s="16"/>
      <c r="D1477" s="16"/>
      <c r="E1477" s="16"/>
      <c r="F1477" s="17"/>
      <c r="G1477" s="16"/>
      <c r="H1477" s="16"/>
      <c r="I1477" s="16"/>
      <c r="J1477" s="16"/>
      <c r="K1477" s="16"/>
      <c r="L1477" s="16"/>
      <c r="M1477" s="18" t="str">
        <f aca="false">IF(OR(C1477="",D1477=""),"",IF(MOD(COUNTIFS($C$2:C1477,C1477,$D$2:D1477,D1477)*7,10)&lt;3,"teste","treino"))</f>
        <v/>
      </c>
      <c r="N1477" s="16"/>
      <c r="O1477" s="16"/>
      <c r="P1477" s="16"/>
      <c r="Q1477" s="17"/>
    </row>
    <row r="1478" customFormat="false" ht="15" hidden="false" customHeight="false" outlineLevel="0" collapsed="false">
      <c r="A1478" s="15" t="str">
        <f aca="false">IF(B1478="","",ROW()-1)</f>
        <v/>
      </c>
      <c r="B1478" s="16"/>
      <c r="C1478" s="16"/>
      <c r="D1478" s="16"/>
      <c r="E1478" s="16"/>
      <c r="F1478" s="17"/>
      <c r="G1478" s="16"/>
      <c r="H1478" s="16"/>
      <c r="I1478" s="16"/>
      <c r="J1478" s="16"/>
      <c r="K1478" s="16"/>
      <c r="L1478" s="16"/>
      <c r="M1478" s="18" t="str">
        <f aca="false">IF(OR(C1478="",D1478=""),"",IF(MOD(COUNTIFS($C$2:C1478,C1478,$D$2:D1478,D1478)*7,10)&lt;3,"teste","treino"))</f>
        <v/>
      </c>
      <c r="N1478" s="16"/>
      <c r="O1478" s="16"/>
      <c r="P1478" s="16"/>
      <c r="Q1478" s="17"/>
    </row>
    <row r="1479" customFormat="false" ht="15" hidden="false" customHeight="false" outlineLevel="0" collapsed="false">
      <c r="A1479" s="15" t="str">
        <f aca="false">IF(B1479="","",ROW()-1)</f>
        <v/>
      </c>
      <c r="B1479" s="16"/>
      <c r="C1479" s="16"/>
      <c r="D1479" s="16"/>
      <c r="E1479" s="16"/>
      <c r="F1479" s="17"/>
      <c r="G1479" s="16"/>
      <c r="H1479" s="16"/>
      <c r="I1479" s="16"/>
      <c r="J1479" s="16"/>
      <c r="K1479" s="16"/>
      <c r="L1479" s="16"/>
      <c r="M1479" s="18" t="str">
        <f aca="false">IF(OR(C1479="",D1479=""),"",IF(MOD(COUNTIFS($C$2:C1479,C1479,$D$2:D1479,D1479)*7,10)&lt;3,"teste","treino"))</f>
        <v/>
      </c>
      <c r="N1479" s="16"/>
      <c r="O1479" s="16"/>
      <c r="P1479" s="16"/>
      <c r="Q1479" s="17"/>
    </row>
    <row r="1480" customFormat="false" ht="15" hidden="false" customHeight="false" outlineLevel="0" collapsed="false">
      <c r="A1480" s="15" t="str">
        <f aca="false">IF(B1480="","",ROW()-1)</f>
        <v/>
      </c>
      <c r="B1480" s="16"/>
      <c r="C1480" s="16"/>
      <c r="D1480" s="16"/>
      <c r="E1480" s="16"/>
      <c r="F1480" s="17"/>
      <c r="G1480" s="16"/>
      <c r="H1480" s="16"/>
      <c r="I1480" s="16"/>
      <c r="J1480" s="16"/>
      <c r="K1480" s="16"/>
      <c r="L1480" s="16"/>
      <c r="M1480" s="18" t="str">
        <f aca="false">IF(OR(C1480="",D1480=""),"",IF(MOD(COUNTIFS($C$2:C1480,C1480,$D$2:D1480,D1480)*7,10)&lt;3,"teste","treino"))</f>
        <v/>
      </c>
      <c r="N1480" s="16"/>
      <c r="O1480" s="16"/>
      <c r="P1480" s="16"/>
      <c r="Q1480" s="17"/>
    </row>
    <row r="1481" customFormat="false" ht="15" hidden="false" customHeight="false" outlineLevel="0" collapsed="false">
      <c r="A1481" s="15" t="str">
        <f aca="false">IF(B1481="","",ROW()-1)</f>
        <v/>
      </c>
      <c r="B1481" s="16"/>
      <c r="C1481" s="16"/>
      <c r="D1481" s="16"/>
      <c r="E1481" s="16"/>
      <c r="F1481" s="17"/>
      <c r="G1481" s="16"/>
      <c r="H1481" s="16"/>
      <c r="I1481" s="16"/>
      <c r="J1481" s="16"/>
      <c r="K1481" s="16"/>
      <c r="L1481" s="16"/>
      <c r="M1481" s="18" t="str">
        <f aca="false">IF(OR(C1481="",D1481=""),"",IF(MOD(COUNTIFS($C$2:C1481,C1481,$D$2:D1481,D1481)*7,10)&lt;3,"teste","treino"))</f>
        <v/>
      </c>
      <c r="N1481" s="16"/>
      <c r="O1481" s="16"/>
      <c r="P1481" s="16"/>
      <c r="Q1481" s="17"/>
    </row>
    <row r="1482" customFormat="false" ht="15" hidden="false" customHeight="false" outlineLevel="0" collapsed="false">
      <c r="A1482" s="15" t="str">
        <f aca="false">IF(B1482="","",ROW()-1)</f>
        <v/>
      </c>
      <c r="B1482" s="16"/>
      <c r="C1482" s="16"/>
      <c r="D1482" s="16"/>
      <c r="E1482" s="16"/>
      <c r="F1482" s="17"/>
      <c r="G1482" s="16"/>
      <c r="H1482" s="16"/>
      <c r="I1482" s="16"/>
      <c r="J1482" s="16"/>
      <c r="K1482" s="16"/>
      <c r="L1482" s="16"/>
      <c r="M1482" s="18" t="str">
        <f aca="false">IF(OR(C1482="",D1482=""),"",IF(MOD(COUNTIFS($C$2:C1482,C1482,$D$2:D1482,D1482)*7,10)&lt;3,"teste","treino"))</f>
        <v/>
      </c>
      <c r="N1482" s="16"/>
      <c r="O1482" s="16"/>
      <c r="P1482" s="16"/>
      <c r="Q1482" s="17"/>
    </row>
    <row r="1483" customFormat="false" ht="15" hidden="false" customHeight="false" outlineLevel="0" collapsed="false">
      <c r="A1483" s="15" t="str">
        <f aca="false">IF(B1483="","",ROW()-1)</f>
        <v/>
      </c>
      <c r="B1483" s="16"/>
      <c r="C1483" s="16"/>
      <c r="D1483" s="16"/>
      <c r="E1483" s="16"/>
      <c r="F1483" s="17"/>
      <c r="G1483" s="16"/>
      <c r="H1483" s="16"/>
      <c r="I1483" s="16"/>
      <c r="J1483" s="16"/>
      <c r="K1483" s="16"/>
      <c r="L1483" s="16"/>
      <c r="M1483" s="18" t="str">
        <f aca="false">IF(OR(C1483="",D1483=""),"",IF(MOD(COUNTIFS($C$2:C1483,C1483,$D$2:D1483,D1483)*7,10)&lt;3,"teste","treino"))</f>
        <v/>
      </c>
      <c r="N1483" s="16"/>
      <c r="O1483" s="16"/>
      <c r="P1483" s="16"/>
      <c r="Q1483" s="17"/>
    </row>
    <row r="1484" customFormat="false" ht="15" hidden="false" customHeight="false" outlineLevel="0" collapsed="false">
      <c r="A1484" s="15" t="str">
        <f aca="false">IF(B1484="","",ROW()-1)</f>
        <v/>
      </c>
      <c r="B1484" s="16"/>
      <c r="C1484" s="16"/>
      <c r="D1484" s="16"/>
      <c r="E1484" s="16"/>
      <c r="F1484" s="17"/>
      <c r="G1484" s="16"/>
      <c r="H1484" s="16"/>
      <c r="I1484" s="16"/>
      <c r="J1484" s="16"/>
      <c r="K1484" s="16"/>
      <c r="L1484" s="16"/>
      <c r="M1484" s="18" t="str">
        <f aca="false">IF(OR(C1484="",D1484=""),"",IF(MOD(COUNTIFS($C$2:C1484,C1484,$D$2:D1484,D1484)*7,10)&lt;3,"teste","treino"))</f>
        <v/>
      </c>
      <c r="N1484" s="16"/>
      <c r="O1484" s="16"/>
      <c r="P1484" s="16"/>
      <c r="Q1484" s="17"/>
    </row>
    <row r="1485" customFormat="false" ht="15" hidden="false" customHeight="false" outlineLevel="0" collapsed="false">
      <c r="A1485" s="15" t="str">
        <f aca="false">IF(B1485="","",ROW()-1)</f>
        <v/>
      </c>
      <c r="B1485" s="16"/>
      <c r="C1485" s="16"/>
      <c r="D1485" s="16"/>
      <c r="E1485" s="16"/>
      <c r="F1485" s="17"/>
      <c r="G1485" s="16"/>
      <c r="H1485" s="16"/>
      <c r="I1485" s="16"/>
      <c r="J1485" s="16"/>
      <c r="K1485" s="16"/>
      <c r="L1485" s="16"/>
      <c r="M1485" s="18" t="str">
        <f aca="false">IF(OR(C1485="",D1485=""),"",IF(MOD(COUNTIFS($C$2:C1485,C1485,$D$2:D1485,D1485)*7,10)&lt;3,"teste","treino"))</f>
        <v/>
      </c>
      <c r="N1485" s="16"/>
      <c r="O1485" s="16"/>
      <c r="P1485" s="16"/>
      <c r="Q1485" s="17"/>
    </row>
    <row r="1486" customFormat="false" ht="15" hidden="false" customHeight="false" outlineLevel="0" collapsed="false">
      <c r="A1486" s="15" t="str">
        <f aca="false">IF(B1486="","",ROW()-1)</f>
        <v/>
      </c>
      <c r="B1486" s="16"/>
      <c r="C1486" s="16"/>
      <c r="D1486" s="16"/>
      <c r="E1486" s="16"/>
      <c r="F1486" s="17"/>
      <c r="G1486" s="16"/>
      <c r="H1486" s="16"/>
      <c r="I1486" s="16"/>
      <c r="J1486" s="16"/>
      <c r="K1486" s="16"/>
      <c r="L1486" s="16"/>
      <c r="M1486" s="18" t="str">
        <f aca="false">IF(OR(C1486="",D1486=""),"",IF(MOD(COUNTIFS($C$2:C1486,C1486,$D$2:D1486,D1486)*7,10)&lt;3,"teste","treino"))</f>
        <v/>
      </c>
      <c r="N1486" s="16"/>
      <c r="O1486" s="16"/>
      <c r="P1486" s="16"/>
      <c r="Q1486" s="17"/>
    </row>
    <row r="1487" customFormat="false" ht="15" hidden="false" customHeight="false" outlineLevel="0" collapsed="false">
      <c r="A1487" s="15" t="str">
        <f aca="false">IF(B1487="","",ROW()-1)</f>
        <v/>
      </c>
      <c r="B1487" s="16"/>
      <c r="C1487" s="16"/>
      <c r="D1487" s="16"/>
      <c r="E1487" s="16"/>
      <c r="F1487" s="17"/>
      <c r="G1487" s="16"/>
      <c r="H1487" s="16"/>
      <c r="I1487" s="16"/>
      <c r="J1487" s="16"/>
      <c r="K1487" s="16"/>
      <c r="L1487" s="16"/>
      <c r="M1487" s="18" t="str">
        <f aca="false">IF(OR(C1487="",D1487=""),"",IF(MOD(COUNTIFS($C$2:C1487,C1487,$D$2:D1487,D1487)*7,10)&lt;3,"teste","treino"))</f>
        <v/>
      </c>
      <c r="N1487" s="16"/>
      <c r="O1487" s="16"/>
      <c r="P1487" s="16"/>
      <c r="Q1487" s="17"/>
    </row>
    <row r="1488" customFormat="false" ht="15" hidden="false" customHeight="false" outlineLevel="0" collapsed="false">
      <c r="A1488" s="15" t="str">
        <f aca="false">IF(B1488="","",ROW()-1)</f>
        <v/>
      </c>
      <c r="B1488" s="16"/>
      <c r="C1488" s="16"/>
      <c r="D1488" s="16"/>
      <c r="E1488" s="16"/>
      <c r="F1488" s="17"/>
      <c r="G1488" s="16"/>
      <c r="H1488" s="16"/>
      <c r="I1488" s="16"/>
      <c r="J1488" s="16"/>
      <c r="K1488" s="16"/>
      <c r="L1488" s="16"/>
      <c r="M1488" s="18" t="str">
        <f aca="false">IF(OR(C1488="",D1488=""),"",IF(MOD(COUNTIFS($C$2:C1488,C1488,$D$2:D1488,D1488)*7,10)&lt;3,"teste","treino"))</f>
        <v/>
      </c>
      <c r="N1488" s="16"/>
      <c r="O1488" s="16"/>
      <c r="P1488" s="16"/>
      <c r="Q1488" s="17"/>
    </row>
    <row r="1489" customFormat="false" ht="15" hidden="false" customHeight="false" outlineLevel="0" collapsed="false">
      <c r="A1489" s="15" t="str">
        <f aca="false">IF(B1489="","",ROW()-1)</f>
        <v/>
      </c>
      <c r="B1489" s="16"/>
      <c r="C1489" s="16"/>
      <c r="D1489" s="16"/>
      <c r="E1489" s="16"/>
      <c r="F1489" s="17"/>
      <c r="G1489" s="16"/>
      <c r="H1489" s="16"/>
      <c r="I1489" s="16"/>
      <c r="J1489" s="16"/>
      <c r="K1489" s="16"/>
      <c r="L1489" s="16"/>
      <c r="M1489" s="18" t="str">
        <f aca="false">IF(OR(C1489="",D1489=""),"",IF(MOD(COUNTIFS($C$2:C1489,C1489,$D$2:D1489,D1489)*7,10)&lt;3,"teste","treino"))</f>
        <v/>
      </c>
      <c r="N1489" s="16"/>
      <c r="O1489" s="16"/>
      <c r="P1489" s="16"/>
      <c r="Q1489" s="17"/>
    </row>
    <row r="1490" customFormat="false" ht="15" hidden="false" customHeight="false" outlineLevel="0" collapsed="false">
      <c r="A1490" s="15" t="str">
        <f aca="false">IF(B1490="","",ROW()-1)</f>
        <v/>
      </c>
      <c r="B1490" s="16"/>
      <c r="C1490" s="16"/>
      <c r="D1490" s="16"/>
      <c r="E1490" s="16"/>
      <c r="F1490" s="17"/>
      <c r="G1490" s="16"/>
      <c r="H1490" s="16"/>
      <c r="I1490" s="16"/>
      <c r="J1490" s="16"/>
      <c r="K1490" s="16"/>
      <c r="L1490" s="16"/>
      <c r="M1490" s="18" t="str">
        <f aca="false">IF(OR(C1490="",D1490=""),"",IF(MOD(COUNTIFS($C$2:C1490,C1490,$D$2:D1490,D1490)*7,10)&lt;3,"teste","treino"))</f>
        <v/>
      </c>
      <c r="N1490" s="16"/>
      <c r="O1490" s="16"/>
      <c r="P1490" s="16"/>
      <c r="Q1490" s="17"/>
    </row>
    <row r="1491" customFormat="false" ht="15" hidden="false" customHeight="false" outlineLevel="0" collapsed="false">
      <c r="A1491" s="15" t="str">
        <f aca="false">IF(B1491="","",ROW()-1)</f>
        <v/>
      </c>
      <c r="B1491" s="16"/>
      <c r="C1491" s="16"/>
      <c r="D1491" s="16"/>
      <c r="E1491" s="16"/>
      <c r="F1491" s="17"/>
      <c r="G1491" s="16"/>
      <c r="H1491" s="16"/>
      <c r="I1491" s="16"/>
      <c r="J1491" s="16"/>
      <c r="K1491" s="16"/>
      <c r="L1491" s="16"/>
      <c r="M1491" s="18" t="str">
        <f aca="false">IF(OR(C1491="",D1491=""),"",IF(MOD(COUNTIFS($C$2:C1491,C1491,$D$2:D1491,D1491)*7,10)&lt;3,"teste","treino"))</f>
        <v/>
      </c>
      <c r="N1491" s="16"/>
      <c r="O1491" s="16"/>
      <c r="P1491" s="16"/>
      <c r="Q1491" s="17"/>
    </row>
    <row r="1492" customFormat="false" ht="15" hidden="false" customHeight="false" outlineLevel="0" collapsed="false">
      <c r="A1492" s="15" t="str">
        <f aca="false">IF(B1492="","",ROW()-1)</f>
        <v/>
      </c>
      <c r="B1492" s="16"/>
      <c r="C1492" s="16"/>
      <c r="D1492" s="16"/>
      <c r="E1492" s="16"/>
      <c r="F1492" s="17"/>
      <c r="G1492" s="16"/>
      <c r="H1492" s="16"/>
      <c r="I1492" s="16"/>
      <c r="J1492" s="16"/>
      <c r="K1492" s="16"/>
      <c r="L1492" s="16"/>
      <c r="M1492" s="18" t="str">
        <f aca="false">IF(OR(C1492="",D1492=""),"",IF(MOD(COUNTIFS($C$2:C1492,C1492,$D$2:D1492,D1492)*7,10)&lt;3,"teste","treino"))</f>
        <v/>
      </c>
      <c r="N1492" s="16"/>
      <c r="O1492" s="16"/>
      <c r="P1492" s="16"/>
      <c r="Q1492" s="17"/>
    </row>
    <row r="1493" customFormat="false" ht="15" hidden="false" customHeight="false" outlineLevel="0" collapsed="false">
      <c r="A1493" s="15" t="str">
        <f aca="false">IF(B1493="","",ROW()-1)</f>
        <v/>
      </c>
      <c r="B1493" s="16"/>
      <c r="C1493" s="16"/>
      <c r="D1493" s="16"/>
      <c r="E1493" s="16"/>
      <c r="F1493" s="17"/>
      <c r="G1493" s="16"/>
      <c r="H1493" s="16"/>
      <c r="I1493" s="16"/>
      <c r="J1493" s="16"/>
      <c r="K1493" s="16"/>
      <c r="L1493" s="16"/>
      <c r="M1493" s="18" t="str">
        <f aca="false">IF(OR(C1493="",D1493=""),"",IF(MOD(COUNTIFS($C$2:C1493,C1493,$D$2:D1493,D1493)*7,10)&lt;3,"teste","treino"))</f>
        <v/>
      </c>
      <c r="N1493" s="16"/>
      <c r="O1493" s="16"/>
      <c r="P1493" s="16"/>
      <c r="Q1493" s="17"/>
    </row>
    <row r="1494" customFormat="false" ht="15" hidden="false" customHeight="false" outlineLevel="0" collapsed="false">
      <c r="A1494" s="15" t="str">
        <f aca="false">IF(B1494="","",ROW()-1)</f>
        <v/>
      </c>
      <c r="B1494" s="16"/>
      <c r="C1494" s="16"/>
      <c r="D1494" s="16"/>
      <c r="E1494" s="16"/>
      <c r="F1494" s="17"/>
      <c r="G1494" s="16"/>
      <c r="H1494" s="16"/>
      <c r="I1494" s="16"/>
      <c r="J1494" s="16"/>
      <c r="K1494" s="16"/>
      <c r="L1494" s="16"/>
      <c r="M1494" s="18" t="str">
        <f aca="false">IF(OR(C1494="",D1494=""),"",IF(MOD(COUNTIFS($C$2:C1494,C1494,$D$2:D1494,D1494)*7,10)&lt;3,"teste","treino"))</f>
        <v/>
      </c>
      <c r="N1494" s="16"/>
      <c r="O1494" s="16"/>
      <c r="P1494" s="16"/>
      <c r="Q1494" s="17"/>
    </row>
    <row r="1495" customFormat="false" ht="15" hidden="false" customHeight="false" outlineLevel="0" collapsed="false">
      <c r="A1495" s="15" t="str">
        <f aca="false">IF(B1495="","",ROW()-1)</f>
        <v/>
      </c>
      <c r="B1495" s="16"/>
      <c r="C1495" s="16"/>
      <c r="D1495" s="16"/>
      <c r="E1495" s="16"/>
      <c r="F1495" s="17"/>
      <c r="G1495" s="16"/>
      <c r="H1495" s="16"/>
      <c r="I1495" s="16"/>
      <c r="J1495" s="16"/>
      <c r="K1495" s="16"/>
      <c r="L1495" s="16"/>
      <c r="M1495" s="18" t="str">
        <f aca="false">IF(OR(C1495="",D1495=""),"",IF(MOD(COUNTIFS($C$2:C1495,C1495,$D$2:D1495,D1495)*7,10)&lt;3,"teste","treino"))</f>
        <v/>
      </c>
      <c r="N1495" s="16"/>
      <c r="O1495" s="16"/>
      <c r="P1495" s="16"/>
      <c r="Q1495" s="17"/>
    </row>
    <row r="1496" customFormat="false" ht="15" hidden="false" customHeight="false" outlineLevel="0" collapsed="false">
      <c r="A1496" s="15" t="str">
        <f aca="false">IF(B1496="","",ROW()-1)</f>
        <v/>
      </c>
      <c r="B1496" s="16"/>
      <c r="C1496" s="16"/>
      <c r="D1496" s="16"/>
      <c r="E1496" s="16"/>
      <c r="F1496" s="17"/>
      <c r="G1496" s="16"/>
      <c r="H1496" s="16"/>
      <c r="I1496" s="16"/>
      <c r="J1496" s="16"/>
      <c r="K1496" s="16"/>
      <c r="L1496" s="16"/>
      <c r="M1496" s="18" t="str">
        <f aca="false">IF(OR(C1496="",D1496=""),"",IF(MOD(COUNTIFS($C$2:C1496,C1496,$D$2:D1496,D1496)*7,10)&lt;3,"teste","treino"))</f>
        <v/>
      </c>
      <c r="N1496" s="16"/>
      <c r="O1496" s="16"/>
      <c r="P1496" s="16"/>
      <c r="Q1496" s="17"/>
    </row>
    <row r="1497" customFormat="false" ht="15" hidden="false" customHeight="false" outlineLevel="0" collapsed="false">
      <c r="A1497" s="15" t="str">
        <f aca="false">IF(B1497="","",ROW()-1)</f>
        <v/>
      </c>
      <c r="B1497" s="16"/>
      <c r="C1497" s="16"/>
      <c r="D1497" s="16"/>
      <c r="E1497" s="16"/>
      <c r="F1497" s="17"/>
      <c r="G1497" s="16"/>
      <c r="H1497" s="16"/>
      <c r="I1497" s="16"/>
      <c r="J1497" s="16"/>
      <c r="K1497" s="16"/>
      <c r="L1497" s="16"/>
      <c r="M1497" s="18" t="str">
        <f aca="false">IF(OR(C1497="",D1497=""),"",IF(MOD(COUNTIFS($C$2:C1497,C1497,$D$2:D1497,D1497)*7,10)&lt;3,"teste","treino"))</f>
        <v/>
      </c>
      <c r="N1497" s="16"/>
      <c r="O1497" s="16"/>
      <c r="P1497" s="16"/>
      <c r="Q1497" s="17"/>
    </row>
    <row r="1498" customFormat="false" ht="15" hidden="false" customHeight="false" outlineLevel="0" collapsed="false">
      <c r="A1498" s="15" t="str">
        <f aca="false">IF(B1498="","",ROW()-1)</f>
        <v/>
      </c>
      <c r="B1498" s="16"/>
      <c r="C1498" s="16"/>
      <c r="D1498" s="16"/>
      <c r="E1498" s="16"/>
      <c r="F1498" s="17"/>
      <c r="G1498" s="16"/>
      <c r="H1498" s="16"/>
      <c r="I1498" s="16"/>
      <c r="J1498" s="16"/>
      <c r="K1498" s="16"/>
      <c r="L1498" s="16"/>
      <c r="M1498" s="18" t="str">
        <f aca="false">IF(OR(C1498="",D1498=""),"",IF(MOD(COUNTIFS($C$2:C1498,C1498,$D$2:D1498,D1498)*7,10)&lt;3,"teste","treino"))</f>
        <v/>
      </c>
      <c r="N1498" s="16"/>
      <c r="O1498" s="16"/>
      <c r="P1498" s="16"/>
      <c r="Q1498" s="17"/>
    </row>
    <row r="1499" customFormat="false" ht="15" hidden="false" customHeight="false" outlineLevel="0" collapsed="false">
      <c r="A1499" s="15" t="str">
        <f aca="false">IF(B1499="","",ROW()-1)</f>
        <v/>
      </c>
      <c r="B1499" s="16"/>
      <c r="C1499" s="16"/>
      <c r="D1499" s="16"/>
      <c r="E1499" s="16"/>
      <c r="F1499" s="17"/>
      <c r="G1499" s="16"/>
      <c r="H1499" s="16"/>
      <c r="I1499" s="16"/>
      <c r="J1499" s="16"/>
      <c r="K1499" s="16"/>
      <c r="L1499" s="16"/>
      <c r="M1499" s="18" t="str">
        <f aca="false">IF(OR(C1499="",D1499=""),"",IF(MOD(COUNTIFS($C$2:C1499,C1499,$D$2:D1499,D1499)*7,10)&lt;3,"teste","treino"))</f>
        <v/>
      </c>
      <c r="N1499" s="16"/>
      <c r="O1499" s="16"/>
      <c r="P1499" s="16"/>
      <c r="Q1499" s="17"/>
    </row>
    <row r="1500" customFormat="false" ht="15" hidden="false" customHeight="false" outlineLevel="0" collapsed="false">
      <c r="A1500" s="15" t="str">
        <f aca="false">IF(B1500="","",ROW()-1)</f>
        <v/>
      </c>
      <c r="B1500" s="16"/>
      <c r="C1500" s="16"/>
      <c r="D1500" s="16"/>
      <c r="E1500" s="16"/>
      <c r="F1500" s="17"/>
      <c r="G1500" s="16"/>
      <c r="H1500" s="16"/>
      <c r="I1500" s="16"/>
      <c r="J1500" s="16"/>
      <c r="K1500" s="16"/>
      <c r="L1500" s="16"/>
      <c r="M1500" s="18" t="str">
        <f aca="false">IF(OR(C1500="",D1500=""),"",IF(MOD(COUNTIFS($C$2:C1500,C1500,$D$2:D1500,D1500)*7,10)&lt;3,"teste","treino"))</f>
        <v/>
      </c>
      <c r="N1500" s="16"/>
      <c r="O1500" s="16"/>
      <c r="P1500" s="16"/>
      <c r="Q1500" s="17"/>
    </row>
    <row r="1501" customFormat="false" ht="15" hidden="false" customHeight="false" outlineLevel="0" collapsed="false">
      <c r="A1501" s="15" t="str">
        <f aca="false">IF(B1501="","",ROW()-1)</f>
        <v/>
      </c>
      <c r="B1501" s="16"/>
      <c r="C1501" s="16"/>
      <c r="D1501" s="16"/>
      <c r="E1501" s="16"/>
      <c r="F1501" s="17"/>
      <c r="G1501" s="16"/>
      <c r="H1501" s="16"/>
      <c r="I1501" s="16"/>
      <c r="J1501" s="16"/>
      <c r="K1501" s="16"/>
      <c r="L1501" s="16"/>
      <c r="M1501" s="18" t="str">
        <f aca="false">IF(OR(C1501="",D1501=""),"",IF(MOD(COUNTIFS($C$2:C1501,C1501,$D$2:D1501,D1501)*7,10)&lt;3,"teste","treino"))</f>
        <v/>
      </c>
      <c r="N1501" s="16"/>
      <c r="O1501" s="16"/>
      <c r="P1501" s="16"/>
      <c r="Q1501" s="17"/>
    </row>
    <row r="1502" customFormat="false" ht="15" hidden="false" customHeight="false" outlineLevel="0" collapsed="false">
      <c r="A1502" s="15" t="str">
        <f aca="false">IF(B1502="","",ROW()-1)</f>
        <v/>
      </c>
      <c r="B1502" s="16"/>
      <c r="C1502" s="16"/>
      <c r="D1502" s="16"/>
      <c r="E1502" s="16"/>
      <c r="F1502" s="17"/>
      <c r="G1502" s="16"/>
      <c r="H1502" s="16"/>
      <c r="I1502" s="16"/>
      <c r="J1502" s="16"/>
      <c r="K1502" s="16"/>
      <c r="L1502" s="16"/>
      <c r="M1502" s="18" t="str">
        <f aca="false">IF(OR(C1502="",D1502=""),"",IF(MOD(COUNTIFS($C$2:C1502,C1502,$D$2:D1502,D1502)*7,10)&lt;3,"teste","treino"))</f>
        <v/>
      </c>
      <c r="N1502" s="16"/>
      <c r="O1502" s="16"/>
      <c r="P1502" s="16"/>
      <c r="Q1502" s="17"/>
    </row>
    <row r="1503" customFormat="false" ht="15" hidden="false" customHeight="false" outlineLevel="0" collapsed="false">
      <c r="A1503" s="15" t="str">
        <f aca="false">IF(B1503="","",ROW()-1)</f>
        <v/>
      </c>
      <c r="B1503" s="16"/>
      <c r="C1503" s="16"/>
      <c r="D1503" s="16"/>
      <c r="E1503" s="16"/>
      <c r="F1503" s="17"/>
      <c r="G1503" s="16"/>
      <c r="H1503" s="16"/>
      <c r="I1503" s="16"/>
      <c r="J1503" s="16"/>
      <c r="K1503" s="16"/>
      <c r="L1503" s="16"/>
      <c r="M1503" s="18" t="str">
        <f aca="false">IF(OR(C1503="",D1503=""),"",IF(MOD(COUNTIFS($C$2:C1503,C1503,$D$2:D1503,D1503)*7,10)&lt;3,"teste","treino"))</f>
        <v/>
      </c>
      <c r="N1503" s="16"/>
      <c r="O1503" s="16"/>
      <c r="P1503" s="16"/>
      <c r="Q1503" s="17"/>
    </row>
    <row r="1504" customFormat="false" ht="15" hidden="false" customHeight="false" outlineLevel="0" collapsed="false">
      <c r="A1504" s="15" t="str">
        <f aca="false">IF(B1504="","",ROW()-1)</f>
        <v/>
      </c>
      <c r="B1504" s="16"/>
      <c r="C1504" s="16"/>
      <c r="D1504" s="16"/>
      <c r="E1504" s="16"/>
      <c r="F1504" s="17"/>
      <c r="G1504" s="16"/>
      <c r="H1504" s="16"/>
      <c r="I1504" s="16"/>
      <c r="J1504" s="16"/>
      <c r="K1504" s="16"/>
      <c r="L1504" s="16"/>
      <c r="M1504" s="18" t="str">
        <f aca="false">IF(OR(C1504="",D1504=""),"",IF(MOD(COUNTIFS($C$2:C1504,C1504,$D$2:D1504,D1504)*7,10)&lt;3,"teste","treino"))</f>
        <v/>
      </c>
      <c r="N1504" s="16"/>
      <c r="O1504" s="16"/>
      <c r="P1504" s="16"/>
      <c r="Q1504" s="17"/>
    </row>
    <row r="1505" customFormat="false" ht="15" hidden="false" customHeight="false" outlineLevel="0" collapsed="false">
      <c r="A1505" s="15" t="str">
        <f aca="false">IF(B1505="","",ROW()-1)</f>
        <v/>
      </c>
      <c r="B1505" s="16"/>
      <c r="C1505" s="16"/>
      <c r="D1505" s="16"/>
      <c r="E1505" s="16"/>
      <c r="F1505" s="17"/>
      <c r="G1505" s="16"/>
      <c r="H1505" s="16"/>
      <c r="I1505" s="16"/>
      <c r="J1505" s="16"/>
      <c r="K1505" s="16"/>
      <c r="L1505" s="16"/>
      <c r="M1505" s="18" t="str">
        <f aca="false">IF(OR(C1505="",D1505=""),"",IF(MOD(COUNTIFS($C$2:C1505,C1505,$D$2:D1505,D1505)*7,10)&lt;3,"teste","treino"))</f>
        <v/>
      </c>
      <c r="N1505" s="16"/>
      <c r="O1505" s="16"/>
      <c r="P1505" s="16"/>
      <c r="Q1505" s="17"/>
    </row>
    <row r="1506" customFormat="false" ht="15" hidden="false" customHeight="false" outlineLevel="0" collapsed="false">
      <c r="A1506" s="15" t="str">
        <f aca="false">IF(B1506="","",ROW()-1)</f>
        <v/>
      </c>
      <c r="B1506" s="16"/>
      <c r="C1506" s="16"/>
      <c r="D1506" s="16"/>
      <c r="E1506" s="16"/>
      <c r="F1506" s="17"/>
      <c r="G1506" s="16"/>
      <c r="H1506" s="16"/>
      <c r="I1506" s="16"/>
      <c r="J1506" s="16"/>
      <c r="K1506" s="16"/>
      <c r="L1506" s="16"/>
      <c r="M1506" s="18" t="str">
        <f aca="false">IF(OR(C1506="",D1506=""),"",IF(MOD(COUNTIFS($C$2:C1506,C1506,$D$2:D1506,D1506)*7,10)&lt;3,"teste","treino"))</f>
        <v/>
      </c>
      <c r="N1506" s="16"/>
      <c r="O1506" s="16"/>
      <c r="P1506" s="16"/>
      <c r="Q1506" s="17"/>
    </row>
    <row r="1507" customFormat="false" ht="15" hidden="false" customHeight="false" outlineLevel="0" collapsed="false">
      <c r="A1507" s="15" t="str">
        <f aca="false">IF(B1507="","",ROW()-1)</f>
        <v/>
      </c>
      <c r="B1507" s="16"/>
      <c r="C1507" s="16"/>
      <c r="D1507" s="16"/>
      <c r="E1507" s="16"/>
      <c r="F1507" s="17"/>
      <c r="G1507" s="16"/>
      <c r="H1507" s="16"/>
      <c r="I1507" s="16"/>
      <c r="J1507" s="16"/>
      <c r="K1507" s="16"/>
      <c r="L1507" s="16"/>
      <c r="M1507" s="18" t="str">
        <f aca="false">IF(OR(C1507="",D1507=""),"",IF(MOD(COUNTIFS($C$2:C1507,C1507,$D$2:D1507,D1507)*7,10)&lt;3,"teste","treino"))</f>
        <v/>
      </c>
      <c r="N1507" s="16"/>
      <c r="O1507" s="16"/>
      <c r="P1507" s="16"/>
      <c r="Q1507" s="17"/>
    </row>
    <row r="1508" customFormat="false" ht="15" hidden="false" customHeight="false" outlineLevel="0" collapsed="false">
      <c r="A1508" s="15" t="str">
        <f aca="false">IF(B1508="","",ROW()-1)</f>
        <v/>
      </c>
      <c r="B1508" s="16"/>
      <c r="C1508" s="16"/>
      <c r="D1508" s="16"/>
      <c r="E1508" s="16"/>
      <c r="F1508" s="17"/>
      <c r="G1508" s="16"/>
      <c r="H1508" s="16"/>
      <c r="I1508" s="16"/>
      <c r="J1508" s="16"/>
      <c r="K1508" s="16"/>
      <c r="L1508" s="16"/>
      <c r="M1508" s="18" t="str">
        <f aca="false">IF(OR(C1508="",D1508=""),"",IF(MOD(COUNTIFS($C$2:C1508,C1508,$D$2:D1508,D1508)*7,10)&lt;3,"teste","treino"))</f>
        <v/>
      </c>
      <c r="N1508" s="16"/>
      <c r="O1508" s="16"/>
      <c r="P1508" s="16"/>
      <c r="Q1508" s="17"/>
    </row>
    <row r="1509" customFormat="false" ht="15" hidden="false" customHeight="false" outlineLevel="0" collapsed="false">
      <c r="A1509" s="15" t="str">
        <f aca="false">IF(B1509="","",ROW()-1)</f>
        <v/>
      </c>
      <c r="B1509" s="16"/>
      <c r="C1509" s="16"/>
      <c r="D1509" s="16"/>
      <c r="E1509" s="16"/>
      <c r="F1509" s="17"/>
      <c r="G1509" s="16"/>
      <c r="H1509" s="16"/>
      <c r="I1509" s="16"/>
      <c r="J1509" s="16"/>
      <c r="K1509" s="16"/>
      <c r="L1509" s="16"/>
      <c r="M1509" s="18" t="str">
        <f aca="false">IF(OR(C1509="",D1509=""),"",IF(MOD(COUNTIFS($C$2:C1509,C1509,$D$2:D1509,D1509)*7,10)&lt;3,"teste","treino"))</f>
        <v/>
      </c>
      <c r="N1509" s="16"/>
      <c r="O1509" s="16"/>
      <c r="P1509" s="16"/>
      <c r="Q1509" s="17"/>
    </row>
    <row r="1510" customFormat="false" ht="15" hidden="false" customHeight="false" outlineLevel="0" collapsed="false">
      <c r="A1510" s="15" t="str">
        <f aca="false">IF(B1510="","",ROW()-1)</f>
        <v/>
      </c>
      <c r="B1510" s="16"/>
      <c r="C1510" s="16"/>
      <c r="D1510" s="16"/>
      <c r="E1510" s="16"/>
      <c r="F1510" s="17"/>
      <c r="G1510" s="16"/>
      <c r="H1510" s="16"/>
      <c r="I1510" s="16"/>
      <c r="J1510" s="16"/>
      <c r="K1510" s="16"/>
      <c r="L1510" s="16"/>
      <c r="M1510" s="18" t="str">
        <f aca="false">IF(OR(C1510="",D1510=""),"",IF(MOD(COUNTIFS($C$2:C1510,C1510,$D$2:D1510,D1510)*7,10)&lt;3,"teste","treino"))</f>
        <v/>
      </c>
      <c r="N1510" s="16"/>
      <c r="O1510" s="16"/>
      <c r="P1510" s="16"/>
      <c r="Q1510" s="17"/>
    </row>
    <row r="1511" customFormat="false" ht="15" hidden="false" customHeight="false" outlineLevel="0" collapsed="false">
      <c r="A1511" s="15" t="str">
        <f aca="false">IF(B1511="","",ROW()-1)</f>
        <v/>
      </c>
      <c r="B1511" s="16"/>
      <c r="C1511" s="16"/>
      <c r="D1511" s="16"/>
      <c r="E1511" s="16"/>
      <c r="F1511" s="17"/>
      <c r="G1511" s="16"/>
      <c r="H1511" s="16"/>
      <c r="I1511" s="16"/>
      <c r="J1511" s="16"/>
      <c r="K1511" s="16"/>
      <c r="L1511" s="16"/>
      <c r="M1511" s="18" t="str">
        <f aca="false">IF(OR(C1511="",D1511=""),"",IF(MOD(COUNTIFS($C$2:C1511,C1511,$D$2:D1511,D1511)*7,10)&lt;3,"teste","treino"))</f>
        <v/>
      </c>
      <c r="N1511" s="16"/>
      <c r="O1511" s="16"/>
      <c r="P1511" s="16"/>
      <c r="Q1511" s="17"/>
    </row>
    <row r="1512" customFormat="false" ht="15" hidden="false" customHeight="false" outlineLevel="0" collapsed="false">
      <c r="A1512" s="15" t="str">
        <f aca="false">IF(B1512="","",ROW()-1)</f>
        <v/>
      </c>
      <c r="B1512" s="16"/>
      <c r="C1512" s="16"/>
      <c r="D1512" s="16"/>
      <c r="E1512" s="16"/>
      <c r="F1512" s="17"/>
      <c r="G1512" s="16"/>
      <c r="H1512" s="16"/>
      <c r="I1512" s="16"/>
      <c r="J1512" s="16"/>
      <c r="K1512" s="16"/>
      <c r="L1512" s="16"/>
      <c r="M1512" s="18" t="str">
        <f aca="false">IF(OR(C1512="",D1512=""),"",IF(MOD(COUNTIFS($C$2:C1512,C1512,$D$2:D1512,D1512)*7,10)&lt;3,"teste","treino"))</f>
        <v/>
      </c>
      <c r="N1512" s="16"/>
      <c r="O1512" s="16"/>
      <c r="P1512" s="16"/>
      <c r="Q1512" s="17"/>
    </row>
    <row r="1513" customFormat="false" ht="15" hidden="false" customHeight="false" outlineLevel="0" collapsed="false">
      <c r="A1513" s="15" t="str">
        <f aca="false">IF(B1513="","",ROW()-1)</f>
        <v/>
      </c>
      <c r="B1513" s="16"/>
      <c r="C1513" s="16"/>
      <c r="D1513" s="16"/>
      <c r="E1513" s="16"/>
      <c r="F1513" s="17"/>
      <c r="G1513" s="16"/>
      <c r="H1513" s="16"/>
      <c r="I1513" s="16"/>
      <c r="J1513" s="16"/>
      <c r="K1513" s="16"/>
      <c r="L1513" s="16"/>
      <c r="M1513" s="18" t="str">
        <f aca="false">IF(OR(C1513="",D1513=""),"",IF(MOD(COUNTIFS($C$2:C1513,C1513,$D$2:D1513,D1513)*7,10)&lt;3,"teste","treino"))</f>
        <v/>
      </c>
      <c r="N1513" s="16"/>
      <c r="O1513" s="16"/>
      <c r="P1513" s="16"/>
      <c r="Q1513" s="17"/>
    </row>
    <row r="1514" customFormat="false" ht="15" hidden="false" customHeight="false" outlineLevel="0" collapsed="false">
      <c r="A1514" s="15" t="str">
        <f aca="false">IF(B1514="","",ROW()-1)</f>
        <v/>
      </c>
      <c r="B1514" s="16"/>
      <c r="C1514" s="16"/>
      <c r="D1514" s="16"/>
      <c r="E1514" s="16"/>
      <c r="F1514" s="17"/>
      <c r="G1514" s="16"/>
      <c r="H1514" s="16"/>
      <c r="I1514" s="16"/>
      <c r="J1514" s="16"/>
      <c r="K1514" s="16"/>
      <c r="L1514" s="16"/>
      <c r="M1514" s="18" t="str">
        <f aca="false">IF(OR(C1514="",D1514=""),"",IF(MOD(COUNTIFS($C$2:C1514,C1514,$D$2:D1514,D1514)*7,10)&lt;3,"teste","treino"))</f>
        <v/>
      </c>
      <c r="N1514" s="16"/>
      <c r="O1514" s="16"/>
      <c r="P1514" s="16"/>
      <c r="Q1514" s="17"/>
    </row>
    <row r="1515" customFormat="false" ht="15" hidden="false" customHeight="false" outlineLevel="0" collapsed="false">
      <c r="A1515" s="15" t="str">
        <f aca="false">IF(B1515="","",ROW()-1)</f>
        <v/>
      </c>
      <c r="B1515" s="16"/>
      <c r="C1515" s="16"/>
      <c r="D1515" s="16"/>
      <c r="E1515" s="16"/>
      <c r="F1515" s="17"/>
      <c r="G1515" s="16"/>
      <c r="H1515" s="16"/>
      <c r="I1515" s="16"/>
      <c r="J1515" s="16"/>
      <c r="K1515" s="16"/>
      <c r="L1515" s="16"/>
      <c r="M1515" s="18" t="str">
        <f aca="false">IF(OR(C1515="",D1515=""),"",IF(MOD(COUNTIFS($C$2:C1515,C1515,$D$2:D1515,D1515)*7,10)&lt;3,"teste","treino"))</f>
        <v/>
      </c>
      <c r="N1515" s="16"/>
      <c r="O1515" s="16"/>
      <c r="P1515" s="16"/>
      <c r="Q1515" s="17"/>
    </row>
    <row r="1516" customFormat="false" ht="15" hidden="false" customHeight="false" outlineLevel="0" collapsed="false">
      <c r="A1516" s="15" t="str">
        <f aca="false">IF(B1516="","",ROW()-1)</f>
        <v/>
      </c>
      <c r="B1516" s="16"/>
      <c r="C1516" s="16"/>
      <c r="D1516" s="16"/>
      <c r="E1516" s="16"/>
      <c r="F1516" s="17"/>
      <c r="G1516" s="16"/>
      <c r="H1516" s="16"/>
      <c r="I1516" s="16"/>
      <c r="J1516" s="16"/>
      <c r="K1516" s="16"/>
      <c r="L1516" s="16"/>
      <c r="M1516" s="18" t="str">
        <f aca="false">IF(OR(C1516="",D1516=""),"",IF(MOD(COUNTIFS($C$2:C1516,C1516,$D$2:D1516,D1516)*7,10)&lt;3,"teste","treino"))</f>
        <v/>
      </c>
      <c r="N1516" s="16"/>
      <c r="O1516" s="16"/>
      <c r="P1516" s="16"/>
      <c r="Q1516" s="17"/>
    </row>
    <row r="1517" customFormat="false" ht="15" hidden="false" customHeight="false" outlineLevel="0" collapsed="false">
      <c r="A1517" s="15" t="str">
        <f aca="false">IF(B1517="","",ROW()-1)</f>
        <v/>
      </c>
      <c r="B1517" s="16"/>
      <c r="C1517" s="16"/>
      <c r="D1517" s="16"/>
      <c r="E1517" s="16"/>
      <c r="F1517" s="17"/>
      <c r="G1517" s="16"/>
      <c r="H1517" s="16"/>
      <c r="I1517" s="16"/>
      <c r="J1517" s="16"/>
      <c r="K1517" s="16"/>
      <c r="L1517" s="16"/>
      <c r="M1517" s="18" t="str">
        <f aca="false">IF(OR(C1517="",D1517=""),"",IF(MOD(COUNTIFS($C$2:C1517,C1517,$D$2:D1517,D1517)*7,10)&lt;3,"teste","treino"))</f>
        <v/>
      </c>
      <c r="N1517" s="16"/>
      <c r="O1517" s="16"/>
      <c r="P1517" s="16"/>
      <c r="Q1517" s="17"/>
    </row>
    <row r="1518" customFormat="false" ht="15" hidden="false" customHeight="false" outlineLevel="0" collapsed="false">
      <c r="A1518" s="15" t="str">
        <f aca="false">IF(B1518="","",ROW()-1)</f>
        <v/>
      </c>
      <c r="B1518" s="16"/>
      <c r="C1518" s="16"/>
      <c r="D1518" s="16"/>
      <c r="E1518" s="16"/>
      <c r="F1518" s="17"/>
      <c r="G1518" s="16"/>
      <c r="H1518" s="16"/>
      <c r="I1518" s="16"/>
      <c r="J1518" s="16"/>
      <c r="K1518" s="16"/>
      <c r="L1518" s="16"/>
      <c r="M1518" s="18" t="str">
        <f aca="false">IF(OR(C1518="",D1518=""),"",IF(MOD(COUNTIFS($C$2:C1518,C1518,$D$2:D1518,D1518)*7,10)&lt;3,"teste","treino"))</f>
        <v/>
      </c>
      <c r="N1518" s="16"/>
      <c r="O1518" s="16"/>
      <c r="P1518" s="16"/>
      <c r="Q1518" s="17"/>
    </row>
    <row r="1519" customFormat="false" ht="15" hidden="false" customHeight="false" outlineLevel="0" collapsed="false">
      <c r="A1519" s="15" t="str">
        <f aca="false">IF(B1519="","",ROW()-1)</f>
        <v/>
      </c>
      <c r="B1519" s="16"/>
      <c r="C1519" s="16"/>
      <c r="D1519" s="16"/>
      <c r="E1519" s="16"/>
      <c r="F1519" s="17"/>
      <c r="G1519" s="16"/>
      <c r="H1519" s="16"/>
      <c r="I1519" s="16"/>
      <c r="J1519" s="16"/>
      <c r="K1519" s="16"/>
      <c r="L1519" s="16"/>
      <c r="M1519" s="18" t="str">
        <f aca="false">IF(OR(C1519="",D1519=""),"",IF(MOD(COUNTIFS($C$2:C1519,C1519,$D$2:D1519,D1519)*7,10)&lt;3,"teste","treino"))</f>
        <v/>
      </c>
      <c r="N1519" s="16"/>
      <c r="O1519" s="16"/>
      <c r="P1519" s="16"/>
      <c r="Q1519" s="17"/>
    </row>
    <row r="1520" customFormat="false" ht="15" hidden="false" customHeight="false" outlineLevel="0" collapsed="false">
      <c r="A1520" s="15" t="str">
        <f aca="false">IF(B1520="","",ROW()-1)</f>
        <v/>
      </c>
      <c r="B1520" s="16"/>
      <c r="C1520" s="16"/>
      <c r="D1520" s="16"/>
      <c r="E1520" s="16"/>
      <c r="F1520" s="17"/>
      <c r="G1520" s="16"/>
      <c r="H1520" s="16"/>
      <c r="I1520" s="16"/>
      <c r="J1520" s="16"/>
      <c r="K1520" s="16"/>
      <c r="L1520" s="16"/>
      <c r="M1520" s="18" t="str">
        <f aca="false">IF(OR(C1520="",D1520=""),"",IF(MOD(COUNTIFS($C$2:C1520,C1520,$D$2:D1520,D1520)*7,10)&lt;3,"teste","treino"))</f>
        <v/>
      </c>
      <c r="N1520" s="16"/>
      <c r="O1520" s="16"/>
      <c r="P1520" s="16"/>
      <c r="Q1520" s="17"/>
    </row>
    <row r="1521" customFormat="false" ht="15" hidden="false" customHeight="false" outlineLevel="0" collapsed="false">
      <c r="A1521" s="15" t="str">
        <f aca="false">IF(B1521="","",ROW()-1)</f>
        <v/>
      </c>
      <c r="B1521" s="16"/>
      <c r="C1521" s="16"/>
      <c r="D1521" s="16"/>
      <c r="E1521" s="16"/>
      <c r="F1521" s="17"/>
      <c r="G1521" s="16"/>
      <c r="H1521" s="16"/>
      <c r="I1521" s="16"/>
      <c r="J1521" s="16"/>
      <c r="K1521" s="16"/>
      <c r="L1521" s="16"/>
      <c r="M1521" s="18" t="str">
        <f aca="false">IF(OR(C1521="",D1521=""),"",IF(MOD(COUNTIFS($C$2:C1521,C1521,$D$2:D1521,D1521)*7,10)&lt;3,"teste","treino"))</f>
        <v/>
      </c>
      <c r="N1521" s="16"/>
      <c r="O1521" s="16"/>
      <c r="P1521" s="16"/>
      <c r="Q1521" s="17"/>
    </row>
    <row r="1522" customFormat="false" ht="15" hidden="false" customHeight="false" outlineLevel="0" collapsed="false">
      <c r="A1522" s="15" t="str">
        <f aca="false">IF(B1522="","",ROW()-1)</f>
        <v/>
      </c>
      <c r="B1522" s="16"/>
      <c r="C1522" s="16"/>
      <c r="D1522" s="16"/>
      <c r="E1522" s="16"/>
      <c r="F1522" s="17"/>
      <c r="G1522" s="16"/>
      <c r="H1522" s="16"/>
      <c r="I1522" s="16"/>
      <c r="J1522" s="16"/>
      <c r="K1522" s="16"/>
      <c r="L1522" s="16"/>
      <c r="M1522" s="18" t="str">
        <f aca="false">IF(OR(C1522="",D1522=""),"",IF(MOD(COUNTIFS($C$2:C1522,C1522,$D$2:D1522,D1522)*7,10)&lt;3,"teste","treino"))</f>
        <v/>
      </c>
      <c r="N1522" s="16"/>
      <c r="O1522" s="16"/>
      <c r="P1522" s="16"/>
      <c r="Q1522" s="17"/>
    </row>
    <row r="1523" customFormat="false" ht="15" hidden="false" customHeight="false" outlineLevel="0" collapsed="false">
      <c r="A1523" s="15" t="str">
        <f aca="false">IF(B1523="","",ROW()-1)</f>
        <v/>
      </c>
      <c r="B1523" s="16"/>
      <c r="C1523" s="16"/>
      <c r="D1523" s="16"/>
      <c r="E1523" s="16"/>
      <c r="F1523" s="17"/>
      <c r="G1523" s="16"/>
      <c r="H1523" s="16"/>
      <c r="I1523" s="16"/>
      <c r="J1523" s="16"/>
      <c r="K1523" s="16"/>
      <c r="L1523" s="16"/>
      <c r="M1523" s="18" t="str">
        <f aca="false">IF(OR(C1523="",D1523=""),"",IF(MOD(COUNTIFS($C$2:C1523,C1523,$D$2:D1523,D1523)*7,10)&lt;3,"teste","treino"))</f>
        <v/>
      </c>
      <c r="N1523" s="16"/>
      <c r="O1523" s="16"/>
      <c r="P1523" s="16"/>
      <c r="Q1523" s="17"/>
    </row>
    <row r="1524" customFormat="false" ht="15" hidden="false" customHeight="false" outlineLevel="0" collapsed="false">
      <c r="A1524" s="15" t="str">
        <f aca="false">IF(B1524="","",ROW()-1)</f>
        <v/>
      </c>
      <c r="B1524" s="16"/>
      <c r="C1524" s="16"/>
      <c r="D1524" s="16"/>
      <c r="E1524" s="16"/>
      <c r="F1524" s="17"/>
      <c r="G1524" s="16"/>
      <c r="H1524" s="16"/>
      <c r="I1524" s="16"/>
      <c r="J1524" s="16"/>
      <c r="K1524" s="16"/>
      <c r="L1524" s="16"/>
      <c r="M1524" s="18" t="str">
        <f aca="false">IF(OR(C1524="",D1524=""),"",IF(MOD(COUNTIFS($C$2:C1524,C1524,$D$2:D1524,D1524)*7,10)&lt;3,"teste","treino"))</f>
        <v/>
      </c>
      <c r="N1524" s="16"/>
      <c r="O1524" s="16"/>
      <c r="P1524" s="16"/>
      <c r="Q1524" s="17"/>
    </row>
    <row r="1525" customFormat="false" ht="15" hidden="false" customHeight="false" outlineLevel="0" collapsed="false">
      <c r="A1525" s="15" t="str">
        <f aca="false">IF(B1525="","",ROW()-1)</f>
        <v/>
      </c>
      <c r="B1525" s="16"/>
      <c r="C1525" s="16"/>
      <c r="D1525" s="16"/>
      <c r="E1525" s="16"/>
      <c r="F1525" s="17"/>
      <c r="G1525" s="16"/>
      <c r="H1525" s="16"/>
      <c r="I1525" s="16"/>
      <c r="J1525" s="16"/>
      <c r="K1525" s="16"/>
      <c r="L1525" s="16"/>
      <c r="M1525" s="18" t="str">
        <f aca="false">IF(OR(C1525="",D1525=""),"",IF(MOD(COUNTIFS($C$2:C1525,C1525,$D$2:D1525,D1525)*7,10)&lt;3,"teste","treino"))</f>
        <v/>
      </c>
      <c r="N1525" s="16"/>
      <c r="O1525" s="16"/>
      <c r="P1525" s="16"/>
      <c r="Q1525" s="17"/>
    </row>
    <row r="1526" customFormat="false" ht="15" hidden="false" customHeight="false" outlineLevel="0" collapsed="false">
      <c r="A1526" s="15" t="str">
        <f aca="false">IF(B1526="","",ROW()-1)</f>
        <v/>
      </c>
      <c r="B1526" s="16"/>
      <c r="C1526" s="16"/>
      <c r="D1526" s="16"/>
      <c r="E1526" s="16"/>
      <c r="F1526" s="17"/>
      <c r="G1526" s="16"/>
      <c r="H1526" s="16"/>
      <c r="I1526" s="16"/>
      <c r="J1526" s="16"/>
      <c r="K1526" s="16"/>
      <c r="L1526" s="16"/>
      <c r="M1526" s="18" t="str">
        <f aca="false">IF(OR(C1526="",D1526=""),"",IF(MOD(COUNTIFS($C$2:C1526,C1526,$D$2:D1526,D1526)*7,10)&lt;3,"teste","treino"))</f>
        <v/>
      </c>
      <c r="N1526" s="16"/>
      <c r="O1526" s="16"/>
      <c r="P1526" s="16"/>
      <c r="Q1526" s="17"/>
    </row>
    <row r="1527" customFormat="false" ht="15" hidden="false" customHeight="false" outlineLevel="0" collapsed="false">
      <c r="A1527" s="15" t="str">
        <f aca="false">IF(B1527="","",ROW()-1)</f>
        <v/>
      </c>
      <c r="B1527" s="16"/>
      <c r="C1527" s="16"/>
      <c r="D1527" s="16"/>
      <c r="E1527" s="16"/>
      <c r="F1527" s="17"/>
      <c r="G1527" s="16"/>
      <c r="H1527" s="16"/>
      <c r="I1527" s="16"/>
      <c r="J1527" s="16"/>
      <c r="K1527" s="16"/>
      <c r="L1527" s="16"/>
      <c r="M1527" s="18" t="str">
        <f aca="false">IF(OR(C1527="",D1527=""),"",IF(MOD(COUNTIFS($C$2:C1527,C1527,$D$2:D1527,D1527)*7,10)&lt;3,"teste","treino"))</f>
        <v/>
      </c>
      <c r="N1527" s="16"/>
      <c r="O1527" s="16"/>
      <c r="P1527" s="16"/>
      <c r="Q1527" s="17"/>
    </row>
    <row r="1528" customFormat="false" ht="15" hidden="false" customHeight="false" outlineLevel="0" collapsed="false">
      <c r="A1528" s="15" t="str">
        <f aca="false">IF(B1528="","",ROW()-1)</f>
        <v/>
      </c>
      <c r="B1528" s="16"/>
      <c r="C1528" s="16"/>
      <c r="D1528" s="16"/>
      <c r="E1528" s="16"/>
      <c r="F1528" s="17"/>
      <c r="G1528" s="16"/>
      <c r="H1528" s="16"/>
      <c r="I1528" s="16"/>
      <c r="J1528" s="16"/>
      <c r="K1528" s="16"/>
      <c r="L1528" s="16"/>
      <c r="M1528" s="18" t="str">
        <f aca="false">IF(OR(C1528="",D1528=""),"",IF(MOD(COUNTIFS($C$2:C1528,C1528,$D$2:D1528,D1528)*7,10)&lt;3,"teste","treino"))</f>
        <v/>
      </c>
      <c r="N1528" s="16"/>
      <c r="O1528" s="16"/>
      <c r="P1528" s="16"/>
      <c r="Q1528" s="17"/>
    </row>
    <row r="1529" customFormat="false" ht="15" hidden="false" customHeight="false" outlineLevel="0" collapsed="false">
      <c r="A1529" s="15" t="str">
        <f aca="false">IF(B1529="","",ROW()-1)</f>
        <v/>
      </c>
      <c r="B1529" s="16"/>
      <c r="C1529" s="16"/>
      <c r="D1529" s="16"/>
      <c r="E1529" s="16"/>
      <c r="F1529" s="17"/>
      <c r="G1529" s="16"/>
      <c r="H1529" s="16"/>
      <c r="I1529" s="16"/>
      <c r="J1529" s="16"/>
      <c r="K1529" s="16"/>
      <c r="L1529" s="16"/>
      <c r="M1529" s="18" t="str">
        <f aca="false">IF(OR(C1529="",D1529=""),"",IF(MOD(COUNTIFS($C$2:C1529,C1529,$D$2:D1529,D1529)*7,10)&lt;3,"teste","treino"))</f>
        <v/>
      </c>
      <c r="N1529" s="16"/>
      <c r="O1529" s="16"/>
      <c r="P1529" s="16"/>
      <c r="Q1529" s="17"/>
    </row>
    <row r="1530" customFormat="false" ht="15" hidden="false" customHeight="false" outlineLevel="0" collapsed="false">
      <c r="A1530" s="15" t="str">
        <f aca="false">IF(B1530="","",ROW()-1)</f>
        <v/>
      </c>
      <c r="B1530" s="16"/>
      <c r="C1530" s="16"/>
      <c r="D1530" s="16"/>
      <c r="E1530" s="16"/>
      <c r="F1530" s="17"/>
      <c r="G1530" s="16"/>
      <c r="H1530" s="16"/>
      <c r="I1530" s="16"/>
      <c r="J1530" s="16"/>
      <c r="K1530" s="16"/>
      <c r="L1530" s="16"/>
      <c r="M1530" s="18" t="str">
        <f aca="false">IF(OR(C1530="",D1530=""),"",IF(MOD(COUNTIFS($C$2:C1530,C1530,$D$2:D1530,D1530)*7,10)&lt;3,"teste","treino"))</f>
        <v/>
      </c>
      <c r="N1530" s="16"/>
      <c r="O1530" s="16"/>
      <c r="P1530" s="16"/>
      <c r="Q1530" s="17"/>
    </row>
    <row r="1531" customFormat="false" ht="15" hidden="false" customHeight="false" outlineLevel="0" collapsed="false">
      <c r="A1531" s="15" t="str">
        <f aca="false">IF(B1531="","",ROW()-1)</f>
        <v/>
      </c>
      <c r="B1531" s="16"/>
      <c r="C1531" s="16"/>
      <c r="D1531" s="16"/>
      <c r="E1531" s="16"/>
      <c r="F1531" s="17"/>
      <c r="G1531" s="16"/>
      <c r="H1531" s="16"/>
      <c r="I1531" s="16"/>
      <c r="J1531" s="16"/>
      <c r="K1531" s="16"/>
      <c r="L1531" s="16"/>
      <c r="M1531" s="18" t="str">
        <f aca="false">IF(OR(C1531="",D1531=""),"",IF(MOD(COUNTIFS($C$2:C1531,C1531,$D$2:D1531,D1531)*7,10)&lt;3,"teste","treino"))</f>
        <v/>
      </c>
      <c r="N1531" s="16"/>
      <c r="O1531" s="16"/>
      <c r="P1531" s="16"/>
      <c r="Q1531" s="17"/>
    </row>
    <row r="1532" customFormat="false" ht="15" hidden="false" customHeight="false" outlineLevel="0" collapsed="false">
      <c r="A1532" s="15" t="str">
        <f aca="false">IF(B1532="","",ROW()-1)</f>
        <v/>
      </c>
      <c r="B1532" s="16"/>
      <c r="C1532" s="16"/>
      <c r="D1532" s="16"/>
      <c r="E1532" s="16"/>
      <c r="F1532" s="17"/>
      <c r="G1532" s="16"/>
      <c r="H1532" s="16"/>
      <c r="I1532" s="16"/>
      <c r="J1532" s="16"/>
      <c r="K1532" s="16"/>
      <c r="L1532" s="16"/>
      <c r="M1532" s="18" t="str">
        <f aca="false">IF(OR(C1532="",D1532=""),"",IF(MOD(COUNTIFS($C$2:C1532,C1532,$D$2:D1532,D1532)*7,10)&lt;3,"teste","treino"))</f>
        <v/>
      </c>
      <c r="N1532" s="16"/>
      <c r="O1532" s="16"/>
      <c r="P1532" s="16"/>
      <c r="Q1532" s="17"/>
    </row>
    <row r="1533" customFormat="false" ht="15" hidden="false" customHeight="false" outlineLevel="0" collapsed="false">
      <c r="A1533" s="15" t="str">
        <f aca="false">IF(B1533="","",ROW()-1)</f>
        <v/>
      </c>
      <c r="B1533" s="16"/>
      <c r="C1533" s="16"/>
      <c r="D1533" s="16"/>
      <c r="E1533" s="16"/>
      <c r="F1533" s="17"/>
      <c r="G1533" s="16"/>
      <c r="H1533" s="16"/>
      <c r="I1533" s="16"/>
      <c r="J1533" s="16"/>
      <c r="K1533" s="16"/>
      <c r="L1533" s="16"/>
      <c r="M1533" s="18" t="str">
        <f aca="false">IF(OR(C1533="",D1533=""),"",IF(MOD(COUNTIFS($C$2:C1533,C1533,$D$2:D1533,D1533)*7,10)&lt;3,"teste","treino"))</f>
        <v/>
      </c>
      <c r="N1533" s="16"/>
      <c r="O1533" s="16"/>
      <c r="P1533" s="16"/>
      <c r="Q1533" s="17"/>
    </row>
    <row r="1534" customFormat="false" ht="15" hidden="false" customHeight="false" outlineLevel="0" collapsed="false">
      <c r="A1534" s="15" t="str">
        <f aca="false">IF(B1534="","",ROW()-1)</f>
        <v/>
      </c>
      <c r="B1534" s="16"/>
      <c r="C1534" s="16"/>
      <c r="D1534" s="16"/>
      <c r="E1534" s="16"/>
      <c r="F1534" s="17"/>
      <c r="G1534" s="16"/>
      <c r="H1534" s="16"/>
      <c r="I1534" s="16"/>
      <c r="J1534" s="16"/>
      <c r="K1534" s="16"/>
      <c r="L1534" s="16"/>
      <c r="M1534" s="18" t="str">
        <f aca="false">IF(OR(C1534="",D1534=""),"",IF(MOD(COUNTIFS($C$2:C1534,C1534,$D$2:D1534,D1534)*7,10)&lt;3,"teste","treino"))</f>
        <v/>
      </c>
      <c r="N1534" s="16"/>
      <c r="O1534" s="16"/>
      <c r="P1534" s="16"/>
      <c r="Q1534" s="17"/>
    </row>
    <row r="1535" customFormat="false" ht="15" hidden="false" customHeight="false" outlineLevel="0" collapsed="false">
      <c r="A1535" s="15" t="str">
        <f aca="false">IF(B1535="","",ROW()-1)</f>
        <v/>
      </c>
      <c r="B1535" s="16"/>
      <c r="C1535" s="16"/>
      <c r="D1535" s="16"/>
      <c r="E1535" s="16"/>
      <c r="F1535" s="17"/>
      <c r="G1535" s="16"/>
      <c r="H1535" s="16"/>
      <c r="I1535" s="16"/>
      <c r="J1535" s="16"/>
      <c r="K1535" s="16"/>
      <c r="L1535" s="16"/>
      <c r="M1535" s="18" t="str">
        <f aca="false">IF(OR(C1535="",D1535=""),"",IF(MOD(COUNTIFS($C$2:C1535,C1535,$D$2:D1535,D1535)*7,10)&lt;3,"teste","treino"))</f>
        <v/>
      </c>
      <c r="N1535" s="16"/>
      <c r="O1535" s="16"/>
      <c r="P1535" s="16"/>
      <c r="Q1535" s="17"/>
    </row>
    <row r="1536" customFormat="false" ht="15" hidden="false" customHeight="false" outlineLevel="0" collapsed="false">
      <c r="A1536" s="15" t="str">
        <f aca="false">IF(B1536="","",ROW()-1)</f>
        <v/>
      </c>
      <c r="B1536" s="16"/>
      <c r="C1536" s="16"/>
      <c r="D1536" s="16"/>
      <c r="E1536" s="16"/>
      <c r="F1536" s="17"/>
      <c r="G1536" s="16"/>
      <c r="H1536" s="16"/>
      <c r="I1536" s="16"/>
      <c r="J1536" s="16"/>
      <c r="K1536" s="16"/>
      <c r="L1536" s="16"/>
      <c r="M1536" s="18" t="str">
        <f aca="false">IF(OR(C1536="",D1536=""),"",IF(MOD(COUNTIFS($C$2:C1536,C1536,$D$2:D1536,D1536)*7,10)&lt;3,"teste","treino"))</f>
        <v/>
      </c>
      <c r="N1536" s="16"/>
      <c r="O1536" s="16"/>
      <c r="P1536" s="16"/>
      <c r="Q1536" s="17"/>
    </row>
    <row r="1537" customFormat="false" ht="15" hidden="false" customHeight="false" outlineLevel="0" collapsed="false">
      <c r="A1537" s="15" t="str">
        <f aca="false">IF(B1537="","",ROW()-1)</f>
        <v/>
      </c>
      <c r="B1537" s="16"/>
      <c r="C1537" s="16"/>
      <c r="D1537" s="16"/>
      <c r="E1537" s="16"/>
      <c r="F1537" s="17"/>
      <c r="G1537" s="16"/>
      <c r="H1537" s="16"/>
      <c r="I1537" s="16"/>
      <c r="J1537" s="16"/>
      <c r="K1537" s="16"/>
      <c r="L1537" s="16"/>
      <c r="M1537" s="18" t="str">
        <f aca="false">IF(OR(C1537="",D1537=""),"",IF(MOD(COUNTIFS($C$2:C1537,C1537,$D$2:D1537,D1537)*7,10)&lt;3,"teste","treino"))</f>
        <v/>
      </c>
      <c r="N1537" s="16"/>
      <c r="O1537" s="16"/>
      <c r="P1537" s="16"/>
      <c r="Q1537" s="17"/>
    </row>
    <row r="1538" customFormat="false" ht="15" hidden="false" customHeight="false" outlineLevel="0" collapsed="false">
      <c r="A1538" s="15" t="str">
        <f aca="false">IF(B1538="","",ROW()-1)</f>
        <v/>
      </c>
      <c r="B1538" s="16"/>
      <c r="C1538" s="16"/>
      <c r="D1538" s="16"/>
      <c r="E1538" s="16"/>
      <c r="F1538" s="17"/>
      <c r="G1538" s="16"/>
      <c r="H1538" s="16"/>
      <c r="I1538" s="16"/>
      <c r="J1538" s="16"/>
      <c r="K1538" s="16"/>
      <c r="L1538" s="16"/>
      <c r="M1538" s="18" t="str">
        <f aca="false">IF(OR(C1538="",D1538=""),"",IF(MOD(COUNTIFS($C$2:C1538,C1538,$D$2:D1538,D1538)*7,10)&lt;3,"teste","treino"))</f>
        <v/>
      </c>
      <c r="N1538" s="16"/>
      <c r="O1538" s="16"/>
      <c r="P1538" s="16"/>
      <c r="Q1538" s="17"/>
    </row>
    <row r="1539" customFormat="false" ht="15" hidden="false" customHeight="false" outlineLevel="0" collapsed="false">
      <c r="A1539" s="15" t="str">
        <f aca="false">IF(B1539="","",ROW()-1)</f>
        <v/>
      </c>
      <c r="B1539" s="16"/>
      <c r="C1539" s="16"/>
      <c r="D1539" s="16"/>
      <c r="E1539" s="16"/>
      <c r="F1539" s="17"/>
      <c r="G1539" s="16"/>
      <c r="H1539" s="16"/>
      <c r="I1539" s="16"/>
      <c r="J1539" s="16"/>
      <c r="K1539" s="16"/>
      <c r="L1539" s="16"/>
      <c r="M1539" s="18" t="str">
        <f aca="false">IF(OR(C1539="",D1539=""),"",IF(MOD(COUNTIFS($C$2:C1539,C1539,$D$2:D1539,D1539)*7,10)&lt;3,"teste","treino"))</f>
        <v/>
      </c>
      <c r="N1539" s="16"/>
      <c r="O1539" s="16"/>
      <c r="P1539" s="16"/>
      <c r="Q1539" s="17"/>
    </row>
    <row r="1540" customFormat="false" ht="15" hidden="false" customHeight="false" outlineLevel="0" collapsed="false">
      <c r="A1540" s="15" t="str">
        <f aca="false">IF(B1540="","",ROW()-1)</f>
        <v/>
      </c>
      <c r="B1540" s="16"/>
      <c r="C1540" s="16"/>
      <c r="D1540" s="16"/>
      <c r="E1540" s="16"/>
      <c r="F1540" s="17"/>
      <c r="G1540" s="16"/>
      <c r="H1540" s="16"/>
      <c r="I1540" s="16"/>
      <c r="J1540" s="16"/>
      <c r="K1540" s="16"/>
      <c r="L1540" s="16"/>
      <c r="M1540" s="18" t="str">
        <f aca="false">IF(OR(C1540="",D1540=""),"",IF(MOD(COUNTIFS($C$2:C1540,C1540,$D$2:D1540,D1540)*7,10)&lt;3,"teste","treino"))</f>
        <v/>
      </c>
      <c r="N1540" s="16"/>
      <c r="O1540" s="16"/>
      <c r="P1540" s="16"/>
      <c r="Q1540" s="17"/>
    </row>
    <row r="1541" customFormat="false" ht="15" hidden="false" customHeight="false" outlineLevel="0" collapsed="false">
      <c r="A1541" s="15" t="str">
        <f aca="false">IF(B1541="","",ROW()-1)</f>
        <v/>
      </c>
      <c r="B1541" s="16"/>
      <c r="C1541" s="16"/>
      <c r="D1541" s="16"/>
      <c r="E1541" s="16"/>
      <c r="F1541" s="17"/>
      <c r="G1541" s="16"/>
      <c r="H1541" s="16"/>
      <c r="I1541" s="16"/>
      <c r="J1541" s="16"/>
      <c r="K1541" s="16"/>
      <c r="L1541" s="16"/>
      <c r="M1541" s="18" t="str">
        <f aca="false">IF(OR(C1541="",D1541=""),"",IF(MOD(COUNTIFS($C$2:C1541,C1541,$D$2:D1541,D1541)*7,10)&lt;3,"teste","treino"))</f>
        <v/>
      </c>
      <c r="N1541" s="16"/>
      <c r="O1541" s="16"/>
      <c r="P1541" s="16"/>
      <c r="Q1541" s="17"/>
    </row>
    <row r="1542" customFormat="false" ht="15" hidden="false" customHeight="false" outlineLevel="0" collapsed="false">
      <c r="A1542" s="15" t="str">
        <f aca="false">IF(B1542="","",ROW()-1)</f>
        <v/>
      </c>
      <c r="B1542" s="16"/>
      <c r="C1542" s="16"/>
      <c r="D1542" s="16"/>
      <c r="E1542" s="16"/>
      <c r="F1542" s="17"/>
      <c r="G1542" s="16"/>
      <c r="H1542" s="16"/>
      <c r="I1542" s="16"/>
      <c r="J1542" s="16"/>
      <c r="K1542" s="16"/>
      <c r="L1542" s="16"/>
      <c r="M1542" s="18" t="str">
        <f aca="false">IF(OR(C1542="",D1542=""),"",IF(MOD(COUNTIFS($C$2:C1542,C1542,$D$2:D1542,D1542)*7,10)&lt;3,"teste","treino"))</f>
        <v/>
      </c>
      <c r="N1542" s="16"/>
      <c r="O1542" s="16"/>
      <c r="P1542" s="16"/>
      <c r="Q1542" s="17"/>
    </row>
    <row r="1543" customFormat="false" ht="15" hidden="false" customHeight="false" outlineLevel="0" collapsed="false">
      <c r="A1543" s="15" t="str">
        <f aca="false">IF(B1543="","",ROW()-1)</f>
        <v/>
      </c>
      <c r="B1543" s="16"/>
      <c r="C1543" s="16"/>
      <c r="D1543" s="16"/>
      <c r="E1543" s="16"/>
      <c r="F1543" s="17"/>
      <c r="G1543" s="16"/>
      <c r="H1543" s="16"/>
      <c r="I1543" s="16"/>
      <c r="J1543" s="16"/>
      <c r="K1543" s="16"/>
      <c r="L1543" s="16"/>
      <c r="M1543" s="18" t="str">
        <f aca="false">IF(OR(C1543="",D1543=""),"",IF(MOD(COUNTIFS($C$2:C1543,C1543,$D$2:D1543,D1543)*7,10)&lt;3,"teste","treino"))</f>
        <v/>
      </c>
      <c r="N1543" s="16"/>
      <c r="O1543" s="16"/>
      <c r="P1543" s="16"/>
      <c r="Q1543" s="17"/>
    </row>
    <row r="1544" customFormat="false" ht="15" hidden="false" customHeight="false" outlineLevel="0" collapsed="false">
      <c r="A1544" s="15" t="str">
        <f aca="false">IF(B1544="","",ROW()-1)</f>
        <v/>
      </c>
      <c r="B1544" s="16"/>
      <c r="C1544" s="16"/>
      <c r="D1544" s="16"/>
      <c r="E1544" s="16"/>
      <c r="F1544" s="17"/>
      <c r="G1544" s="16"/>
      <c r="H1544" s="16"/>
      <c r="I1544" s="16"/>
      <c r="J1544" s="16"/>
      <c r="K1544" s="16"/>
      <c r="L1544" s="16"/>
      <c r="M1544" s="18" t="str">
        <f aca="false">IF(OR(C1544="",D1544=""),"",IF(MOD(COUNTIFS($C$2:C1544,C1544,$D$2:D1544,D1544)*7,10)&lt;3,"teste","treino"))</f>
        <v/>
      </c>
      <c r="N1544" s="16"/>
      <c r="O1544" s="16"/>
      <c r="P1544" s="16"/>
      <c r="Q1544" s="17"/>
    </row>
    <row r="1545" customFormat="false" ht="15" hidden="false" customHeight="false" outlineLevel="0" collapsed="false">
      <c r="A1545" s="15" t="str">
        <f aca="false">IF(B1545="","",ROW()-1)</f>
        <v/>
      </c>
      <c r="B1545" s="16"/>
      <c r="C1545" s="16"/>
      <c r="D1545" s="16"/>
      <c r="E1545" s="16"/>
      <c r="F1545" s="17"/>
      <c r="G1545" s="16"/>
      <c r="H1545" s="16"/>
      <c r="I1545" s="16"/>
      <c r="J1545" s="16"/>
      <c r="K1545" s="16"/>
      <c r="L1545" s="16"/>
      <c r="M1545" s="18" t="str">
        <f aca="false">IF(OR(C1545="",D1545=""),"",IF(MOD(COUNTIFS($C$2:C1545,C1545,$D$2:D1545,D1545)*7,10)&lt;3,"teste","treino"))</f>
        <v/>
      </c>
      <c r="N1545" s="16"/>
      <c r="O1545" s="16"/>
      <c r="P1545" s="16"/>
      <c r="Q1545" s="17"/>
    </row>
    <row r="1546" customFormat="false" ht="15" hidden="false" customHeight="false" outlineLevel="0" collapsed="false">
      <c r="A1546" s="15" t="str">
        <f aca="false">IF(B1546="","",ROW()-1)</f>
        <v/>
      </c>
      <c r="B1546" s="16"/>
      <c r="C1546" s="16"/>
      <c r="D1546" s="16"/>
      <c r="E1546" s="16"/>
      <c r="F1546" s="17"/>
      <c r="G1546" s="16"/>
      <c r="H1546" s="16"/>
      <c r="I1546" s="16"/>
      <c r="J1546" s="16"/>
      <c r="K1546" s="16"/>
      <c r="L1546" s="16"/>
      <c r="M1546" s="18" t="str">
        <f aca="false">IF(OR(C1546="",D1546=""),"",IF(MOD(COUNTIFS($C$2:C1546,C1546,$D$2:D1546,D1546)*7,10)&lt;3,"teste","treino"))</f>
        <v/>
      </c>
      <c r="N1546" s="16"/>
      <c r="O1546" s="16"/>
      <c r="P1546" s="16"/>
      <c r="Q1546" s="17"/>
    </row>
    <row r="1547" customFormat="false" ht="15" hidden="false" customHeight="false" outlineLevel="0" collapsed="false">
      <c r="A1547" s="15" t="str">
        <f aca="false">IF(B1547="","",ROW()-1)</f>
        <v/>
      </c>
      <c r="B1547" s="16"/>
      <c r="C1547" s="16"/>
      <c r="D1547" s="16"/>
      <c r="E1547" s="16"/>
      <c r="F1547" s="17"/>
      <c r="G1547" s="16"/>
      <c r="H1547" s="16"/>
      <c r="I1547" s="16"/>
      <c r="J1547" s="16"/>
      <c r="K1547" s="16"/>
      <c r="L1547" s="16"/>
      <c r="M1547" s="18" t="str">
        <f aca="false">IF(OR(C1547="",D1547=""),"",IF(MOD(COUNTIFS($C$2:C1547,C1547,$D$2:D1547,D1547)*7,10)&lt;3,"teste","treino"))</f>
        <v/>
      </c>
      <c r="N1547" s="16"/>
      <c r="O1547" s="16"/>
      <c r="P1547" s="16"/>
      <c r="Q1547" s="17"/>
    </row>
    <row r="1548" customFormat="false" ht="15" hidden="false" customHeight="false" outlineLevel="0" collapsed="false">
      <c r="A1548" s="15" t="str">
        <f aca="false">IF(B1548="","",ROW()-1)</f>
        <v/>
      </c>
      <c r="B1548" s="16"/>
      <c r="C1548" s="16"/>
      <c r="D1548" s="16"/>
      <c r="E1548" s="16"/>
      <c r="F1548" s="17"/>
      <c r="G1548" s="16"/>
      <c r="H1548" s="16"/>
      <c r="I1548" s="16"/>
      <c r="J1548" s="16"/>
      <c r="K1548" s="16"/>
      <c r="L1548" s="16"/>
      <c r="M1548" s="18" t="str">
        <f aca="false">IF(OR(C1548="",D1548=""),"",IF(MOD(COUNTIFS($C$2:C1548,C1548,$D$2:D1548,D1548)*7,10)&lt;3,"teste","treino"))</f>
        <v/>
      </c>
      <c r="N1548" s="16"/>
      <c r="O1548" s="16"/>
      <c r="P1548" s="16"/>
      <c r="Q1548" s="17"/>
    </row>
    <row r="1549" customFormat="false" ht="15" hidden="false" customHeight="false" outlineLevel="0" collapsed="false">
      <c r="A1549" s="15" t="str">
        <f aca="false">IF(B1549="","",ROW()-1)</f>
        <v/>
      </c>
      <c r="B1549" s="16"/>
      <c r="C1549" s="16"/>
      <c r="D1549" s="16"/>
      <c r="E1549" s="16"/>
      <c r="F1549" s="17"/>
      <c r="G1549" s="16"/>
      <c r="H1549" s="16"/>
      <c r="I1549" s="16"/>
      <c r="J1549" s="16"/>
      <c r="K1549" s="16"/>
      <c r="L1549" s="16"/>
      <c r="M1549" s="18" t="str">
        <f aca="false">IF(OR(C1549="",D1549=""),"",IF(MOD(COUNTIFS($C$2:C1549,C1549,$D$2:D1549,D1549)*7,10)&lt;3,"teste","treino"))</f>
        <v/>
      </c>
      <c r="N1549" s="16"/>
      <c r="O1549" s="16"/>
      <c r="P1549" s="16"/>
      <c r="Q1549" s="17"/>
    </row>
    <row r="1550" customFormat="false" ht="15" hidden="false" customHeight="false" outlineLevel="0" collapsed="false">
      <c r="A1550" s="15" t="str">
        <f aca="false">IF(B1550="","",ROW()-1)</f>
        <v/>
      </c>
      <c r="B1550" s="16"/>
      <c r="C1550" s="16"/>
      <c r="D1550" s="16"/>
      <c r="E1550" s="16"/>
      <c r="F1550" s="17"/>
      <c r="G1550" s="16"/>
      <c r="H1550" s="16"/>
      <c r="I1550" s="16"/>
      <c r="J1550" s="16"/>
      <c r="K1550" s="16"/>
      <c r="L1550" s="16"/>
      <c r="M1550" s="18" t="str">
        <f aca="false">IF(OR(C1550="",D1550=""),"",IF(MOD(COUNTIFS($C$2:C1550,C1550,$D$2:D1550,D1550)*7,10)&lt;3,"teste","treino"))</f>
        <v/>
      </c>
      <c r="N1550" s="16"/>
      <c r="O1550" s="16"/>
      <c r="P1550" s="16"/>
      <c r="Q1550" s="17"/>
    </row>
    <row r="1551" customFormat="false" ht="15" hidden="false" customHeight="false" outlineLevel="0" collapsed="false">
      <c r="A1551" s="15" t="str">
        <f aca="false">IF(B1551="","",ROW()-1)</f>
        <v/>
      </c>
      <c r="B1551" s="16"/>
      <c r="C1551" s="16"/>
      <c r="D1551" s="16"/>
      <c r="E1551" s="16"/>
      <c r="F1551" s="17"/>
      <c r="G1551" s="16"/>
      <c r="H1551" s="16"/>
      <c r="I1551" s="16"/>
      <c r="J1551" s="16"/>
      <c r="K1551" s="16"/>
      <c r="L1551" s="16"/>
      <c r="M1551" s="18" t="str">
        <f aca="false">IF(OR(C1551="",D1551=""),"",IF(MOD(COUNTIFS($C$2:C1551,C1551,$D$2:D1551,D1551)*7,10)&lt;3,"teste","treino"))</f>
        <v/>
      </c>
      <c r="N1551" s="16"/>
      <c r="O1551" s="16"/>
      <c r="P1551" s="16"/>
      <c r="Q1551" s="17"/>
    </row>
    <row r="1552" customFormat="false" ht="15" hidden="false" customHeight="false" outlineLevel="0" collapsed="false">
      <c r="A1552" s="15" t="str">
        <f aca="false">IF(B1552="","",ROW()-1)</f>
        <v/>
      </c>
      <c r="B1552" s="16"/>
      <c r="C1552" s="16"/>
      <c r="D1552" s="16"/>
      <c r="E1552" s="16"/>
      <c r="F1552" s="17"/>
      <c r="G1552" s="16"/>
      <c r="H1552" s="16"/>
      <c r="I1552" s="16"/>
      <c r="J1552" s="16"/>
      <c r="K1552" s="16"/>
      <c r="L1552" s="16"/>
      <c r="M1552" s="18" t="str">
        <f aca="false">IF(OR(C1552="",D1552=""),"",IF(MOD(COUNTIFS($C$2:C1552,C1552,$D$2:D1552,D1552)*7,10)&lt;3,"teste","treino"))</f>
        <v/>
      </c>
      <c r="N1552" s="16"/>
      <c r="O1552" s="16"/>
      <c r="P1552" s="16"/>
      <c r="Q1552" s="17"/>
    </row>
    <row r="1553" customFormat="false" ht="15" hidden="false" customHeight="false" outlineLevel="0" collapsed="false">
      <c r="A1553" s="15" t="str">
        <f aca="false">IF(B1553="","",ROW()-1)</f>
        <v/>
      </c>
      <c r="B1553" s="16"/>
      <c r="C1553" s="16"/>
      <c r="D1553" s="16"/>
      <c r="E1553" s="16"/>
      <c r="F1553" s="17"/>
      <c r="G1553" s="16"/>
      <c r="H1553" s="16"/>
      <c r="I1553" s="16"/>
      <c r="J1553" s="16"/>
      <c r="K1553" s="16"/>
      <c r="L1553" s="16"/>
      <c r="M1553" s="18" t="str">
        <f aca="false">IF(OR(C1553="",D1553=""),"",IF(MOD(COUNTIFS($C$2:C1553,C1553,$D$2:D1553,D1553)*7,10)&lt;3,"teste","treino"))</f>
        <v/>
      </c>
      <c r="N1553" s="16"/>
      <c r="O1553" s="16"/>
      <c r="P1553" s="16"/>
      <c r="Q1553" s="17"/>
    </row>
    <row r="1554" customFormat="false" ht="15" hidden="false" customHeight="false" outlineLevel="0" collapsed="false">
      <c r="A1554" s="15" t="str">
        <f aca="false">IF(B1554="","",ROW()-1)</f>
        <v/>
      </c>
      <c r="B1554" s="16"/>
      <c r="C1554" s="16"/>
      <c r="D1554" s="16"/>
      <c r="E1554" s="16"/>
      <c r="F1554" s="17"/>
      <c r="G1554" s="16"/>
      <c r="H1554" s="16"/>
      <c r="I1554" s="16"/>
      <c r="J1554" s="16"/>
      <c r="K1554" s="16"/>
      <c r="L1554" s="16"/>
      <c r="M1554" s="18" t="str">
        <f aca="false">IF(OR(C1554="",D1554=""),"",IF(MOD(COUNTIFS($C$2:C1554,C1554,$D$2:D1554,D1554)*7,10)&lt;3,"teste","treino"))</f>
        <v/>
      </c>
      <c r="N1554" s="16"/>
      <c r="O1554" s="16"/>
      <c r="P1554" s="16"/>
      <c r="Q1554" s="17"/>
    </row>
    <row r="1555" customFormat="false" ht="15" hidden="false" customHeight="false" outlineLevel="0" collapsed="false">
      <c r="A1555" s="15" t="str">
        <f aca="false">IF(B1555="","",ROW()-1)</f>
        <v/>
      </c>
      <c r="B1555" s="16"/>
      <c r="C1555" s="16"/>
      <c r="D1555" s="16"/>
      <c r="E1555" s="16"/>
      <c r="F1555" s="17"/>
      <c r="G1555" s="16"/>
      <c r="H1555" s="16"/>
      <c r="I1555" s="16"/>
      <c r="J1555" s="16"/>
      <c r="K1555" s="16"/>
      <c r="L1555" s="16"/>
      <c r="M1555" s="18" t="str">
        <f aca="false">IF(OR(C1555="",D1555=""),"",IF(MOD(COUNTIFS($C$2:C1555,C1555,$D$2:D1555,D1555)*7,10)&lt;3,"teste","treino"))</f>
        <v/>
      </c>
      <c r="N1555" s="16"/>
      <c r="O1555" s="16"/>
      <c r="P1555" s="16"/>
      <c r="Q1555" s="17"/>
    </row>
    <row r="1556" customFormat="false" ht="15" hidden="false" customHeight="false" outlineLevel="0" collapsed="false">
      <c r="A1556" s="15" t="str">
        <f aca="false">IF(B1556="","",ROW()-1)</f>
        <v/>
      </c>
      <c r="B1556" s="16"/>
      <c r="C1556" s="16"/>
      <c r="D1556" s="16"/>
      <c r="E1556" s="16"/>
      <c r="F1556" s="17"/>
      <c r="G1556" s="16"/>
      <c r="H1556" s="16"/>
      <c r="I1556" s="16"/>
      <c r="J1556" s="16"/>
      <c r="K1556" s="16"/>
      <c r="L1556" s="16"/>
      <c r="M1556" s="18" t="str">
        <f aca="false">IF(OR(C1556="",D1556=""),"",IF(MOD(COUNTIFS($C$2:C1556,C1556,$D$2:D1556,D1556)*7,10)&lt;3,"teste","treino"))</f>
        <v/>
      </c>
      <c r="N1556" s="16"/>
      <c r="O1556" s="16"/>
      <c r="P1556" s="16"/>
      <c r="Q1556" s="17"/>
    </row>
    <row r="1557" customFormat="false" ht="15" hidden="false" customHeight="false" outlineLevel="0" collapsed="false">
      <c r="A1557" s="15" t="str">
        <f aca="false">IF(B1557="","",ROW()-1)</f>
        <v/>
      </c>
      <c r="B1557" s="16"/>
      <c r="C1557" s="16"/>
      <c r="D1557" s="16"/>
      <c r="E1557" s="16"/>
      <c r="F1557" s="17"/>
      <c r="G1557" s="16"/>
      <c r="H1557" s="16"/>
      <c r="I1557" s="16"/>
      <c r="J1557" s="16"/>
      <c r="K1557" s="16"/>
      <c r="L1557" s="16"/>
      <c r="M1557" s="18" t="str">
        <f aca="false">IF(OR(C1557="",D1557=""),"",IF(MOD(COUNTIFS($C$2:C1557,C1557,$D$2:D1557,D1557)*7,10)&lt;3,"teste","treino"))</f>
        <v/>
      </c>
      <c r="N1557" s="16"/>
      <c r="O1557" s="16"/>
      <c r="P1557" s="16"/>
      <c r="Q1557" s="17"/>
    </row>
    <row r="1558" customFormat="false" ht="15" hidden="false" customHeight="false" outlineLevel="0" collapsed="false">
      <c r="A1558" s="15" t="str">
        <f aca="false">IF(B1558="","",ROW()-1)</f>
        <v/>
      </c>
      <c r="B1558" s="16"/>
      <c r="C1558" s="16"/>
      <c r="D1558" s="16"/>
      <c r="E1558" s="16"/>
      <c r="F1558" s="17"/>
      <c r="G1558" s="16"/>
      <c r="H1558" s="16"/>
      <c r="I1558" s="16"/>
      <c r="J1558" s="16"/>
      <c r="K1558" s="16"/>
      <c r="L1558" s="16"/>
      <c r="M1558" s="18" t="str">
        <f aca="false">IF(OR(C1558="",D1558=""),"",IF(MOD(COUNTIFS($C$2:C1558,C1558,$D$2:D1558,D1558)*7,10)&lt;3,"teste","treino"))</f>
        <v/>
      </c>
      <c r="N1558" s="16"/>
      <c r="O1558" s="16"/>
      <c r="P1558" s="16"/>
      <c r="Q1558" s="17"/>
    </row>
    <row r="1559" customFormat="false" ht="15" hidden="false" customHeight="false" outlineLevel="0" collapsed="false">
      <c r="A1559" s="15" t="str">
        <f aca="false">IF(B1559="","",ROW()-1)</f>
        <v/>
      </c>
      <c r="B1559" s="16"/>
      <c r="C1559" s="16"/>
      <c r="D1559" s="16"/>
      <c r="E1559" s="16"/>
      <c r="F1559" s="17"/>
      <c r="G1559" s="16"/>
      <c r="H1559" s="16"/>
      <c r="I1559" s="16"/>
      <c r="J1559" s="16"/>
      <c r="K1559" s="16"/>
      <c r="L1559" s="16"/>
      <c r="M1559" s="18" t="str">
        <f aca="false">IF(OR(C1559="",D1559=""),"",IF(MOD(COUNTIFS($C$2:C1559,C1559,$D$2:D1559,D1559)*7,10)&lt;3,"teste","treino"))</f>
        <v/>
      </c>
      <c r="N1559" s="16"/>
      <c r="O1559" s="16"/>
      <c r="P1559" s="16"/>
      <c r="Q1559" s="17"/>
    </row>
    <row r="1560" customFormat="false" ht="15" hidden="false" customHeight="false" outlineLevel="0" collapsed="false">
      <c r="A1560" s="15" t="str">
        <f aca="false">IF(B1560="","",ROW()-1)</f>
        <v/>
      </c>
      <c r="B1560" s="16"/>
      <c r="C1560" s="16"/>
      <c r="D1560" s="16"/>
      <c r="E1560" s="16"/>
      <c r="F1560" s="17"/>
      <c r="G1560" s="16"/>
      <c r="H1560" s="16"/>
      <c r="I1560" s="16"/>
      <c r="J1560" s="16"/>
      <c r="K1560" s="16"/>
      <c r="L1560" s="16"/>
      <c r="M1560" s="18" t="str">
        <f aca="false">IF(OR(C1560="",D1560=""),"",IF(MOD(COUNTIFS($C$2:C1560,C1560,$D$2:D1560,D1560)*7,10)&lt;3,"teste","treino"))</f>
        <v/>
      </c>
      <c r="N1560" s="16"/>
      <c r="O1560" s="16"/>
      <c r="P1560" s="16"/>
      <c r="Q1560" s="17"/>
    </row>
    <row r="1561" customFormat="false" ht="15" hidden="false" customHeight="false" outlineLevel="0" collapsed="false">
      <c r="A1561" s="15" t="str">
        <f aca="false">IF(B1561="","",ROW()-1)</f>
        <v/>
      </c>
      <c r="B1561" s="16"/>
      <c r="C1561" s="16"/>
      <c r="D1561" s="16"/>
      <c r="E1561" s="16"/>
      <c r="F1561" s="17"/>
      <c r="G1561" s="16"/>
      <c r="H1561" s="16"/>
      <c r="I1561" s="16"/>
      <c r="J1561" s="16"/>
      <c r="K1561" s="16"/>
      <c r="L1561" s="16"/>
      <c r="M1561" s="18" t="str">
        <f aca="false">IF(OR(C1561="",D1561=""),"",IF(MOD(COUNTIFS($C$2:C1561,C1561,$D$2:D1561,D1561)*7,10)&lt;3,"teste","treino"))</f>
        <v/>
      </c>
      <c r="N1561" s="16"/>
      <c r="O1561" s="16"/>
      <c r="P1561" s="16"/>
      <c r="Q1561" s="17"/>
    </row>
    <row r="1562" customFormat="false" ht="15" hidden="false" customHeight="false" outlineLevel="0" collapsed="false">
      <c r="A1562" s="15" t="str">
        <f aca="false">IF(B1562="","",ROW()-1)</f>
        <v/>
      </c>
      <c r="B1562" s="16"/>
      <c r="C1562" s="16"/>
      <c r="D1562" s="16"/>
      <c r="E1562" s="16"/>
      <c r="F1562" s="17"/>
      <c r="G1562" s="16"/>
      <c r="H1562" s="16"/>
      <c r="I1562" s="16"/>
      <c r="J1562" s="16"/>
      <c r="K1562" s="16"/>
      <c r="L1562" s="16"/>
      <c r="M1562" s="18" t="str">
        <f aca="false">IF(OR(C1562="",D1562=""),"",IF(MOD(COUNTIFS($C$2:C1562,C1562,$D$2:D1562,D1562)*7,10)&lt;3,"teste","treino"))</f>
        <v/>
      </c>
      <c r="N1562" s="16"/>
      <c r="O1562" s="16"/>
      <c r="P1562" s="16"/>
      <c r="Q1562" s="17"/>
    </row>
    <row r="1563" customFormat="false" ht="15" hidden="false" customHeight="false" outlineLevel="0" collapsed="false">
      <c r="A1563" s="15" t="str">
        <f aca="false">IF(B1563="","",ROW()-1)</f>
        <v/>
      </c>
      <c r="B1563" s="16"/>
      <c r="C1563" s="16"/>
      <c r="D1563" s="16"/>
      <c r="E1563" s="16"/>
      <c r="F1563" s="17"/>
      <c r="G1563" s="16"/>
      <c r="H1563" s="16"/>
      <c r="I1563" s="16"/>
      <c r="J1563" s="16"/>
      <c r="K1563" s="16"/>
      <c r="L1563" s="16"/>
      <c r="M1563" s="18" t="str">
        <f aca="false">IF(OR(C1563="",D1563=""),"",IF(MOD(COUNTIFS($C$2:C1563,C1563,$D$2:D1563,D1563)*7,10)&lt;3,"teste","treino"))</f>
        <v/>
      </c>
      <c r="N1563" s="16"/>
      <c r="O1563" s="16"/>
      <c r="P1563" s="16"/>
      <c r="Q1563" s="17"/>
    </row>
    <row r="1564" customFormat="false" ht="15" hidden="false" customHeight="false" outlineLevel="0" collapsed="false">
      <c r="A1564" s="15" t="str">
        <f aca="false">IF(B1564="","",ROW()-1)</f>
        <v/>
      </c>
      <c r="B1564" s="16"/>
      <c r="C1564" s="16"/>
      <c r="D1564" s="16"/>
      <c r="E1564" s="16"/>
      <c r="F1564" s="17"/>
      <c r="G1564" s="16"/>
      <c r="H1564" s="16"/>
      <c r="I1564" s="16"/>
      <c r="J1564" s="16"/>
      <c r="K1564" s="16"/>
      <c r="L1564" s="16"/>
      <c r="M1564" s="18" t="str">
        <f aca="false">IF(OR(C1564="",D1564=""),"",IF(MOD(COUNTIFS($C$2:C1564,C1564,$D$2:D1564,D1564)*7,10)&lt;3,"teste","treino"))</f>
        <v/>
      </c>
      <c r="N1564" s="16"/>
      <c r="O1564" s="16"/>
      <c r="P1564" s="16"/>
      <c r="Q1564" s="17"/>
    </row>
    <row r="1565" customFormat="false" ht="15" hidden="false" customHeight="false" outlineLevel="0" collapsed="false">
      <c r="A1565" s="15" t="str">
        <f aca="false">IF(B1565="","",ROW()-1)</f>
        <v/>
      </c>
      <c r="B1565" s="16"/>
      <c r="C1565" s="16"/>
      <c r="D1565" s="16"/>
      <c r="E1565" s="16"/>
      <c r="F1565" s="17"/>
      <c r="G1565" s="16"/>
      <c r="H1565" s="16"/>
      <c r="I1565" s="16"/>
      <c r="J1565" s="16"/>
      <c r="K1565" s="16"/>
      <c r="L1565" s="16"/>
      <c r="M1565" s="18" t="str">
        <f aca="false">IF(OR(C1565="",D1565=""),"",IF(MOD(COUNTIFS($C$2:C1565,C1565,$D$2:D1565,D1565)*7,10)&lt;3,"teste","treino"))</f>
        <v/>
      </c>
      <c r="N1565" s="16"/>
      <c r="O1565" s="16"/>
      <c r="P1565" s="16"/>
      <c r="Q1565" s="17"/>
    </row>
    <row r="1566" customFormat="false" ht="15" hidden="false" customHeight="false" outlineLevel="0" collapsed="false">
      <c r="A1566" s="15" t="str">
        <f aca="false">IF(B1566="","",ROW()-1)</f>
        <v/>
      </c>
      <c r="B1566" s="16"/>
      <c r="C1566" s="16"/>
      <c r="D1566" s="16"/>
      <c r="E1566" s="16"/>
      <c r="F1566" s="17"/>
      <c r="G1566" s="16"/>
      <c r="H1566" s="16"/>
      <c r="I1566" s="16"/>
      <c r="J1566" s="16"/>
      <c r="K1566" s="16"/>
      <c r="L1566" s="16"/>
      <c r="M1566" s="18" t="str">
        <f aca="false">IF(OR(C1566="",D1566=""),"",IF(MOD(COUNTIFS($C$2:C1566,C1566,$D$2:D1566,D1566)*7,10)&lt;3,"teste","treino"))</f>
        <v/>
      </c>
      <c r="N1566" s="16"/>
      <c r="O1566" s="16"/>
      <c r="P1566" s="16"/>
      <c r="Q1566" s="17"/>
    </row>
    <row r="1567" customFormat="false" ht="15" hidden="false" customHeight="false" outlineLevel="0" collapsed="false">
      <c r="A1567" s="15" t="str">
        <f aca="false">IF(B1567="","",ROW()-1)</f>
        <v/>
      </c>
      <c r="B1567" s="16"/>
      <c r="C1567" s="16"/>
      <c r="D1567" s="16"/>
      <c r="E1567" s="16"/>
      <c r="F1567" s="17"/>
      <c r="G1567" s="16"/>
      <c r="H1567" s="16"/>
      <c r="I1567" s="16"/>
      <c r="J1567" s="16"/>
      <c r="K1567" s="16"/>
      <c r="L1567" s="16"/>
      <c r="M1567" s="18" t="str">
        <f aca="false">IF(OR(C1567="",D1567=""),"",IF(MOD(COUNTIFS($C$2:C1567,C1567,$D$2:D1567,D1567)*7,10)&lt;3,"teste","treino"))</f>
        <v/>
      </c>
      <c r="N1567" s="16"/>
      <c r="O1567" s="16"/>
      <c r="P1567" s="16"/>
      <c r="Q1567" s="17"/>
    </row>
    <row r="1568" customFormat="false" ht="15" hidden="false" customHeight="false" outlineLevel="0" collapsed="false">
      <c r="A1568" s="15" t="str">
        <f aca="false">IF(B1568="","",ROW()-1)</f>
        <v/>
      </c>
      <c r="B1568" s="16"/>
      <c r="C1568" s="16"/>
      <c r="D1568" s="16"/>
      <c r="E1568" s="16"/>
      <c r="F1568" s="17"/>
      <c r="G1568" s="16"/>
      <c r="H1568" s="16"/>
      <c r="I1568" s="16"/>
      <c r="J1568" s="16"/>
      <c r="K1568" s="16"/>
      <c r="L1568" s="16"/>
      <c r="M1568" s="18" t="str">
        <f aca="false">IF(OR(C1568="",D1568=""),"",IF(MOD(COUNTIFS($C$2:C1568,C1568,$D$2:D1568,D1568)*7,10)&lt;3,"teste","treino"))</f>
        <v/>
      </c>
      <c r="N1568" s="16"/>
      <c r="O1568" s="16"/>
      <c r="P1568" s="16"/>
      <c r="Q1568" s="17"/>
    </row>
    <row r="1569" customFormat="false" ht="15" hidden="false" customHeight="false" outlineLevel="0" collapsed="false">
      <c r="A1569" s="15" t="str">
        <f aca="false">IF(B1569="","",ROW()-1)</f>
        <v/>
      </c>
      <c r="B1569" s="16"/>
      <c r="C1569" s="16"/>
      <c r="D1569" s="16"/>
      <c r="E1569" s="16"/>
      <c r="F1569" s="17"/>
      <c r="G1569" s="16"/>
      <c r="H1569" s="16"/>
      <c r="I1569" s="16"/>
      <c r="J1569" s="16"/>
      <c r="K1569" s="16"/>
      <c r="L1569" s="16"/>
      <c r="M1569" s="18" t="str">
        <f aca="false">IF(OR(C1569="",D1569=""),"",IF(MOD(COUNTIFS($C$2:C1569,C1569,$D$2:D1569,D1569)*7,10)&lt;3,"teste","treino"))</f>
        <v/>
      </c>
      <c r="N1569" s="16"/>
      <c r="O1569" s="16"/>
      <c r="P1569" s="16"/>
      <c r="Q1569" s="17"/>
    </row>
    <row r="1570" customFormat="false" ht="15" hidden="false" customHeight="false" outlineLevel="0" collapsed="false">
      <c r="A1570" s="15" t="str">
        <f aca="false">IF(B1570="","",ROW()-1)</f>
        <v/>
      </c>
      <c r="B1570" s="16"/>
      <c r="C1570" s="16"/>
      <c r="D1570" s="16"/>
      <c r="E1570" s="16"/>
      <c r="F1570" s="17"/>
      <c r="G1570" s="16"/>
      <c r="H1570" s="16"/>
      <c r="I1570" s="16"/>
      <c r="J1570" s="16"/>
      <c r="K1570" s="16"/>
      <c r="L1570" s="16"/>
      <c r="M1570" s="18" t="str">
        <f aca="false">IF(OR(C1570="",D1570=""),"",IF(MOD(COUNTIFS($C$2:C1570,C1570,$D$2:D1570,D1570)*7,10)&lt;3,"teste","treino"))</f>
        <v/>
      </c>
      <c r="N1570" s="16"/>
      <c r="O1570" s="16"/>
      <c r="P1570" s="16"/>
      <c r="Q1570" s="17"/>
    </row>
    <row r="1571" customFormat="false" ht="15" hidden="false" customHeight="false" outlineLevel="0" collapsed="false">
      <c r="A1571" s="15" t="str">
        <f aca="false">IF(B1571="","",ROW()-1)</f>
        <v/>
      </c>
      <c r="B1571" s="16"/>
      <c r="C1571" s="16"/>
      <c r="D1571" s="16"/>
      <c r="E1571" s="16"/>
      <c r="F1571" s="17"/>
      <c r="G1571" s="16"/>
      <c r="H1571" s="16"/>
      <c r="I1571" s="16"/>
      <c r="J1571" s="16"/>
      <c r="K1571" s="16"/>
      <c r="L1571" s="16"/>
      <c r="M1571" s="18" t="str">
        <f aca="false">IF(OR(C1571="",D1571=""),"",IF(MOD(COUNTIFS($C$2:C1571,C1571,$D$2:D1571,D1571)*7,10)&lt;3,"teste","treino"))</f>
        <v/>
      </c>
      <c r="N1571" s="16"/>
      <c r="O1571" s="16"/>
      <c r="P1571" s="16"/>
      <c r="Q1571" s="17"/>
    </row>
    <row r="1572" customFormat="false" ht="15" hidden="false" customHeight="false" outlineLevel="0" collapsed="false">
      <c r="A1572" s="15" t="str">
        <f aca="false">IF(B1572="","",ROW()-1)</f>
        <v/>
      </c>
      <c r="B1572" s="16"/>
      <c r="C1572" s="16"/>
      <c r="D1572" s="16"/>
      <c r="E1572" s="16"/>
      <c r="F1572" s="17"/>
      <c r="G1572" s="16"/>
      <c r="H1572" s="16"/>
      <c r="I1572" s="16"/>
      <c r="J1572" s="16"/>
      <c r="K1572" s="16"/>
      <c r="L1572" s="16"/>
      <c r="M1572" s="18" t="str">
        <f aca="false">IF(OR(C1572="",D1572=""),"",IF(MOD(COUNTIFS($C$2:C1572,C1572,$D$2:D1572,D1572)*7,10)&lt;3,"teste","treino"))</f>
        <v/>
      </c>
      <c r="N1572" s="16"/>
      <c r="O1572" s="16"/>
      <c r="P1572" s="16"/>
      <c r="Q1572" s="17"/>
    </row>
    <row r="1573" customFormat="false" ht="15" hidden="false" customHeight="false" outlineLevel="0" collapsed="false">
      <c r="A1573" s="15" t="str">
        <f aca="false">IF(B1573="","",ROW()-1)</f>
        <v/>
      </c>
      <c r="B1573" s="16"/>
      <c r="C1573" s="16"/>
      <c r="D1573" s="16"/>
      <c r="E1573" s="16"/>
      <c r="F1573" s="17"/>
      <c r="G1573" s="16"/>
      <c r="H1573" s="16"/>
      <c r="I1573" s="16"/>
      <c r="J1573" s="16"/>
      <c r="K1573" s="16"/>
      <c r="L1573" s="16"/>
      <c r="M1573" s="18" t="str">
        <f aca="false">IF(OR(C1573="",D1573=""),"",IF(MOD(COUNTIFS($C$2:C1573,C1573,$D$2:D1573,D1573)*7,10)&lt;3,"teste","treino"))</f>
        <v/>
      </c>
      <c r="N1573" s="16"/>
      <c r="O1573" s="16"/>
      <c r="P1573" s="16"/>
      <c r="Q1573" s="17"/>
    </row>
    <row r="1574" customFormat="false" ht="15" hidden="false" customHeight="false" outlineLevel="0" collapsed="false">
      <c r="A1574" s="15" t="str">
        <f aca="false">IF(B1574="","",ROW()-1)</f>
        <v/>
      </c>
      <c r="B1574" s="16"/>
      <c r="C1574" s="16"/>
      <c r="D1574" s="16"/>
      <c r="E1574" s="16"/>
      <c r="F1574" s="17"/>
      <c r="G1574" s="16"/>
      <c r="H1574" s="16"/>
      <c r="I1574" s="16"/>
      <c r="J1574" s="16"/>
      <c r="K1574" s="16"/>
      <c r="L1574" s="16"/>
      <c r="M1574" s="18" t="str">
        <f aca="false">IF(OR(C1574="",D1574=""),"",IF(MOD(COUNTIFS($C$2:C1574,C1574,$D$2:D1574,D1574)*7,10)&lt;3,"teste","treino"))</f>
        <v/>
      </c>
      <c r="N1574" s="16"/>
      <c r="O1574" s="16"/>
      <c r="P1574" s="16"/>
      <c r="Q1574" s="17"/>
    </row>
    <row r="1575" customFormat="false" ht="15" hidden="false" customHeight="false" outlineLevel="0" collapsed="false">
      <c r="A1575" s="15" t="str">
        <f aca="false">IF(B1575="","",ROW()-1)</f>
        <v/>
      </c>
      <c r="B1575" s="16"/>
      <c r="C1575" s="16"/>
      <c r="D1575" s="16"/>
      <c r="E1575" s="16"/>
      <c r="F1575" s="17"/>
      <c r="G1575" s="16"/>
      <c r="H1575" s="16"/>
      <c r="I1575" s="16"/>
      <c r="J1575" s="16"/>
      <c r="K1575" s="16"/>
      <c r="L1575" s="16"/>
      <c r="M1575" s="18" t="str">
        <f aca="false">IF(OR(C1575="",D1575=""),"",IF(MOD(COUNTIFS($C$2:C1575,C1575,$D$2:D1575,D1575)*7,10)&lt;3,"teste","treino"))</f>
        <v/>
      </c>
      <c r="N1575" s="16"/>
      <c r="O1575" s="16"/>
      <c r="P1575" s="16"/>
      <c r="Q1575" s="17"/>
    </row>
    <row r="1576" customFormat="false" ht="15" hidden="false" customHeight="false" outlineLevel="0" collapsed="false">
      <c r="A1576" s="15" t="str">
        <f aca="false">IF(B1576="","",ROW()-1)</f>
        <v/>
      </c>
      <c r="B1576" s="16"/>
      <c r="C1576" s="16"/>
      <c r="D1576" s="16"/>
      <c r="E1576" s="16"/>
      <c r="F1576" s="17"/>
      <c r="G1576" s="16"/>
      <c r="H1576" s="16"/>
      <c r="I1576" s="16"/>
      <c r="J1576" s="16"/>
      <c r="K1576" s="16"/>
      <c r="L1576" s="16"/>
      <c r="M1576" s="18" t="str">
        <f aca="false">IF(OR(C1576="",D1576=""),"",IF(MOD(COUNTIFS($C$2:C1576,C1576,$D$2:D1576,D1576)*7,10)&lt;3,"teste","treino"))</f>
        <v/>
      </c>
      <c r="N1576" s="16"/>
      <c r="O1576" s="16"/>
      <c r="P1576" s="16"/>
      <c r="Q1576" s="17"/>
    </row>
    <row r="1577" customFormat="false" ht="15" hidden="false" customHeight="false" outlineLevel="0" collapsed="false">
      <c r="A1577" s="15" t="str">
        <f aca="false">IF(B1577="","",ROW()-1)</f>
        <v/>
      </c>
      <c r="B1577" s="16"/>
      <c r="C1577" s="16"/>
      <c r="D1577" s="16"/>
      <c r="E1577" s="16"/>
      <c r="F1577" s="17"/>
      <c r="G1577" s="16"/>
      <c r="H1577" s="16"/>
      <c r="I1577" s="16"/>
      <c r="J1577" s="16"/>
      <c r="K1577" s="16"/>
      <c r="L1577" s="16"/>
      <c r="M1577" s="18" t="str">
        <f aca="false">IF(OR(C1577="",D1577=""),"",IF(MOD(COUNTIFS($C$2:C1577,C1577,$D$2:D1577,D1577)*7,10)&lt;3,"teste","treino"))</f>
        <v/>
      </c>
      <c r="N1577" s="16"/>
      <c r="O1577" s="16"/>
      <c r="P1577" s="16"/>
      <c r="Q1577" s="17"/>
    </row>
    <row r="1578" customFormat="false" ht="15" hidden="false" customHeight="false" outlineLevel="0" collapsed="false">
      <c r="A1578" s="15" t="str">
        <f aca="false">IF(B1578="","",ROW()-1)</f>
        <v/>
      </c>
      <c r="B1578" s="16"/>
      <c r="C1578" s="16"/>
      <c r="D1578" s="16"/>
      <c r="E1578" s="16"/>
      <c r="F1578" s="17"/>
      <c r="G1578" s="16"/>
      <c r="H1578" s="16"/>
      <c r="I1578" s="16"/>
      <c r="J1578" s="16"/>
      <c r="K1578" s="16"/>
      <c r="L1578" s="16"/>
      <c r="M1578" s="18" t="str">
        <f aca="false">IF(OR(C1578="",D1578=""),"",IF(MOD(COUNTIFS($C$2:C1578,C1578,$D$2:D1578,D1578)*7,10)&lt;3,"teste","treino"))</f>
        <v/>
      </c>
      <c r="N1578" s="16"/>
      <c r="O1578" s="16"/>
      <c r="P1578" s="16"/>
      <c r="Q1578" s="17"/>
    </row>
    <row r="1579" customFormat="false" ht="15" hidden="false" customHeight="false" outlineLevel="0" collapsed="false">
      <c r="A1579" s="15" t="str">
        <f aca="false">IF(B1579="","",ROW()-1)</f>
        <v/>
      </c>
      <c r="B1579" s="16"/>
      <c r="C1579" s="16"/>
      <c r="D1579" s="16"/>
      <c r="E1579" s="16"/>
      <c r="F1579" s="17"/>
      <c r="G1579" s="16"/>
      <c r="H1579" s="16"/>
      <c r="I1579" s="16"/>
      <c r="J1579" s="16"/>
      <c r="K1579" s="16"/>
      <c r="L1579" s="16"/>
      <c r="M1579" s="18" t="str">
        <f aca="false">IF(OR(C1579="",D1579=""),"",IF(MOD(COUNTIFS($C$2:C1579,C1579,$D$2:D1579,D1579)*7,10)&lt;3,"teste","treino"))</f>
        <v/>
      </c>
      <c r="N1579" s="16"/>
      <c r="O1579" s="16"/>
      <c r="P1579" s="16"/>
      <c r="Q1579" s="17"/>
    </row>
    <row r="1580" customFormat="false" ht="15" hidden="false" customHeight="false" outlineLevel="0" collapsed="false">
      <c r="A1580" s="15" t="str">
        <f aca="false">IF(B1580="","",ROW()-1)</f>
        <v/>
      </c>
      <c r="B1580" s="16"/>
      <c r="C1580" s="16"/>
      <c r="D1580" s="16"/>
      <c r="E1580" s="16"/>
      <c r="F1580" s="17"/>
      <c r="G1580" s="16"/>
      <c r="H1580" s="16"/>
      <c r="I1580" s="16"/>
      <c r="J1580" s="16"/>
      <c r="K1580" s="16"/>
      <c r="L1580" s="16"/>
      <c r="M1580" s="18" t="str">
        <f aca="false">IF(OR(C1580="",D1580=""),"",IF(MOD(COUNTIFS($C$2:C1580,C1580,$D$2:D1580,D1580)*7,10)&lt;3,"teste","treino"))</f>
        <v/>
      </c>
      <c r="N1580" s="16"/>
      <c r="O1580" s="16"/>
      <c r="P1580" s="16"/>
      <c r="Q1580" s="17"/>
    </row>
    <row r="1581" customFormat="false" ht="15" hidden="false" customHeight="false" outlineLevel="0" collapsed="false">
      <c r="A1581" s="15" t="str">
        <f aca="false">IF(B1581="","",ROW()-1)</f>
        <v/>
      </c>
      <c r="B1581" s="16"/>
      <c r="C1581" s="16"/>
      <c r="D1581" s="16"/>
      <c r="E1581" s="16"/>
      <c r="F1581" s="17"/>
      <c r="G1581" s="16"/>
      <c r="H1581" s="16"/>
      <c r="I1581" s="16"/>
      <c r="J1581" s="16"/>
      <c r="K1581" s="16"/>
      <c r="L1581" s="16"/>
      <c r="M1581" s="18" t="str">
        <f aca="false">IF(OR(C1581="",D1581=""),"",IF(MOD(COUNTIFS($C$2:C1581,C1581,$D$2:D1581,D1581)*7,10)&lt;3,"teste","treino"))</f>
        <v/>
      </c>
      <c r="N1581" s="16"/>
      <c r="O1581" s="16"/>
      <c r="P1581" s="16"/>
      <c r="Q1581" s="17"/>
    </row>
    <row r="1582" customFormat="false" ht="15" hidden="false" customHeight="false" outlineLevel="0" collapsed="false">
      <c r="A1582" s="15" t="str">
        <f aca="false">IF(B1582="","",ROW()-1)</f>
        <v/>
      </c>
      <c r="B1582" s="16"/>
      <c r="C1582" s="16"/>
      <c r="D1582" s="16"/>
      <c r="E1582" s="16"/>
      <c r="F1582" s="17"/>
      <c r="G1582" s="16"/>
      <c r="H1582" s="16"/>
      <c r="I1582" s="16"/>
      <c r="J1582" s="16"/>
      <c r="K1582" s="16"/>
      <c r="L1582" s="16"/>
      <c r="M1582" s="18" t="str">
        <f aca="false">IF(OR(C1582="",D1582=""),"",IF(MOD(COUNTIFS($C$2:C1582,C1582,$D$2:D1582,D1582)*7,10)&lt;3,"teste","treino"))</f>
        <v/>
      </c>
      <c r="N1582" s="16"/>
      <c r="O1582" s="16"/>
      <c r="P1582" s="16"/>
      <c r="Q1582" s="17"/>
    </row>
    <row r="1583" customFormat="false" ht="15" hidden="false" customHeight="false" outlineLevel="0" collapsed="false">
      <c r="A1583" s="15" t="str">
        <f aca="false">IF(B1583="","",ROW()-1)</f>
        <v/>
      </c>
      <c r="B1583" s="16"/>
      <c r="C1583" s="16"/>
      <c r="D1583" s="16"/>
      <c r="E1583" s="16"/>
      <c r="F1583" s="17"/>
      <c r="G1583" s="16"/>
      <c r="H1583" s="16"/>
      <c r="I1583" s="16"/>
      <c r="J1583" s="16"/>
      <c r="K1583" s="16"/>
      <c r="L1583" s="16"/>
      <c r="M1583" s="18" t="str">
        <f aca="false">IF(OR(C1583="",D1583=""),"",IF(MOD(COUNTIFS($C$2:C1583,C1583,$D$2:D1583,D1583)*7,10)&lt;3,"teste","treino"))</f>
        <v/>
      </c>
      <c r="N1583" s="16"/>
      <c r="O1583" s="16"/>
      <c r="P1583" s="16"/>
      <c r="Q1583" s="17"/>
    </row>
    <row r="1584" customFormat="false" ht="15" hidden="false" customHeight="false" outlineLevel="0" collapsed="false">
      <c r="A1584" s="15" t="str">
        <f aca="false">IF(B1584="","",ROW()-1)</f>
        <v/>
      </c>
      <c r="B1584" s="16"/>
      <c r="C1584" s="16"/>
      <c r="D1584" s="16"/>
      <c r="E1584" s="16"/>
      <c r="F1584" s="17"/>
      <c r="G1584" s="16"/>
      <c r="H1584" s="16"/>
      <c r="I1584" s="16"/>
      <c r="J1584" s="16"/>
      <c r="K1584" s="16"/>
      <c r="L1584" s="16"/>
      <c r="M1584" s="18" t="str">
        <f aca="false">IF(OR(C1584="",D1584=""),"",IF(MOD(COUNTIFS($C$2:C1584,C1584,$D$2:D1584,D1584)*7,10)&lt;3,"teste","treino"))</f>
        <v/>
      </c>
      <c r="N1584" s="16"/>
      <c r="O1584" s="16"/>
      <c r="P1584" s="16"/>
      <c r="Q1584" s="17"/>
    </row>
    <row r="1585" customFormat="false" ht="15" hidden="false" customHeight="false" outlineLevel="0" collapsed="false">
      <c r="A1585" s="15" t="str">
        <f aca="false">IF(B1585="","",ROW()-1)</f>
        <v/>
      </c>
      <c r="B1585" s="16"/>
      <c r="C1585" s="16"/>
      <c r="D1585" s="16"/>
      <c r="E1585" s="16"/>
      <c r="F1585" s="17"/>
      <c r="G1585" s="16"/>
      <c r="H1585" s="16"/>
      <c r="I1585" s="16"/>
      <c r="J1585" s="16"/>
      <c r="K1585" s="16"/>
      <c r="L1585" s="16"/>
      <c r="M1585" s="18" t="str">
        <f aca="false">IF(OR(C1585="",D1585=""),"",IF(MOD(COUNTIFS($C$2:C1585,C1585,$D$2:D1585,D1585)*7,10)&lt;3,"teste","treino"))</f>
        <v/>
      </c>
      <c r="N1585" s="16"/>
      <c r="O1585" s="16"/>
      <c r="P1585" s="16"/>
      <c r="Q1585" s="17"/>
    </row>
    <row r="1586" customFormat="false" ht="15" hidden="false" customHeight="false" outlineLevel="0" collapsed="false">
      <c r="A1586" s="15" t="str">
        <f aca="false">IF(B1586="","",ROW()-1)</f>
        <v/>
      </c>
      <c r="B1586" s="16"/>
      <c r="C1586" s="16"/>
      <c r="D1586" s="16"/>
      <c r="E1586" s="16"/>
      <c r="F1586" s="17"/>
      <c r="G1586" s="16"/>
      <c r="H1586" s="16"/>
      <c r="I1586" s="16"/>
      <c r="J1586" s="16"/>
      <c r="K1586" s="16"/>
      <c r="L1586" s="16"/>
      <c r="M1586" s="18" t="str">
        <f aca="false">IF(OR(C1586="",D1586=""),"",IF(MOD(COUNTIFS($C$2:C1586,C1586,$D$2:D1586,D1586)*7,10)&lt;3,"teste","treino"))</f>
        <v/>
      </c>
      <c r="N1586" s="16"/>
      <c r="O1586" s="16"/>
      <c r="P1586" s="16"/>
      <c r="Q1586" s="17"/>
    </row>
    <row r="1587" customFormat="false" ht="15" hidden="false" customHeight="false" outlineLevel="0" collapsed="false">
      <c r="A1587" s="15" t="str">
        <f aca="false">IF(B1587="","",ROW()-1)</f>
        <v/>
      </c>
      <c r="B1587" s="16"/>
      <c r="C1587" s="16"/>
      <c r="D1587" s="16"/>
      <c r="E1587" s="16"/>
      <c r="F1587" s="17"/>
      <c r="G1587" s="16"/>
      <c r="H1587" s="16"/>
      <c r="I1587" s="16"/>
      <c r="J1587" s="16"/>
      <c r="K1587" s="16"/>
      <c r="L1587" s="16"/>
      <c r="M1587" s="18" t="str">
        <f aca="false">IF(OR(C1587="",D1587=""),"",IF(MOD(COUNTIFS($C$2:C1587,C1587,$D$2:D1587,D1587)*7,10)&lt;3,"teste","treino"))</f>
        <v/>
      </c>
      <c r="N1587" s="16"/>
      <c r="O1587" s="16"/>
      <c r="P1587" s="16"/>
      <c r="Q1587" s="17"/>
    </row>
    <row r="1588" customFormat="false" ht="15" hidden="false" customHeight="false" outlineLevel="0" collapsed="false">
      <c r="A1588" s="15" t="str">
        <f aca="false">IF(B1588="","",ROW()-1)</f>
        <v/>
      </c>
      <c r="B1588" s="16"/>
      <c r="C1588" s="16"/>
      <c r="D1588" s="16"/>
      <c r="E1588" s="16"/>
      <c r="F1588" s="17"/>
      <c r="G1588" s="16"/>
      <c r="H1588" s="16"/>
      <c r="I1588" s="16"/>
      <c r="J1588" s="16"/>
      <c r="K1588" s="16"/>
      <c r="L1588" s="16"/>
      <c r="M1588" s="18" t="str">
        <f aca="false">IF(OR(C1588="",D1588=""),"",IF(MOD(COUNTIFS($C$2:C1588,C1588,$D$2:D1588,D1588)*7,10)&lt;3,"teste","treino"))</f>
        <v/>
      </c>
      <c r="N1588" s="16"/>
      <c r="O1588" s="16"/>
      <c r="P1588" s="16"/>
      <c r="Q1588" s="17"/>
    </row>
    <row r="1589" customFormat="false" ht="15" hidden="false" customHeight="false" outlineLevel="0" collapsed="false">
      <c r="A1589" s="15" t="str">
        <f aca="false">IF(B1589="","",ROW()-1)</f>
        <v/>
      </c>
      <c r="B1589" s="16"/>
      <c r="C1589" s="16"/>
      <c r="D1589" s="16"/>
      <c r="E1589" s="16"/>
      <c r="F1589" s="17"/>
      <c r="G1589" s="16"/>
      <c r="H1589" s="16"/>
      <c r="I1589" s="16"/>
      <c r="J1589" s="16"/>
      <c r="K1589" s="16"/>
      <c r="L1589" s="16"/>
      <c r="M1589" s="18" t="str">
        <f aca="false">IF(OR(C1589="",D1589=""),"",IF(MOD(COUNTIFS($C$2:C1589,C1589,$D$2:D1589,D1589)*7,10)&lt;3,"teste","treino"))</f>
        <v/>
      </c>
      <c r="N1589" s="16"/>
      <c r="O1589" s="16"/>
      <c r="P1589" s="16"/>
      <c r="Q1589" s="17"/>
    </row>
    <row r="1590" customFormat="false" ht="15" hidden="false" customHeight="false" outlineLevel="0" collapsed="false">
      <c r="A1590" s="15" t="str">
        <f aca="false">IF(B1590="","",ROW()-1)</f>
        <v/>
      </c>
      <c r="B1590" s="16"/>
      <c r="C1590" s="16"/>
      <c r="D1590" s="16"/>
      <c r="E1590" s="16"/>
      <c r="F1590" s="17"/>
      <c r="G1590" s="16"/>
      <c r="H1590" s="16"/>
      <c r="I1590" s="16"/>
      <c r="J1590" s="16"/>
      <c r="K1590" s="16"/>
      <c r="L1590" s="16"/>
      <c r="M1590" s="18" t="str">
        <f aca="false">IF(OR(C1590="",D1590=""),"",IF(MOD(COUNTIFS($C$2:C1590,C1590,$D$2:D1590,D1590)*7,10)&lt;3,"teste","treino"))</f>
        <v/>
      </c>
      <c r="N1590" s="16"/>
      <c r="O1590" s="16"/>
      <c r="P1590" s="16"/>
      <c r="Q1590" s="17"/>
    </row>
    <row r="1591" customFormat="false" ht="15" hidden="false" customHeight="false" outlineLevel="0" collapsed="false">
      <c r="A1591" s="15" t="str">
        <f aca="false">IF(B1591="","",ROW()-1)</f>
        <v/>
      </c>
      <c r="B1591" s="16"/>
      <c r="C1591" s="16"/>
      <c r="D1591" s="16"/>
      <c r="E1591" s="16"/>
      <c r="F1591" s="17"/>
      <c r="G1591" s="16"/>
      <c r="H1591" s="16"/>
      <c r="I1591" s="16"/>
      <c r="J1591" s="16"/>
      <c r="K1591" s="16"/>
      <c r="L1591" s="16"/>
      <c r="M1591" s="18" t="str">
        <f aca="false">IF(OR(C1591="",D1591=""),"",IF(MOD(COUNTIFS($C$2:C1591,C1591,$D$2:D1591,D1591)*7,10)&lt;3,"teste","treino"))</f>
        <v/>
      </c>
      <c r="N1591" s="16"/>
      <c r="O1591" s="16"/>
      <c r="P1591" s="16"/>
      <c r="Q1591" s="17"/>
    </row>
    <row r="1592" customFormat="false" ht="15" hidden="false" customHeight="false" outlineLevel="0" collapsed="false">
      <c r="A1592" s="15" t="str">
        <f aca="false">IF(B1592="","",ROW()-1)</f>
        <v/>
      </c>
      <c r="B1592" s="16"/>
      <c r="C1592" s="16"/>
      <c r="D1592" s="16"/>
      <c r="E1592" s="16"/>
      <c r="F1592" s="17"/>
      <c r="G1592" s="16"/>
      <c r="H1592" s="16"/>
      <c r="I1592" s="16"/>
      <c r="J1592" s="16"/>
      <c r="K1592" s="16"/>
      <c r="L1592" s="16"/>
      <c r="M1592" s="18" t="str">
        <f aca="false">IF(OR(C1592="",D1592=""),"",IF(MOD(COUNTIFS($C$2:C1592,C1592,$D$2:D1592,D1592)*7,10)&lt;3,"teste","treino"))</f>
        <v/>
      </c>
      <c r="N1592" s="16"/>
      <c r="O1592" s="16"/>
      <c r="P1592" s="16"/>
      <c r="Q1592" s="17"/>
    </row>
    <row r="1593" customFormat="false" ht="15" hidden="false" customHeight="false" outlineLevel="0" collapsed="false">
      <c r="A1593" s="15" t="str">
        <f aca="false">IF(B1593="","",ROW()-1)</f>
        <v/>
      </c>
      <c r="B1593" s="16"/>
      <c r="C1593" s="16"/>
      <c r="D1593" s="16"/>
      <c r="E1593" s="16"/>
      <c r="F1593" s="17"/>
      <c r="G1593" s="16"/>
      <c r="H1593" s="16"/>
      <c r="I1593" s="16"/>
      <c r="J1593" s="16"/>
      <c r="K1593" s="16"/>
      <c r="L1593" s="16"/>
      <c r="M1593" s="18" t="str">
        <f aca="false">IF(OR(C1593="",D1593=""),"",IF(MOD(COUNTIFS($C$2:C1593,C1593,$D$2:D1593,D1593)*7,10)&lt;3,"teste","treino"))</f>
        <v/>
      </c>
      <c r="N1593" s="16"/>
      <c r="O1593" s="16"/>
      <c r="P1593" s="16"/>
      <c r="Q1593" s="17"/>
    </row>
    <row r="1594" customFormat="false" ht="15" hidden="false" customHeight="false" outlineLevel="0" collapsed="false">
      <c r="A1594" s="15" t="str">
        <f aca="false">IF(B1594="","",ROW()-1)</f>
        <v/>
      </c>
      <c r="B1594" s="16"/>
      <c r="C1594" s="16"/>
      <c r="D1594" s="16"/>
      <c r="E1594" s="16"/>
      <c r="F1594" s="17"/>
      <c r="G1594" s="16"/>
      <c r="H1594" s="16"/>
      <c r="I1594" s="16"/>
      <c r="J1594" s="16"/>
      <c r="K1594" s="16"/>
      <c r="L1594" s="16"/>
      <c r="M1594" s="18" t="str">
        <f aca="false">IF(OR(C1594="",D1594=""),"",IF(MOD(COUNTIFS($C$2:C1594,C1594,$D$2:D1594,D1594)*7,10)&lt;3,"teste","treino"))</f>
        <v/>
      </c>
      <c r="N1594" s="16"/>
      <c r="O1594" s="16"/>
      <c r="P1594" s="16"/>
      <c r="Q1594" s="17"/>
    </row>
    <row r="1595" customFormat="false" ht="15" hidden="false" customHeight="false" outlineLevel="0" collapsed="false">
      <c r="A1595" s="15" t="str">
        <f aca="false">IF(B1595="","",ROW()-1)</f>
        <v/>
      </c>
      <c r="B1595" s="16"/>
      <c r="C1595" s="16"/>
      <c r="D1595" s="16"/>
      <c r="E1595" s="16"/>
      <c r="F1595" s="17"/>
      <c r="G1595" s="16"/>
      <c r="H1595" s="16"/>
      <c r="I1595" s="16"/>
      <c r="J1595" s="16"/>
      <c r="K1595" s="16"/>
      <c r="L1595" s="16"/>
      <c r="M1595" s="18" t="str">
        <f aca="false">IF(OR(C1595="",D1595=""),"",IF(MOD(COUNTIFS($C$2:C1595,C1595,$D$2:D1595,D1595)*7,10)&lt;3,"teste","treino"))</f>
        <v/>
      </c>
      <c r="N1595" s="16"/>
      <c r="O1595" s="16"/>
      <c r="P1595" s="16"/>
      <c r="Q1595" s="17"/>
    </row>
    <row r="1596" customFormat="false" ht="15" hidden="false" customHeight="false" outlineLevel="0" collapsed="false">
      <c r="A1596" s="15" t="str">
        <f aca="false">IF(B1596="","",ROW()-1)</f>
        <v/>
      </c>
      <c r="B1596" s="16"/>
      <c r="C1596" s="16"/>
      <c r="D1596" s="16"/>
      <c r="E1596" s="16"/>
      <c r="F1596" s="17"/>
      <c r="G1596" s="16"/>
      <c r="H1596" s="16"/>
      <c r="I1596" s="16"/>
      <c r="J1596" s="16"/>
      <c r="K1596" s="16"/>
      <c r="L1596" s="16"/>
      <c r="M1596" s="18" t="str">
        <f aca="false">IF(OR(C1596="",D1596=""),"",IF(MOD(COUNTIFS($C$2:C1596,C1596,$D$2:D1596,D1596)*7,10)&lt;3,"teste","treino"))</f>
        <v/>
      </c>
      <c r="N1596" s="16"/>
      <c r="O1596" s="16"/>
      <c r="P1596" s="16"/>
      <c r="Q1596" s="17"/>
    </row>
    <row r="1597" customFormat="false" ht="15" hidden="false" customHeight="false" outlineLevel="0" collapsed="false">
      <c r="A1597" s="15" t="str">
        <f aca="false">IF(B1597="","",ROW()-1)</f>
        <v/>
      </c>
      <c r="B1597" s="16"/>
      <c r="C1597" s="16"/>
      <c r="D1597" s="16"/>
      <c r="E1597" s="16"/>
      <c r="F1597" s="17"/>
      <c r="G1597" s="16"/>
      <c r="H1597" s="16"/>
      <c r="I1597" s="16"/>
      <c r="J1597" s="16"/>
      <c r="K1597" s="16"/>
      <c r="L1597" s="16"/>
      <c r="M1597" s="18" t="str">
        <f aca="false">IF(OR(C1597="",D1597=""),"",IF(MOD(COUNTIFS($C$2:C1597,C1597,$D$2:D1597,D1597)*7,10)&lt;3,"teste","treino"))</f>
        <v/>
      </c>
      <c r="N1597" s="16"/>
      <c r="O1597" s="16"/>
      <c r="P1597" s="16"/>
      <c r="Q1597" s="17"/>
    </row>
    <row r="1598" customFormat="false" ht="15" hidden="false" customHeight="false" outlineLevel="0" collapsed="false">
      <c r="A1598" s="15" t="str">
        <f aca="false">IF(B1598="","",ROW()-1)</f>
        <v/>
      </c>
      <c r="B1598" s="16"/>
      <c r="C1598" s="16"/>
      <c r="D1598" s="16"/>
      <c r="E1598" s="16"/>
      <c r="F1598" s="17"/>
      <c r="G1598" s="16"/>
      <c r="H1598" s="16"/>
      <c r="I1598" s="16"/>
      <c r="J1598" s="16"/>
      <c r="K1598" s="16"/>
      <c r="L1598" s="16"/>
      <c r="M1598" s="18" t="str">
        <f aca="false">IF(OR(C1598="",D1598=""),"",IF(MOD(COUNTIFS($C$2:C1598,C1598,$D$2:D1598,D1598)*7,10)&lt;3,"teste","treino"))</f>
        <v/>
      </c>
      <c r="N1598" s="16"/>
      <c r="O1598" s="16"/>
      <c r="P1598" s="16"/>
      <c r="Q1598" s="17"/>
    </row>
    <row r="1599" customFormat="false" ht="15" hidden="false" customHeight="false" outlineLevel="0" collapsed="false">
      <c r="A1599" s="15" t="str">
        <f aca="false">IF(B1599="","",ROW()-1)</f>
        <v/>
      </c>
      <c r="B1599" s="16"/>
      <c r="C1599" s="16"/>
      <c r="D1599" s="16"/>
      <c r="E1599" s="16"/>
      <c r="F1599" s="17"/>
      <c r="G1599" s="16"/>
      <c r="H1599" s="16"/>
      <c r="I1599" s="16"/>
      <c r="J1599" s="16"/>
      <c r="K1599" s="16"/>
      <c r="L1599" s="16"/>
      <c r="M1599" s="18" t="str">
        <f aca="false">IF(OR(C1599="",D1599=""),"",IF(MOD(COUNTIFS($C$2:C1599,C1599,$D$2:D1599,D1599)*7,10)&lt;3,"teste","treino"))</f>
        <v/>
      </c>
      <c r="N1599" s="16"/>
      <c r="O1599" s="16"/>
      <c r="P1599" s="16"/>
      <c r="Q1599" s="17"/>
    </row>
    <row r="1600" customFormat="false" ht="15" hidden="false" customHeight="false" outlineLevel="0" collapsed="false">
      <c r="A1600" s="15" t="str">
        <f aca="false">IF(B1600="","",ROW()-1)</f>
        <v/>
      </c>
      <c r="B1600" s="16"/>
      <c r="C1600" s="16"/>
      <c r="D1600" s="16"/>
      <c r="E1600" s="16"/>
      <c r="F1600" s="17"/>
      <c r="G1600" s="16"/>
      <c r="H1600" s="16"/>
      <c r="I1600" s="16"/>
      <c r="J1600" s="16"/>
      <c r="K1600" s="16"/>
      <c r="L1600" s="16"/>
      <c r="M1600" s="18" t="str">
        <f aca="false">IF(OR(C1600="",D1600=""),"",IF(MOD(COUNTIFS($C$2:C1600,C1600,$D$2:D1600,D1600)*7,10)&lt;3,"teste","treino"))</f>
        <v/>
      </c>
      <c r="N1600" s="16"/>
      <c r="O1600" s="16"/>
      <c r="P1600" s="16"/>
      <c r="Q1600" s="17"/>
    </row>
    <row r="1601" customFormat="false" ht="15" hidden="false" customHeight="false" outlineLevel="0" collapsed="false">
      <c r="A1601" s="15" t="str">
        <f aca="false">IF(B1601="","",ROW()-1)</f>
        <v/>
      </c>
      <c r="B1601" s="16"/>
      <c r="C1601" s="16"/>
      <c r="D1601" s="16"/>
      <c r="E1601" s="16"/>
      <c r="F1601" s="17"/>
      <c r="G1601" s="16"/>
      <c r="H1601" s="16"/>
      <c r="I1601" s="16"/>
      <c r="J1601" s="16"/>
      <c r="K1601" s="16"/>
      <c r="L1601" s="16"/>
      <c r="M1601" s="18" t="str">
        <f aca="false">IF(OR(C1601="",D1601=""),"",IF(MOD(COUNTIFS($C$2:C1601,C1601,$D$2:D1601,D1601)*7,10)&lt;3,"teste","treino"))</f>
        <v/>
      </c>
      <c r="N1601" s="16"/>
      <c r="O1601" s="16"/>
      <c r="P1601" s="16"/>
      <c r="Q1601" s="17"/>
    </row>
    <row r="1602" customFormat="false" ht="15" hidden="false" customHeight="false" outlineLevel="0" collapsed="false">
      <c r="A1602" s="15" t="str">
        <f aca="false">IF(B1602="","",ROW()-1)</f>
        <v/>
      </c>
      <c r="B1602" s="16"/>
      <c r="C1602" s="16"/>
      <c r="D1602" s="16"/>
      <c r="E1602" s="16"/>
      <c r="F1602" s="17"/>
      <c r="G1602" s="16"/>
      <c r="H1602" s="16"/>
      <c r="I1602" s="16"/>
      <c r="J1602" s="16"/>
      <c r="K1602" s="16"/>
      <c r="L1602" s="16"/>
      <c r="M1602" s="18" t="str">
        <f aca="false">IF(OR(C1602="",D1602=""),"",IF(MOD(COUNTIFS($C$2:C1602,C1602,$D$2:D1602,D1602)*7,10)&lt;3,"teste","treino"))</f>
        <v/>
      </c>
      <c r="N1602" s="16"/>
      <c r="O1602" s="16"/>
      <c r="P1602" s="16"/>
      <c r="Q1602" s="17"/>
    </row>
    <row r="1603" customFormat="false" ht="15" hidden="false" customHeight="false" outlineLevel="0" collapsed="false">
      <c r="A1603" s="15" t="str">
        <f aca="false">IF(B1603="","",ROW()-1)</f>
        <v/>
      </c>
      <c r="B1603" s="16"/>
      <c r="C1603" s="16"/>
      <c r="D1603" s="16"/>
      <c r="E1603" s="16"/>
      <c r="F1603" s="17"/>
      <c r="G1603" s="16"/>
      <c r="H1603" s="16"/>
      <c r="I1603" s="16"/>
      <c r="J1603" s="16"/>
      <c r="K1603" s="16"/>
      <c r="L1603" s="16"/>
      <c r="M1603" s="18" t="str">
        <f aca="false">IF(OR(C1603="",D1603=""),"",IF(MOD(COUNTIFS($C$2:C1603,C1603,$D$2:D1603,D1603)*7,10)&lt;3,"teste","treino"))</f>
        <v/>
      </c>
      <c r="N1603" s="16"/>
      <c r="O1603" s="16"/>
      <c r="P1603" s="16"/>
      <c r="Q1603" s="17"/>
    </row>
    <row r="1604" customFormat="false" ht="15" hidden="false" customHeight="false" outlineLevel="0" collapsed="false">
      <c r="A1604" s="15" t="str">
        <f aca="false">IF(B1604="","",ROW()-1)</f>
        <v/>
      </c>
      <c r="B1604" s="16"/>
      <c r="C1604" s="16"/>
      <c r="D1604" s="16"/>
      <c r="E1604" s="16"/>
      <c r="F1604" s="17"/>
      <c r="G1604" s="16"/>
      <c r="H1604" s="16"/>
      <c r="I1604" s="16"/>
      <c r="J1604" s="16"/>
      <c r="K1604" s="16"/>
      <c r="L1604" s="16"/>
      <c r="M1604" s="18" t="str">
        <f aca="false">IF(OR(C1604="",D1604=""),"",IF(MOD(COUNTIFS($C$2:C1604,C1604,$D$2:D1604,D1604)*7,10)&lt;3,"teste","treino"))</f>
        <v/>
      </c>
      <c r="N1604" s="16"/>
      <c r="O1604" s="16"/>
      <c r="P1604" s="16"/>
      <c r="Q1604" s="17"/>
    </row>
    <row r="1605" customFormat="false" ht="15" hidden="false" customHeight="false" outlineLevel="0" collapsed="false">
      <c r="A1605" s="15" t="str">
        <f aca="false">IF(B1605="","",ROW()-1)</f>
        <v/>
      </c>
      <c r="B1605" s="16"/>
      <c r="C1605" s="16"/>
      <c r="D1605" s="16"/>
      <c r="E1605" s="16"/>
      <c r="F1605" s="17"/>
      <c r="G1605" s="16"/>
      <c r="H1605" s="16"/>
      <c r="I1605" s="16"/>
      <c r="J1605" s="16"/>
      <c r="K1605" s="16"/>
      <c r="L1605" s="16"/>
      <c r="M1605" s="18" t="str">
        <f aca="false">IF(OR(C1605="",D1605=""),"",IF(MOD(COUNTIFS($C$2:C1605,C1605,$D$2:D1605,D1605)*7,10)&lt;3,"teste","treino"))</f>
        <v/>
      </c>
      <c r="N1605" s="16"/>
      <c r="O1605" s="16"/>
      <c r="P1605" s="16"/>
      <c r="Q1605" s="17"/>
    </row>
    <row r="1606" customFormat="false" ht="15" hidden="false" customHeight="false" outlineLevel="0" collapsed="false">
      <c r="A1606" s="15" t="str">
        <f aca="false">IF(B1606="","",ROW()-1)</f>
        <v/>
      </c>
      <c r="B1606" s="16"/>
      <c r="C1606" s="16"/>
      <c r="D1606" s="16"/>
      <c r="E1606" s="16"/>
      <c r="F1606" s="17"/>
      <c r="G1606" s="16"/>
      <c r="H1606" s="16"/>
      <c r="I1606" s="16"/>
      <c r="J1606" s="16"/>
      <c r="K1606" s="16"/>
      <c r="L1606" s="16"/>
      <c r="M1606" s="18" t="str">
        <f aca="false">IF(OR(C1606="",D1606=""),"",IF(MOD(COUNTIFS($C$2:C1606,C1606,$D$2:D1606,D1606)*7,10)&lt;3,"teste","treino"))</f>
        <v/>
      </c>
      <c r="N1606" s="16"/>
      <c r="O1606" s="16"/>
      <c r="P1606" s="16"/>
      <c r="Q1606" s="17"/>
    </row>
    <row r="1607" customFormat="false" ht="15" hidden="false" customHeight="false" outlineLevel="0" collapsed="false">
      <c r="A1607" s="15" t="str">
        <f aca="false">IF(B1607="","",ROW()-1)</f>
        <v/>
      </c>
      <c r="B1607" s="16"/>
      <c r="C1607" s="16"/>
      <c r="D1607" s="16"/>
      <c r="E1607" s="16"/>
      <c r="F1607" s="17"/>
      <c r="G1607" s="16"/>
      <c r="H1607" s="16"/>
      <c r="I1607" s="16"/>
      <c r="J1607" s="16"/>
      <c r="K1607" s="16"/>
      <c r="L1607" s="16"/>
      <c r="M1607" s="18" t="str">
        <f aca="false">IF(OR(C1607="",D1607=""),"",IF(MOD(COUNTIFS($C$2:C1607,C1607,$D$2:D1607,D1607)*7,10)&lt;3,"teste","treino"))</f>
        <v/>
      </c>
      <c r="N1607" s="16"/>
      <c r="O1607" s="16"/>
      <c r="P1607" s="16"/>
      <c r="Q1607" s="17"/>
    </row>
    <row r="1608" customFormat="false" ht="15" hidden="false" customHeight="false" outlineLevel="0" collapsed="false">
      <c r="A1608" s="15" t="str">
        <f aca="false">IF(B1608="","",ROW()-1)</f>
        <v/>
      </c>
      <c r="B1608" s="16"/>
      <c r="C1608" s="16"/>
      <c r="D1608" s="16"/>
      <c r="E1608" s="16"/>
      <c r="F1608" s="17"/>
      <c r="G1608" s="16"/>
      <c r="H1608" s="16"/>
      <c r="I1608" s="16"/>
      <c r="J1608" s="16"/>
      <c r="K1608" s="16"/>
      <c r="L1608" s="16"/>
      <c r="M1608" s="18" t="str">
        <f aca="false">IF(OR(C1608="",D1608=""),"",IF(MOD(COUNTIFS($C$2:C1608,C1608,$D$2:D1608,D1608)*7,10)&lt;3,"teste","treino"))</f>
        <v/>
      </c>
      <c r="N1608" s="16"/>
      <c r="O1608" s="16"/>
      <c r="P1608" s="16"/>
      <c r="Q1608" s="17"/>
    </row>
    <row r="1609" customFormat="false" ht="15" hidden="false" customHeight="false" outlineLevel="0" collapsed="false">
      <c r="A1609" s="15" t="str">
        <f aca="false">IF(B1609="","",ROW()-1)</f>
        <v/>
      </c>
      <c r="B1609" s="16"/>
      <c r="C1609" s="16"/>
      <c r="D1609" s="16"/>
      <c r="E1609" s="16"/>
      <c r="F1609" s="17"/>
      <c r="G1609" s="16"/>
      <c r="H1609" s="16"/>
      <c r="I1609" s="16"/>
      <c r="J1609" s="16"/>
      <c r="K1609" s="16"/>
      <c r="L1609" s="16"/>
      <c r="M1609" s="18" t="str">
        <f aca="false">IF(OR(C1609="",D1609=""),"",IF(MOD(COUNTIFS($C$2:C1609,C1609,$D$2:D1609,D1609)*7,10)&lt;3,"teste","treino"))</f>
        <v/>
      </c>
      <c r="N1609" s="16"/>
      <c r="O1609" s="16"/>
      <c r="P1609" s="16"/>
      <c r="Q1609" s="17"/>
    </row>
    <row r="1610" customFormat="false" ht="15" hidden="false" customHeight="false" outlineLevel="0" collapsed="false">
      <c r="A1610" s="15" t="str">
        <f aca="false">IF(B1610="","",ROW()-1)</f>
        <v/>
      </c>
      <c r="B1610" s="16"/>
      <c r="C1610" s="16"/>
      <c r="D1610" s="16"/>
      <c r="E1610" s="16"/>
      <c r="F1610" s="17"/>
      <c r="G1610" s="16"/>
      <c r="H1610" s="16"/>
      <c r="I1610" s="16"/>
      <c r="J1610" s="16"/>
      <c r="K1610" s="16"/>
      <c r="L1610" s="16"/>
      <c r="M1610" s="18" t="str">
        <f aca="false">IF(OR(C1610="",D1610=""),"",IF(MOD(COUNTIFS($C$2:C1610,C1610,$D$2:D1610,D1610)*7,10)&lt;3,"teste","treino"))</f>
        <v/>
      </c>
      <c r="N1610" s="16"/>
      <c r="O1610" s="16"/>
      <c r="P1610" s="16"/>
      <c r="Q1610" s="17"/>
    </row>
    <row r="1611" customFormat="false" ht="15" hidden="false" customHeight="false" outlineLevel="0" collapsed="false">
      <c r="A1611" s="15" t="str">
        <f aca="false">IF(B1611="","",ROW()-1)</f>
        <v/>
      </c>
      <c r="B1611" s="16"/>
      <c r="C1611" s="16"/>
      <c r="D1611" s="16"/>
      <c r="E1611" s="16"/>
      <c r="F1611" s="17"/>
      <c r="G1611" s="16"/>
      <c r="H1611" s="16"/>
      <c r="I1611" s="16"/>
      <c r="J1611" s="16"/>
      <c r="K1611" s="16"/>
      <c r="L1611" s="16"/>
      <c r="M1611" s="18" t="str">
        <f aca="false">IF(OR(C1611="",D1611=""),"",IF(MOD(COUNTIFS($C$2:C1611,C1611,$D$2:D1611,D1611)*7,10)&lt;3,"teste","treino"))</f>
        <v/>
      </c>
      <c r="N1611" s="16"/>
      <c r="O1611" s="16"/>
      <c r="P1611" s="16"/>
      <c r="Q1611" s="17"/>
    </row>
    <row r="1612" customFormat="false" ht="15" hidden="false" customHeight="false" outlineLevel="0" collapsed="false">
      <c r="A1612" s="15" t="str">
        <f aca="false">IF(B1612="","",ROW()-1)</f>
        <v/>
      </c>
      <c r="B1612" s="16"/>
      <c r="C1612" s="16"/>
      <c r="D1612" s="16"/>
      <c r="E1612" s="16"/>
      <c r="F1612" s="17"/>
      <c r="G1612" s="16"/>
      <c r="H1612" s="16"/>
      <c r="I1612" s="16"/>
      <c r="J1612" s="16"/>
      <c r="K1612" s="16"/>
      <c r="L1612" s="16"/>
      <c r="M1612" s="18" t="str">
        <f aca="false">IF(OR(C1612="",D1612=""),"",IF(MOD(COUNTIFS($C$2:C1612,C1612,$D$2:D1612,D1612)*7,10)&lt;3,"teste","treino"))</f>
        <v/>
      </c>
      <c r="N1612" s="16"/>
      <c r="O1612" s="16"/>
      <c r="P1612" s="16"/>
      <c r="Q1612" s="17"/>
    </row>
    <row r="1613" customFormat="false" ht="15" hidden="false" customHeight="false" outlineLevel="0" collapsed="false">
      <c r="A1613" s="15" t="str">
        <f aca="false">IF(B1613="","",ROW()-1)</f>
        <v/>
      </c>
      <c r="B1613" s="16"/>
      <c r="C1613" s="16"/>
      <c r="D1613" s="16"/>
      <c r="E1613" s="16"/>
      <c r="F1613" s="17"/>
      <c r="G1613" s="16"/>
      <c r="H1613" s="16"/>
      <c r="I1613" s="16"/>
      <c r="J1613" s="16"/>
      <c r="K1613" s="16"/>
      <c r="L1613" s="16"/>
      <c r="M1613" s="18" t="str">
        <f aca="false">IF(OR(C1613="",D1613=""),"",IF(MOD(COUNTIFS($C$2:C1613,C1613,$D$2:D1613,D1613)*7,10)&lt;3,"teste","treino"))</f>
        <v/>
      </c>
      <c r="N1613" s="16"/>
      <c r="O1613" s="16"/>
      <c r="P1613" s="16"/>
      <c r="Q1613" s="17"/>
    </row>
    <row r="1614" customFormat="false" ht="15" hidden="false" customHeight="false" outlineLevel="0" collapsed="false">
      <c r="A1614" s="15" t="str">
        <f aca="false">IF(B1614="","",ROW()-1)</f>
        <v/>
      </c>
      <c r="B1614" s="16"/>
      <c r="C1614" s="16"/>
      <c r="D1614" s="16"/>
      <c r="E1614" s="16"/>
      <c r="F1614" s="17"/>
      <c r="G1614" s="16"/>
      <c r="H1614" s="16"/>
      <c r="I1614" s="16"/>
      <c r="J1614" s="16"/>
      <c r="K1614" s="16"/>
      <c r="L1614" s="16"/>
      <c r="M1614" s="18" t="str">
        <f aca="false">IF(OR(C1614="",D1614=""),"",IF(MOD(COUNTIFS($C$2:C1614,C1614,$D$2:D1614,D1614)*7,10)&lt;3,"teste","treino"))</f>
        <v/>
      </c>
      <c r="N1614" s="16"/>
      <c r="O1614" s="16"/>
      <c r="P1614" s="16"/>
      <c r="Q1614" s="17"/>
    </row>
    <row r="1615" customFormat="false" ht="15" hidden="false" customHeight="false" outlineLevel="0" collapsed="false">
      <c r="A1615" s="15" t="str">
        <f aca="false">IF(B1615="","",ROW()-1)</f>
        <v/>
      </c>
      <c r="B1615" s="16"/>
      <c r="C1615" s="16"/>
      <c r="D1615" s="16"/>
      <c r="E1615" s="16"/>
      <c r="F1615" s="17"/>
      <c r="G1615" s="16"/>
      <c r="H1615" s="16"/>
      <c r="I1615" s="16"/>
      <c r="J1615" s="16"/>
      <c r="K1615" s="16"/>
      <c r="L1615" s="16"/>
      <c r="M1615" s="18" t="str">
        <f aca="false">IF(OR(C1615="",D1615=""),"",IF(MOD(COUNTIFS($C$2:C1615,C1615,$D$2:D1615,D1615)*7,10)&lt;3,"teste","treino"))</f>
        <v/>
      </c>
      <c r="N1615" s="16"/>
      <c r="O1615" s="16"/>
      <c r="P1615" s="16"/>
      <c r="Q1615" s="17"/>
    </row>
    <row r="1616" customFormat="false" ht="15" hidden="false" customHeight="false" outlineLevel="0" collapsed="false">
      <c r="A1616" s="15" t="str">
        <f aca="false">IF(B1616="","",ROW()-1)</f>
        <v/>
      </c>
      <c r="B1616" s="16"/>
      <c r="C1616" s="16"/>
      <c r="D1616" s="16"/>
      <c r="E1616" s="16"/>
      <c r="F1616" s="17"/>
      <c r="G1616" s="16"/>
      <c r="H1616" s="16"/>
      <c r="I1616" s="16"/>
      <c r="J1616" s="16"/>
      <c r="K1616" s="16"/>
      <c r="L1616" s="16"/>
      <c r="M1616" s="18" t="str">
        <f aca="false">IF(OR(C1616="",D1616=""),"",IF(MOD(COUNTIFS($C$2:C1616,C1616,$D$2:D1616,D1616)*7,10)&lt;3,"teste","treino"))</f>
        <v/>
      </c>
      <c r="N1616" s="16"/>
      <c r="O1616" s="16"/>
      <c r="P1616" s="16"/>
      <c r="Q1616" s="17"/>
    </row>
    <row r="1617" customFormat="false" ht="15" hidden="false" customHeight="false" outlineLevel="0" collapsed="false">
      <c r="A1617" s="15" t="str">
        <f aca="false">IF(B1617="","",ROW()-1)</f>
        <v/>
      </c>
      <c r="B1617" s="16"/>
      <c r="C1617" s="16"/>
      <c r="D1617" s="16"/>
      <c r="E1617" s="16"/>
      <c r="F1617" s="17"/>
      <c r="G1617" s="16"/>
      <c r="H1617" s="16"/>
      <c r="I1617" s="16"/>
      <c r="J1617" s="16"/>
      <c r="K1617" s="16"/>
      <c r="L1617" s="16"/>
      <c r="M1617" s="18" t="str">
        <f aca="false">IF(OR(C1617="",D1617=""),"",IF(MOD(COUNTIFS($C$2:C1617,C1617,$D$2:D1617,D1617)*7,10)&lt;3,"teste","treino"))</f>
        <v/>
      </c>
      <c r="N1617" s="16"/>
      <c r="O1617" s="16"/>
      <c r="P1617" s="16"/>
      <c r="Q1617" s="17"/>
    </row>
    <row r="1618" customFormat="false" ht="15" hidden="false" customHeight="false" outlineLevel="0" collapsed="false">
      <c r="A1618" s="15" t="str">
        <f aca="false">IF(B1618="","",ROW()-1)</f>
        <v/>
      </c>
      <c r="B1618" s="16"/>
      <c r="C1618" s="16"/>
      <c r="D1618" s="16"/>
      <c r="E1618" s="16"/>
      <c r="F1618" s="17"/>
      <c r="G1618" s="16"/>
      <c r="H1618" s="16"/>
      <c r="I1618" s="16"/>
      <c r="J1618" s="16"/>
      <c r="K1618" s="16"/>
      <c r="L1618" s="16"/>
      <c r="M1618" s="18" t="str">
        <f aca="false">IF(OR(C1618="",D1618=""),"",IF(MOD(COUNTIFS($C$2:C1618,C1618,$D$2:D1618,D1618)*7,10)&lt;3,"teste","treino"))</f>
        <v/>
      </c>
      <c r="N1618" s="16"/>
      <c r="O1618" s="16"/>
      <c r="P1618" s="16"/>
      <c r="Q1618" s="17"/>
    </row>
    <row r="1619" customFormat="false" ht="15" hidden="false" customHeight="false" outlineLevel="0" collapsed="false">
      <c r="A1619" s="15" t="str">
        <f aca="false">IF(B1619="","",ROW()-1)</f>
        <v/>
      </c>
      <c r="B1619" s="16"/>
      <c r="C1619" s="16"/>
      <c r="D1619" s="16"/>
      <c r="E1619" s="16"/>
      <c r="F1619" s="17"/>
      <c r="G1619" s="16"/>
      <c r="H1619" s="16"/>
      <c r="I1619" s="16"/>
      <c r="J1619" s="16"/>
      <c r="K1619" s="16"/>
      <c r="L1619" s="16"/>
      <c r="M1619" s="18" t="str">
        <f aca="false">IF(OR(C1619="",D1619=""),"",IF(MOD(COUNTIFS($C$2:C1619,C1619,$D$2:D1619,D1619)*7,10)&lt;3,"teste","treino"))</f>
        <v/>
      </c>
      <c r="N1619" s="16"/>
      <c r="O1619" s="16"/>
      <c r="P1619" s="16"/>
      <c r="Q1619" s="17"/>
    </row>
    <row r="1620" customFormat="false" ht="15" hidden="false" customHeight="false" outlineLevel="0" collapsed="false">
      <c r="A1620" s="15" t="str">
        <f aca="false">IF(B1620="","",ROW()-1)</f>
        <v/>
      </c>
      <c r="B1620" s="16"/>
      <c r="C1620" s="16"/>
      <c r="D1620" s="16"/>
      <c r="E1620" s="16"/>
      <c r="F1620" s="17"/>
      <c r="G1620" s="16"/>
      <c r="H1620" s="16"/>
      <c r="I1620" s="16"/>
      <c r="J1620" s="16"/>
      <c r="K1620" s="16"/>
      <c r="L1620" s="16"/>
      <c r="M1620" s="18" t="str">
        <f aca="false">IF(OR(C1620="",D1620=""),"",IF(MOD(COUNTIFS($C$2:C1620,C1620,$D$2:D1620,D1620)*7,10)&lt;3,"teste","treino"))</f>
        <v/>
      </c>
      <c r="N1620" s="16"/>
      <c r="O1620" s="16"/>
      <c r="P1620" s="16"/>
      <c r="Q1620" s="17"/>
    </row>
    <row r="1621" customFormat="false" ht="15" hidden="false" customHeight="false" outlineLevel="0" collapsed="false">
      <c r="A1621" s="15" t="str">
        <f aca="false">IF(B1621="","",ROW()-1)</f>
        <v/>
      </c>
      <c r="B1621" s="16"/>
      <c r="C1621" s="16"/>
      <c r="D1621" s="16"/>
      <c r="E1621" s="16"/>
      <c r="F1621" s="17"/>
      <c r="G1621" s="16"/>
      <c r="H1621" s="16"/>
      <c r="I1621" s="16"/>
      <c r="J1621" s="16"/>
      <c r="K1621" s="16"/>
      <c r="L1621" s="16"/>
      <c r="M1621" s="18" t="str">
        <f aca="false">IF(OR(C1621="",D1621=""),"",IF(MOD(COUNTIFS($C$2:C1621,C1621,$D$2:D1621,D1621)*7,10)&lt;3,"teste","treino"))</f>
        <v/>
      </c>
      <c r="N1621" s="16"/>
      <c r="O1621" s="16"/>
      <c r="P1621" s="16"/>
      <c r="Q1621" s="17"/>
    </row>
    <row r="1622" customFormat="false" ht="15" hidden="false" customHeight="false" outlineLevel="0" collapsed="false">
      <c r="A1622" s="15" t="str">
        <f aca="false">IF(B1622="","",ROW()-1)</f>
        <v/>
      </c>
      <c r="B1622" s="16"/>
      <c r="C1622" s="16"/>
      <c r="D1622" s="16"/>
      <c r="E1622" s="16"/>
      <c r="F1622" s="17"/>
      <c r="G1622" s="16"/>
      <c r="H1622" s="16"/>
      <c r="I1622" s="16"/>
      <c r="J1622" s="16"/>
      <c r="K1622" s="16"/>
      <c r="L1622" s="16"/>
      <c r="M1622" s="18" t="str">
        <f aca="false">IF(OR(C1622="",D1622=""),"",IF(MOD(COUNTIFS($C$2:C1622,C1622,$D$2:D1622,D1622)*7,10)&lt;3,"teste","treino"))</f>
        <v/>
      </c>
      <c r="N1622" s="16"/>
      <c r="O1622" s="16"/>
      <c r="P1622" s="16"/>
      <c r="Q1622" s="17"/>
    </row>
    <row r="1623" customFormat="false" ht="15" hidden="false" customHeight="false" outlineLevel="0" collapsed="false">
      <c r="A1623" s="15" t="str">
        <f aca="false">IF(B1623="","",ROW()-1)</f>
        <v/>
      </c>
      <c r="B1623" s="16"/>
      <c r="C1623" s="16"/>
      <c r="D1623" s="16"/>
      <c r="E1623" s="16"/>
      <c r="F1623" s="17"/>
      <c r="G1623" s="16"/>
      <c r="H1623" s="16"/>
      <c r="I1623" s="16"/>
      <c r="J1623" s="16"/>
      <c r="K1623" s="16"/>
      <c r="L1623" s="16"/>
      <c r="M1623" s="18" t="str">
        <f aca="false">IF(OR(C1623="",D1623=""),"",IF(MOD(COUNTIFS($C$2:C1623,C1623,$D$2:D1623,D1623)*7,10)&lt;3,"teste","treino"))</f>
        <v/>
      </c>
      <c r="N1623" s="16"/>
      <c r="O1623" s="16"/>
      <c r="P1623" s="16"/>
      <c r="Q1623" s="17"/>
    </row>
    <row r="1624" customFormat="false" ht="15" hidden="false" customHeight="false" outlineLevel="0" collapsed="false">
      <c r="A1624" s="15" t="str">
        <f aca="false">IF(B1624="","",ROW()-1)</f>
        <v/>
      </c>
      <c r="B1624" s="16"/>
      <c r="C1624" s="16"/>
      <c r="D1624" s="16"/>
      <c r="E1624" s="16"/>
      <c r="F1624" s="17"/>
      <c r="G1624" s="16"/>
      <c r="H1624" s="16"/>
      <c r="I1624" s="16"/>
      <c r="J1624" s="16"/>
      <c r="K1624" s="16"/>
      <c r="L1624" s="16"/>
      <c r="M1624" s="18" t="str">
        <f aca="false">IF(OR(C1624="",D1624=""),"",IF(MOD(COUNTIFS($C$2:C1624,C1624,$D$2:D1624,D1624)*7,10)&lt;3,"teste","treino"))</f>
        <v/>
      </c>
      <c r="N1624" s="16"/>
      <c r="O1624" s="16"/>
      <c r="P1624" s="16"/>
      <c r="Q1624" s="17"/>
    </row>
    <row r="1625" customFormat="false" ht="15" hidden="false" customHeight="false" outlineLevel="0" collapsed="false">
      <c r="A1625" s="15" t="str">
        <f aca="false">IF(B1625="","",ROW()-1)</f>
        <v/>
      </c>
      <c r="B1625" s="16"/>
      <c r="C1625" s="16"/>
      <c r="D1625" s="16"/>
      <c r="E1625" s="16"/>
      <c r="F1625" s="17"/>
      <c r="G1625" s="16"/>
      <c r="H1625" s="16"/>
      <c r="I1625" s="16"/>
      <c r="J1625" s="16"/>
      <c r="K1625" s="16"/>
      <c r="L1625" s="16"/>
      <c r="M1625" s="18" t="str">
        <f aca="false">IF(OR(C1625="",D1625=""),"",IF(MOD(COUNTIFS($C$2:C1625,C1625,$D$2:D1625,D1625)*7,10)&lt;3,"teste","treino"))</f>
        <v/>
      </c>
      <c r="N1625" s="16"/>
      <c r="O1625" s="16"/>
      <c r="P1625" s="16"/>
      <c r="Q1625" s="17"/>
    </row>
    <row r="1626" customFormat="false" ht="15" hidden="false" customHeight="false" outlineLevel="0" collapsed="false">
      <c r="A1626" s="15" t="str">
        <f aca="false">IF(B1626="","",ROW()-1)</f>
        <v/>
      </c>
      <c r="B1626" s="16"/>
      <c r="C1626" s="16"/>
      <c r="D1626" s="16"/>
      <c r="E1626" s="16"/>
      <c r="F1626" s="17"/>
      <c r="G1626" s="16"/>
      <c r="H1626" s="16"/>
      <c r="I1626" s="16"/>
      <c r="J1626" s="16"/>
      <c r="K1626" s="16"/>
      <c r="L1626" s="16"/>
      <c r="M1626" s="18" t="str">
        <f aca="false">IF(OR(C1626="",D1626=""),"",IF(MOD(COUNTIFS($C$2:C1626,C1626,$D$2:D1626,D1626)*7,10)&lt;3,"teste","treino"))</f>
        <v/>
      </c>
      <c r="N1626" s="16"/>
      <c r="O1626" s="16"/>
      <c r="P1626" s="16"/>
      <c r="Q1626" s="17"/>
    </row>
    <row r="1627" customFormat="false" ht="15" hidden="false" customHeight="false" outlineLevel="0" collapsed="false">
      <c r="A1627" s="15" t="str">
        <f aca="false">IF(B1627="","",ROW()-1)</f>
        <v/>
      </c>
      <c r="B1627" s="16"/>
      <c r="C1627" s="16"/>
      <c r="D1627" s="16"/>
      <c r="E1627" s="16"/>
      <c r="F1627" s="17"/>
      <c r="G1627" s="16"/>
      <c r="H1627" s="16"/>
      <c r="I1627" s="16"/>
      <c r="J1627" s="16"/>
      <c r="K1627" s="16"/>
      <c r="L1627" s="16"/>
      <c r="M1627" s="18" t="str">
        <f aca="false">IF(OR(C1627="",D1627=""),"",IF(MOD(COUNTIFS($C$2:C1627,C1627,$D$2:D1627,D1627)*7,10)&lt;3,"teste","treino"))</f>
        <v/>
      </c>
      <c r="N1627" s="16"/>
      <c r="O1627" s="16"/>
      <c r="P1627" s="16"/>
      <c r="Q1627" s="17"/>
    </row>
    <row r="1628" customFormat="false" ht="15" hidden="false" customHeight="false" outlineLevel="0" collapsed="false">
      <c r="A1628" s="15" t="str">
        <f aca="false">IF(B1628="","",ROW()-1)</f>
        <v/>
      </c>
      <c r="B1628" s="16"/>
      <c r="C1628" s="16"/>
      <c r="D1628" s="16"/>
      <c r="E1628" s="16"/>
      <c r="F1628" s="17"/>
      <c r="G1628" s="16"/>
      <c r="H1628" s="16"/>
      <c r="I1628" s="16"/>
      <c r="J1628" s="16"/>
      <c r="K1628" s="16"/>
      <c r="L1628" s="16"/>
      <c r="M1628" s="18" t="str">
        <f aca="false">IF(OR(C1628="",D1628=""),"",IF(MOD(COUNTIFS($C$2:C1628,C1628,$D$2:D1628,D1628)*7,10)&lt;3,"teste","treino"))</f>
        <v/>
      </c>
      <c r="N1628" s="16"/>
      <c r="O1628" s="16"/>
      <c r="P1628" s="16"/>
      <c r="Q1628" s="17"/>
    </row>
    <row r="1629" customFormat="false" ht="15" hidden="false" customHeight="false" outlineLevel="0" collapsed="false">
      <c r="A1629" s="15" t="str">
        <f aca="false">IF(B1629="","",ROW()-1)</f>
        <v/>
      </c>
      <c r="B1629" s="16"/>
      <c r="C1629" s="16"/>
      <c r="D1629" s="16"/>
      <c r="E1629" s="16"/>
      <c r="F1629" s="17"/>
      <c r="G1629" s="16"/>
      <c r="H1629" s="16"/>
      <c r="I1629" s="16"/>
      <c r="J1629" s="16"/>
      <c r="K1629" s="16"/>
      <c r="L1629" s="16"/>
      <c r="M1629" s="18" t="str">
        <f aca="false">IF(OR(C1629="",D1629=""),"",IF(MOD(COUNTIFS($C$2:C1629,C1629,$D$2:D1629,D1629)*7,10)&lt;3,"teste","treino"))</f>
        <v/>
      </c>
      <c r="N1629" s="16"/>
      <c r="O1629" s="16"/>
      <c r="P1629" s="16"/>
      <c r="Q1629" s="17"/>
    </row>
    <row r="1630" customFormat="false" ht="15" hidden="false" customHeight="false" outlineLevel="0" collapsed="false">
      <c r="A1630" s="15" t="str">
        <f aca="false">IF(B1630="","",ROW()-1)</f>
        <v/>
      </c>
      <c r="B1630" s="16"/>
      <c r="C1630" s="16"/>
      <c r="D1630" s="16"/>
      <c r="E1630" s="16"/>
      <c r="F1630" s="17"/>
      <c r="G1630" s="16"/>
      <c r="H1630" s="16"/>
      <c r="I1630" s="16"/>
      <c r="J1630" s="16"/>
      <c r="K1630" s="16"/>
      <c r="L1630" s="16"/>
      <c r="M1630" s="18" t="str">
        <f aca="false">IF(OR(C1630="",D1630=""),"",IF(MOD(COUNTIFS($C$2:C1630,C1630,$D$2:D1630,D1630)*7,10)&lt;3,"teste","treino"))</f>
        <v/>
      </c>
      <c r="N1630" s="16"/>
      <c r="O1630" s="16"/>
      <c r="P1630" s="16"/>
      <c r="Q1630" s="17"/>
    </row>
    <row r="1631" customFormat="false" ht="15" hidden="false" customHeight="false" outlineLevel="0" collapsed="false">
      <c r="A1631" s="15" t="str">
        <f aca="false">IF(B1631="","",ROW()-1)</f>
        <v/>
      </c>
      <c r="B1631" s="16"/>
      <c r="C1631" s="16"/>
      <c r="D1631" s="16"/>
      <c r="E1631" s="16"/>
      <c r="F1631" s="17"/>
      <c r="G1631" s="16"/>
      <c r="H1631" s="16"/>
      <c r="I1631" s="16"/>
      <c r="J1631" s="16"/>
      <c r="K1631" s="16"/>
      <c r="L1631" s="16"/>
      <c r="M1631" s="18" t="str">
        <f aca="false">IF(OR(C1631="",D1631=""),"",IF(MOD(COUNTIFS($C$2:C1631,C1631,$D$2:D1631,D1631)*7,10)&lt;3,"teste","treino"))</f>
        <v/>
      </c>
      <c r="N1631" s="16"/>
      <c r="O1631" s="16"/>
      <c r="P1631" s="16"/>
      <c r="Q1631" s="17"/>
    </row>
    <row r="1632" customFormat="false" ht="15" hidden="false" customHeight="false" outlineLevel="0" collapsed="false">
      <c r="A1632" s="15" t="str">
        <f aca="false">IF(B1632="","",ROW()-1)</f>
        <v/>
      </c>
      <c r="B1632" s="16"/>
      <c r="C1632" s="16"/>
      <c r="D1632" s="16"/>
      <c r="E1632" s="16"/>
      <c r="F1632" s="17"/>
      <c r="G1632" s="16"/>
      <c r="H1632" s="16"/>
      <c r="I1632" s="16"/>
      <c r="J1632" s="16"/>
      <c r="K1632" s="16"/>
      <c r="L1632" s="16"/>
      <c r="M1632" s="18" t="str">
        <f aca="false">IF(OR(C1632="",D1632=""),"",IF(MOD(COUNTIFS($C$2:C1632,C1632,$D$2:D1632,D1632)*7,10)&lt;3,"teste","treino"))</f>
        <v/>
      </c>
      <c r="N1632" s="16"/>
      <c r="O1632" s="16"/>
      <c r="P1632" s="16"/>
      <c r="Q1632" s="17"/>
    </row>
    <row r="1633" customFormat="false" ht="15" hidden="false" customHeight="false" outlineLevel="0" collapsed="false">
      <c r="A1633" s="15" t="str">
        <f aca="false">IF(B1633="","",ROW()-1)</f>
        <v/>
      </c>
      <c r="B1633" s="16"/>
      <c r="C1633" s="16"/>
      <c r="D1633" s="16"/>
      <c r="E1633" s="16"/>
      <c r="F1633" s="17"/>
      <c r="G1633" s="16"/>
      <c r="H1633" s="16"/>
      <c r="I1633" s="16"/>
      <c r="J1633" s="16"/>
      <c r="K1633" s="16"/>
      <c r="L1633" s="16"/>
      <c r="M1633" s="18" t="str">
        <f aca="false">IF(OR(C1633="",D1633=""),"",IF(MOD(COUNTIFS($C$2:C1633,C1633,$D$2:D1633,D1633)*7,10)&lt;3,"teste","treino"))</f>
        <v/>
      </c>
      <c r="N1633" s="16"/>
      <c r="O1633" s="16"/>
      <c r="P1633" s="16"/>
      <c r="Q1633" s="17"/>
    </row>
    <row r="1634" customFormat="false" ht="15" hidden="false" customHeight="false" outlineLevel="0" collapsed="false">
      <c r="A1634" s="15" t="str">
        <f aca="false">IF(B1634="","",ROW()-1)</f>
        <v/>
      </c>
      <c r="B1634" s="16"/>
      <c r="C1634" s="16"/>
      <c r="D1634" s="16"/>
      <c r="E1634" s="16"/>
      <c r="F1634" s="17"/>
      <c r="G1634" s="16"/>
      <c r="H1634" s="16"/>
      <c r="I1634" s="16"/>
      <c r="J1634" s="16"/>
      <c r="K1634" s="16"/>
      <c r="L1634" s="16"/>
      <c r="M1634" s="18" t="str">
        <f aca="false">IF(OR(C1634="",D1634=""),"",IF(MOD(COUNTIFS($C$2:C1634,C1634,$D$2:D1634,D1634)*7,10)&lt;3,"teste","treino"))</f>
        <v/>
      </c>
      <c r="N1634" s="16"/>
      <c r="O1634" s="16"/>
      <c r="P1634" s="16"/>
      <c r="Q1634" s="17"/>
    </row>
    <row r="1635" customFormat="false" ht="15" hidden="false" customHeight="false" outlineLevel="0" collapsed="false">
      <c r="A1635" s="15" t="str">
        <f aca="false">IF(B1635="","",ROW()-1)</f>
        <v/>
      </c>
      <c r="B1635" s="16"/>
      <c r="C1635" s="16"/>
      <c r="D1635" s="16"/>
      <c r="E1635" s="16"/>
      <c r="F1635" s="17"/>
      <c r="G1635" s="16"/>
      <c r="H1635" s="16"/>
      <c r="I1635" s="16"/>
      <c r="J1635" s="16"/>
      <c r="K1635" s="16"/>
      <c r="L1635" s="16"/>
      <c r="M1635" s="18" t="str">
        <f aca="false">IF(OR(C1635="",D1635=""),"",IF(MOD(COUNTIFS($C$2:C1635,C1635,$D$2:D1635,D1635)*7,10)&lt;3,"teste","treino"))</f>
        <v/>
      </c>
      <c r="N1635" s="16"/>
      <c r="O1635" s="16"/>
      <c r="P1635" s="16"/>
      <c r="Q1635" s="17"/>
    </row>
    <row r="1636" customFormat="false" ht="15" hidden="false" customHeight="false" outlineLevel="0" collapsed="false">
      <c r="A1636" s="15" t="str">
        <f aca="false">IF(B1636="","",ROW()-1)</f>
        <v/>
      </c>
      <c r="B1636" s="16"/>
      <c r="C1636" s="16"/>
      <c r="D1636" s="16"/>
      <c r="E1636" s="16"/>
      <c r="F1636" s="17"/>
      <c r="G1636" s="16"/>
      <c r="H1636" s="16"/>
      <c r="I1636" s="16"/>
      <c r="J1636" s="16"/>
      <c r="K1636" s="16"/>
      <c r="L1636" s="16"/>
      <c r="M1636" s="18" t="str">
        <f aca="false">IF(OR(C1636="",D1636=""),"",IF(MOD(COUNTIFS($C$2:C1636,C1636,$D$2:D1636,D1636)*7,10)&lt;3,"teste","treino"))</f>
        <v/>
      </c>
      <c r="N1636" s="16"/>
      <c r="O1636" s="16"/>
      <c r="P1636" s="16"/>
      <c r="Q1636" s="17"/>
    </row>
    <row r="1637" customFormat="false" ht="15" hidden="false" customHeight="false" outlineLevel="0" collapsed="false">
      <c r="A1637" s="15" t="str">
        <f aca="false">IF(B1637="","",ROW()-1)</f>
        <v/>
      </c>
      <c r="B1637" s="16"/>
      <c r="C1637" s="16"/>
      <c r="D1637" s="16"/>
      <c r="E1637" s="16"/>
      <c r="F1637" s="17"/>
      <c r="G1637" s="16"/>
      <c r="H1637" s="16"/>
      <c r="I1637" s="16"/>
      <c r="J1637" s="16"/>
      <c r="K1637" s="16"/>
      <c r="L1637" s="16"/>
      <c r="M1637" s="18" t="str">
        <f aca="false">IF(OR(C1637="",D1637=""),"",IF(MOD(COUNTIFS($C$2:C1637,C1637,$D$2:D1637,D1637)*7,10)&lt;3,"teste","treino"))</f>
        <v/>
      </c>
      <c r="N1637" s="16"/>
      <c r="O1637" s="16"/>
      <c r="P1637" s="16"/>
      <c r="Q1637" s="17"/>
    </row>
    <row r="1638" customFormat="false" ht="15" hidden="false" customHeight="false" outlineLevel="0" collapsed="false">
      <c r="A1638" s="15" t="str">
        <f aca="false">IF(B1638="","",ROW()-1)</f>
        <v/>
      </c>
      <c r="B1638" s="16"/>
      <c r="C1638" s="16"/>
      <c r="D1638" s="16"/>
      <c r="E1638" s="16"/>
      <c r="F1638" s="17"/>
      <c r="G1638" s="16"/>
      <c r="H1638" s="16"/>
      <c r="I1638" s="16"/>
      <c r="J1638" s="16"/>
      <c r="K1638" s="16"/>
      <c r="L1638" s="16"/>
      <c r="M1638" s="18" t="str">
        <f aca="false">IF(OR(C1638="",D1638=""),"",IF(MOD(COUNTIFS($C$2:C1638,C1638,$D$2:D1638,D1638)*7,10)&lt;3,"teste","treino"))</f>
        <v/>
      </c>
      <c r="N1638" s="16"/>
      <c r="O1638" s="16"/>
      <c r="P1638" s="16"/>
      <c r="Q1638" s="17"/>
    </row>
    <row r="1639" customFormat="false" ht="15" hidden="false" customHeight="false" outlineLevel="0" collapsed="false">
      <c r="A1639" s="15" t="str">
        <f aca="false">IF(B1639="","",ROW()-1)</f>
        <v/>
      </c>
      <c r="B1639" s="16"/>
      <c r="C1639" s="16"/>
      <c r="D1639" s="16"/>
      <c r="E1639" s="16"/>
      <c r="F1639" s="17"/>
      <c r="G1639" s="16"/>
      <c r="H1639" s="16"/>
      <c r="I1639" s="16"/>
      <c r="J1639" s="16"/>
      <c r="K1639" s="16"/>
      <c r="L1639" s="16"/>
      <c r="M1639" s="18" t="str">
        <f aca="false">IF(OR(C1639="",D1639=""),"",IF(MOD(COUNTIFS($C$2:C1639,C1639,$D$2:D1639,D1639)*7,10)&lt;3,"teste","treino"))</f>
        <v/>
      </c>
      <c r="N1639" s="16"/>
      <c r="O1639" s="16"/>
      <c r="P1639" s="16"/>
      <c r="Q1639" s="17"/>
    </row>
    <row r="1640" customFormat="false" ht="15" hidden="false" customHeight="false" outlineLevel="0" collapsed="false">
      <c r="A1640" s="15" t="str">
        <f aca="false">IF(B1640="","",ROW()-1)</f>
        <v/>
      </c>
      <c r="B1640" s="16"/>
      <c r="C1640" s="16"/>
      <c r="D1640" s="16"/>
      <c r="E1640" s="16"/>
      <c r="F1640" s="17"/>
      <c r="G1640" s="16"/>
      <c r="H1640" s="16"/>
      <c r="I1640" s="16"/>
      <c r="J1640" s="16"/>
      <c r="K1640" s="16"/>
      <c r="L1640" s="16"/>
      <c r="M1640" s="18" t="str">
        <f aca="false">IF(OR(C1640="",D1640=""),"",IF(MOD(COUNTIFS($C$2:C1640,C1640,$D$2:D1640,D1640)*7,10)&lt;3,"teste","treino"))</f>
        <v/>
      </c>
      <c r="N1640" s="16"/>
      <c r="O1640" s="16"/>
      <c r="P1640" s="16"/>
      <c r="Q1640" s="17"/>
    </row>
    <row r="1641" customFormat="false" ht="15" hidden="false" customHeight="false" outlineLevel="0" collapsed="false">
      <c r="A1641" s="15" t="str">
        <f aca="false">IF(B1641="","",ROW()-1)</f>
        <v/>
      </c>
      <c r="B1641" s="16"/>
      <c r="C1641" s="16"/>
      <c r="D1641" s="16"/>
      <c r="E1641" s="16"/>
      <c r="F1641" s="17"/>
      <c r="G1641" s="16"/>
      <c r="H1641" s="16"/>
      <c r="I1641" s="16"/>
      <c r="J1641" s="16"/>
      <c r="K1641" s="16"/>
      <c r="L1641" s="16"/>
      <c r="M1641" s="18" t="str">
        <f aca="false">IF(OR(C1641="",D1641=""),"",IF(MOD(COUNTIFS($C$2:C1641,C1641,$D$2:D1641,D1641)*7,10)&lt;3,"teste","treino"))</f>
        <v/>
      </c>
      <c r="N1641" s="16"/>
      <c r="O1641" s="16"/>
      <c r="P1641" s="16"/>
      <c r="Q1641" s="17"/>
    </row>
    <row r="1642" customFormat="false" ht="15" hidden="false" customHeight="false" outlineLevel="0" collapsed="false">
      <c r="A1642" s="15" t="str">
        <f aca="false">IF(B1642="","",ROW()-1)</f>
        <v/>
      </c>
      <c r="B1642" s="16"/>
      <c r="C1642" s="16"/>
      <c r="D1642" s="16"/>
      <c r="E1642" s="16"/>
      <c r="F1642" s="17"/>
      <c r="G1642" s="16"/>
      <c r="H1642" s="16"/>
      <c r="I1642" s="16"/>
      <c r="J1642" s="16"/>
      <c r="K1642" s="16"/>
      <c r="L1642" s="16"/>
      <c r="M1642" s="18" t="str">
        <f aca="false">IF(OR(C1642="",D1642=""),"",IF(MOD(COUNTIFS($C$2:C1642,C1642,$D$2:D1642,D1642)*7,10)&lt;3,"teste","treino"))</f>
        <v/>
      </c>
      <c r="N1642" s="16"/>
      <c r="O1642" s="16"/>
      <c r="P1642" s="16"/>
      <c r="Q1642" s="17"/>
    </row>
    <row r="1643" customFormat="false" ht="15" hidden="false" customHeight="false" outlineLevel="0" collapsed="false">
      <c r="A1643" s="15" t="str">
        <f aca="false">IF(B1643="","",ROW()-1)</f>
        <v/>
      </c>
      <c r="B1643" s="16"/>
      <c r="C1643" s="16"/>
      <c r="D1643" s="16"/>
      <c r="E1643" s="16"/>
      <c r="F1643" s="17"/>
      <c r="G1643" s="16"/>
      <c r="H1643" s="16"/>
      <c r="I1643" s="16"/>
      <c r="J1643" s="16"/>
      <c r="K1643" s="16"/>
      <c r="L1643" s="16"/>
      <c r="M1643" s="18" t="str">
        <f aca="false">IF(OR(C1643="",D1643=""),"",IF(MOD(COUNTIFS($C$2:C1643,C1643,$D$2:D1643,D1643)*7,10)&lt;3,"teste","treino"))</f>
        <v/>
      </c>
      <c r="N1643" s="16"/>
      <c r="O1643" s="16"/>
      <c r="P1643" s="16"/>
      <c r="Q1643" s="17"/>
    </row>
    <row r="1644" customFormat="false" ht="15" hidden="false" customHeight="false" outlineLevel="0" collapsed="false">
      <c r="A1644" s="15" t="str">
        <f aca="false">IF(B1644="","",ROW()-1)</f>
        <v/>
      </c>
      <c r="B1644" s="16"/>
      <c r="C1644" s="16"/>
      <c r="D1644" s="16"/>
      <c r="E1644" s="16"/>
      <c r="F1644" s="17"/>
      <c r="G1644" s="16"/>
      <c r="H1644" s="16"/>
      <c r="I1644" s="16"/>
      <c r="J1644" s="16"/>
      <c r="K1644" s="16"/>
      <c r="L1644" s="16"/>
      <c r="M1644" s="18" t="str">
        <f aca="false">IF(OR(C1644="",D1644=""),"",IF(MOD(COUNTIFS($C$2:C1644,C1644,$D$2:D1644,D1644)*7,10)&lt;3,"teste","treino"))</f>
        <v/>
      </c>
      <c r="N1644" s="16"/>
      <c r="O1644" s="16"/>
      <c r="P1644" s="16"/>
      <c r="Q1644" s="17"/>
    </row>
    <row r="1645" customFormat="false" ht="15" hidden="false" customHeight="false" outlineLevel="0" collapsed="false">
      <c r="A1645" s="15" t="str">
        <f aca="false">IF(B1645="","",ROW()-1)</f>
        <v/>
      </c>
      <c r="B1645" s="16"/>
      <c r="C1645" s="16"/>
      <c r="D1645" s="16"/>
      <c r="E1645" s="16"/>
      <c r="F1645" s="17"/>
      <c r="G1645" s="16"/>
      <c r="H1645" s="16"/>
      <c r="I1645" s="16"/>
      <c r="J1645" s="16"/>
      <c r="K1645" s="16"/>
      <c r="L1645" s="16"/>
      <c r="M1645" s="18" t="str">
        <f aca="false">IF(OR(C1645="",D1645=""),"",IF(MOD(COUNTIFS($C$2:C1645,C1645,$D$2:D1645,D1645)*7,10)&lt;3,"teste","treino"))</f>
        <v/>
      </c>
      <c r="N1645" s="16"/>
      <c r="O1645" s="16"/>
      <c r="P1645" s="16"/>
      <c r="Q1645" s="17"/>
    </row>
    <row r="1646" customFormat="false" ht="15" hidden="false" customHeight="false" outlineLevel="0" collapsed="false">
      <c r="A1646" s="15" t="str">
        <f aca="false">IF(B1646="","",ROW()-1)</f>
        <v/>
      </c>
      <c r="B1646" s="16"/>
      <c r="C1646" s="16"/>
      <c r="D1646" s="16"/>
      <c r="E1646" s="16"/>
      <c r="F1646" s="17"/>
      <c r="G1646" s="16"/>
      <c r="H1646" s="16"/>
      <c r="I1646" s="16"/>
      <c r="J1646" s="16"/>
      <c r="K1646" s="16"/>
      <c r="L1646" s="16"/>
      <c r="M1646" s="18" t="str">
        <f aca="false">IF(OR(C1646="",D1646=""),"",IF(MOD(COUNTIFS($C$2:C1646,C1646,$D$2:D1646,D1646)*7,10)&lt;3,"teste","treino"))</f>
        <v/>
      </c>
      <c r="N1646" s="16"/>
      <c r="O1646" s="16"/>
      <c r="P1646" s="16"/>
      <c r="Q1646" s="17"/>
    </row>
    <row r="1647" customFormat="false" ht="15" hidden="false" customHeight="false" outlineLevel="0" collapsed="false">
      <c r="A1647" s="15" t="str">
        <f aca="false">IF(B1647="","",ROW()-1)</f>
        <v/>
      </c>
      <c r="B1647" s="16"/>
      <c r="C1647" s="16"/>
      <c r="D1647" s="16"/>
      <c r="E1647" s="16"/>
      <c r="F1647" s="17"/>
      <c r="G1647" s="16"/>
      <c r="H1647" s="16"/>
      <c r="I1647" s="16"/>
      <c r="J1647" s="16"/>
      <c r="K1647" s="16"/>
      <c r="L1647" s="16"/>
      <c r="M1647" s="18" t="str">
        <f aca="false">IF(OR(C1647="",D1647=""),"",IF(MOD(COUNTIFS($C$2:C1647,C1647,$D$2:D1647,D1647)*7,10)&lt;3,"teste","treino"))</f>
        <v/>
      </c>
      <c r="N1647" s="16"/>
      <c r="O1647" s="16"/>
      <c r="P1647" s="16"/>
      <c r="Q1647" s="17"/>
    </row>
    <row r="1648" customFormat="false" ht="15" hidden="false" customHeight="false" outlineLevel="0" collapsed="false">
      <c r="A1648" s="15" t="str">
        <f aca="false">IF(B1648="","",ROW()-1)</f>
        <v/>
      </c>
      <c r="B1648" s="16"/>
      <c r="C1648" s="16"/>
      <c r="D1648" s="16"/>
      <c r="E1648" s="16"/>
      <c r="F1648" s="17"/>
      <c r="G1648" s="16"/>
      <c r="H1648" s="16"/>
      <c r="I1648" s="16"/>
      <c r="J1648" s="16"/>
      <c r="K1648" s="16"/>
      <c r="L1648" s="16"/>
      <c r="M1648" s="18" t="str">
        <f aca="false">IF(OR(C1648="",D1648=""),"",IF(MOD(COUNTIFS($C$2:C1648,C1648,$D$2:D1648,D1648)*7,10)&lt;3,"teste","treino"))</f>
        <v/>
      </c>
      <c r="N1648" s="16"/>
      <c r="O1648" s="16"/>
      <c r="P1648" s="16"/>
      <c r="Q1648" s="17"/>
    </row>
    <row r="1649" customFormat="false" ht="15" hidden="false" customHeight="false" outlineLevel="0" collapsed="false">
      <c r="A1649" s="15" t="str">
        <f aca="false">IF(B1649="","",ROW()-1)</f>
        <v/>
      </c>
      <c r="B1649" s="16"/>
      <c r="C1649" s="16"/>
      <c r="D1649" s="16"/>
      <c r="E1649" s="16"/>
      <c r="F1649" s="17"/>
      <c r="G1649" s="16"/>
      <c r="H1649" s="16"/>
      <c r="I1649" s="16"/>
      <c r="J1649" s="16"/>
      <c r="K1649" s="16"/>
      <c r="L1649" s="16"/>
      <c r="M1649" s="18" t="str">
        <f aca="false">IF(OR(C1649="",D1649=""),"",IF(MOD(COUNTIFS($C$2:C1649,C1649,$D$2:D1649,D1649)*7,10)&lt;3,"teste","treino"))</f>
        <v/>
      </c>
      <c r="N1649" s="16"/>
      <c r="O1649" s="16"/>
      <c r="P1649" s="16"/>
      <c r="Q1649" s="17"/>
    </row>
    <row r="1650" customFormat="false" ht="15" hidden="false" customHeight="false" outlineLevel="0" collapsed="false">
      <c r="A1650" s="15" t="str">
        <f aca="false">IF(B1650="","",ROW()-1)</f>
        <v/>
      </c>
      <c r="B1650" s="16"/>
      <c r="C1650" s="16"/>
      <c r="D1650" s="16"/>
      <c r="E1650" s="16"/>
      <c r="F1650" s="17"/>
      <c r="G1650" s="16"/>
      <c r="H1650" s="16"/>
      <c r="I1650" s="16"/>
      <c r="J1650" s="16"/>
      <c r="K1650" s="16"/>
      <c r="L1650" s="16"/>
      <c r="M1650" s="18" t="str">
        <f aca="false">IF(OR(C1650="",D1650=""),"",IF(MOD(COUNTIFS($C$2:C1650,C1650,$D$2:D1650,D1650)*7,10)&lt;3,"teste","treino"))</f>
        <v/>
      </c>
      <c r="N1650" s="16"/>
      <c r="O1650" s="16"/>
      <c r="P1650" s="16"/>
      <c r="Q1650" s="17"/>
    </row>
    <row r="1651" customFormat="false" ht="15" hidden="false" customHeight="false" outlineLevel="0" collapsed="false">
      <c r="A1651" s="15" t="str">
        <f aca="false">IF(B1651="","",ROW()-1)</f>
        <v/>
      </c>
      <c r="B1651" s="16"/>
      <c r="C1651" s="16"/>
      <c r="D1651" s="16"/>
      <c r="E1651" s="16"/>
      <c r="F1651" s="17"/>
      <c r="G1651" s="16"/>
      <c r="H1651" s="16"/>
      <c r="I1651" s="16"/>
      <c r="J1651" s="16"/>
      <c r="K1651" s="16"/>
      <c r="L1651" s="16"/>
      <c r="M1651" s="18" t="str">
        <f aca="false">IF(OR(C1651="",D1651=""),"",IF(MOD(COUNTIFS($C$2:C1651,C1651,$D$2:D1651,D1651)*7,10)&lt;3,"teste","treino"))</f>
        <v/>
      </c>
      <c r="N1651" s="16"/>
      <c r="O1651" s="16"/>
      <c r="P1651" s="16"/>
      <c r="Q1651" s="17"/>
    </row>
    <row r="1652" customFormat="false" ht="15" hidden="false" customHeight="false" outlineLevel="0" collapsed="false">
      <c r="A1652" s="15" t="str">
        <f aca="false">IF(B1652="","",ROW()-1)</f>
        <v/>
      </c>
      <c r="B1652" s="16"/>
      <c r="C1652" s="16"/>
      <c r="D1652" s="16"/>
      <c r="E1652" s="16"/>
      <c r="F1652" s="17"/>
      <c r="G1652" s="16"/>
      <c r="H1652" s="16"/>
      <c r="I1652" s="16"/>
      <c r="J1652" s="16"/>
      <c r="K1652" s="16"/>
      <c r="L1652" s="16"/>
      <c r="M1652" s="18" t="str">
        <f aca="false">IF(OR(C1652="",D1652=""),"",IF(MOD(COUNTIFS($C$2:C1652,C1652,$D$2:D1652,D1652)*7,10)&lt;3,"teste","treino"))</f>
        <v/>
      </c>
      <c r="N1652" s="16"/>
      <c r="O1652" s="16"/>
      <c r="P1652" s="16"/>
      <c r="Q1652" s="17"/>
    </row>
    <row r="1653" customFormat="false" ht="15" hidden="false" customHeight="false" outlineLevel="0" collapsed="false">
      <c r="A1653" s="15" t="str">
        <f aca="false">IF(B1653="","",ROW()-1)</f>
        <v/>
      </c>
      <c r="B1653" s="16"/>
      <c r="C1653" s="16"/>
      <c r="D1653" s="16"/>
      <c r="E1653" s="16"/>
      <c r="F1653" s="17"/>
      <c r="G1653" s="16"/>
      <c r="H1653" s="16"/>
      <c r="I1653" s="16"/>
      <c r="J1653" s="16"/>
      <c r="K1653" s="16"/>
      <c r="L1653" s="16"/>
      <c r="M1653" s="18" t="str">
        <f aca="false">IF(OR(C1653="",D1653=""),"",IF(MOD(COUNTIFS($C$2:C1653,C1653,$D$2:D1653,D1653)*7,10)&lt;3,"teste","treino"))</f>
        <v/>
      </c>
      <c r="N1653" s="16"/>
      <c r="O1653" s="16"/>
      <c r="P1653" s="16"/>
      <c r="Q1653" s="17"/>
    </row>
    <row r="1654" customFormat="false" ht="15" hidden="false" customHeight="false" outlineLevel="0" collapsed="false">
      <c r="A1654" s="15" t="str">
        <f aca="false">IF(B1654="","",ROW()-1)</f>
        <v/>
      </c>
      <c r="B1654" s="16"/>
      <c r="C1654" s="16"/>
      <c r="D1654" s="16"/>
      <c r="E1654" s="16"/>
      <c r="F1654" s="17"/>
      <c r="G1654" s="16"/>
      <c r="H1654" s="16"/>
      <c r="I1654" s="16"/>
      <c r="J1654" s="16"/>
      <c r="K1654" s="16"/>
      <c r="L1654" s="16"/>
      <c r="M1654" s="18" t="str">
        <f aca="false">IF(OR(C1654="",D1654=""),"",IF(MOD(COUNTIFS($C$2:C1654,C1654,$D$2:D1654,D1654)*7,10)&lt;3,"teste","treino"))</f>
        <v/>
      </c>
      <c r="N1654" s="16"/>
      <c r="O1654" s="16"/>
      <c r="P1654" s="16"/>
      <c r="Q1654" s="17"/>
    </row>
    <row r="1655" customFormat="false" ht="15" hidden="false" customHeight="false" outlineLevel="0" collapsed="false">
      <c r="A1655" s="15" t="str">
        <f aca="false">IF(B1655="","",ROW()-1)</f>
        <v/>
      </c>
      <c r="B1655" s="16"/>
      <c r="C1655" s="16"/>
      <c r="D1655" s="16"/>
      <c r="E1655" s="16"/>
      <c r="F1655" s="17"/>
      <c r="G1655" s="16"/>
      <c r="H1655" s="16"/>
      <c r="I1655" s="16"/>
      <c r="J1655" s="16"/>
      <c r="K1655" s="16"/>
      <c r="L1655" s="16"/>
      <c r="M1655" s="18" t="str">
        <f aca="false">IF(OR(C1655="",D1655=""),"",IF(MOD(COUNTIFS($C$2:C1655,C1655,$D$2:D1655,D1655)*7,10)&lt;3,"teste","treino"))</f>
        <v/>
      </c>
      <c r="N1655" s="16"/>
      <c r="O1655" s="16"/>
      <c r="P1655" s="16"/>
      <c r="Q1655" s="17"/>
    </row>
    <row r="1656" customFormat="false" ht="15" hidden="false" customHeight="false" outlineLevel="0" collapsed="false">
      <c r="A1656" s="15" t="str">
        <f aca="false">IF(B1656="","",ROW()-1)</f>
        <v/>
      </c>
      <c r="B1656" s="16"/>
      <c r="C1656" s="16"/>
      <c r="D1656" s="16"/>
      <c r="E1656" s="16"/>
      <c r="F1656" s="17"/>
      <c r="G1656" s="16"/>
      <c r="H1656" s="16"/>
      <c r="I1656" s="16"/>
      <c r="J1656" s="16"/>
      <c r="K1656" s="16"/>
      <c r="L1656" s="16"/>
      <c r="M1656" s="18" t="str">
        <f aca="false">IF(OR(C1656="",D1656=""),"",IF(MOD(COUNTIFS($C$2:C1656,C1656,$D$2:D1656,D1656)*7,10)&lt;3,"teste","treino"))</f>
        <v/>
      </c>
      <c r="N1656" s="16"/>
      <c r="O1656" s="16"/>
      <c r="P1656" s="16"/>
      <c r="Q1656" s="17"/>
    </row>
    <row r="1657" customFormat="false" ht="15" hidden="false" customHeight="false" outlineLevel="0" collapsed="false">
      <c r="A1657" s="15" t="str">
        <f aca="false">IF(B1657="","",ROW()-1)</f>
        <v/>
      </c>
      <c r="B1657" s="16"/>
      <c r="C1657" s="16"/>
      <c r="D1657" s="16"/>
      <c r="E1657" s="16"/>
      <c r="F1657" s="17"/>
      <c r="G1657" s="16"/>
      <c r="H1657" s="16"/>
      <c r="I1657" s="16"/>
      <c r="J1657" s="16"/>
      <c r="K1657" s="16"/>
      <c r="L1657" s="16"/>
      <c r="M1657" s="18" t="str">
        <f aca="false">IF(OR(C1657="",D1657=""),"",IF(MOD(COUNTIFS($C$2:C1657,C1657,$D$2:D1657,D1657)*7,10)&lt;3,"teste","treino"))</f>
        <v/>
      </c>
      <c r="N1657" s="16"/>
      <c r="O1657" s="16"/>
      <c r="P1657" s="16"/>
      <c r="Q1657" s="17"/>
    </row>
    <row r="1658" customFormat="false" ht="15" hidden="false" customHeight="false" outlineLevel="0" collapsed="false">
      <c r="A1658" s="15" t="str">
        <f aca="false">IF(B1658="","",ROW()-1)</f>
        <v/>
      </c>
      <c r="B1658" s="16"/>
      <c r="C1658" s="16"/>
      <c r="D1658" s="16"/>
      <c r="E1658" s="16"/>
      <c r="F1658" s="17"/>
      <c r="G1658" s="16"/>
      <c r="H1658" s="16"/>
      <c r="I1658" s="16"/>
      <c r="J1658" s="16"/>
      <c r="K1658" s="16"/>
      <c r="L1658" s="16"/>
      <c r="M1658" s="18" t="str">
        <f aca="false">IF(OR(C1658="",D1658=""),"",IF(MOD(COUNTIFS($C$2:C1658,C1658,$D$2:D1658,D1658)*7,10)&lt;3,"teste","treino"))</f>
        <v/>
      </c>
      <c r="N1658" s="16"/>
      <c r="O1658" s="16"/>
      <c r="P1658" s="16"/>
      <c r="Q1658" s="17"/>
    </row>
    <row r="1659" customFormat="false" ht="15" hidden="false" customHeight="false" outlineLevel="0" collapsed="false">
      <c r="A1659" s="15" t="str">
        <f aca="false">IF(B1659="","",ROW()-1)</f>
        <v/>
      </c>
      <c r="B1659" s="16"/>
      <c r="C1659" s="16"/>
      <c r="D1659" s="16"/>
      <c r="E1659" s="16"/>
      <c r="F1659" s="17"/>
      <c r="G1659" s="16"/>
      <c r="H1659" s="16"/>
      <c r="I1659" s="16"/>
      <c r="J1659" s="16"/>
      <c r="K1659" s="16"/>
      <c r="L1659" s="16"/>
      <c r="M1659" s="18" t="str">
        <f aca="false">IF(OR(C1659="",D1659=""),"",IF(MOD(COUNTIFS($C$2:C1659,C1659,$D$2:D1659,D1659)*7,10)&lt;3,"teste","treino"))</f>
        <v/>
      </c>
      <c r="N1659" s="16"/>
      <c r="O1659" s="16"/>
      <c r="P1659" s="16"/>
      <c r="Q1659" s="17"/>
    </row>
    <row r="1660" customFormat="false" ht="15" hidden="false" customHeight="false" outlineLevel="0" collapsed="false">
      <c r="A1660" s="15" t="str">
        <f aca="false">IF(B1660="","",ROW()-1)</f>
        <v/>
      </c>
      <c r="B1660" s="16"/>
      <c r="C1660" s="16"/>
      <c r="D1660" s="16"/>
      <c r="E1660" s="16"/>
      <c r="F1660" s="17"/>
      <c r="G1660" s="16"/>
      <c r="H1660" s="16"/>
      <c r="I1660" s="16"/>
      <c r="J1660" s="16"/>
      <c r="K1660" s="16"/>
      <c r="L1660" s="16"/>
      <c r="M1660" s="18" t="str">
        <f aca="false">IF(OR(C1660="",D1660=""),"",IF(MOD(COUNTIFS($C$2:C1660,C1660,$D$2:D1660,D1660)*7,10)&lt;3,"teste","treino"))</f>
        <v/>
      </c>
      <c r="N1660" s="16"/>
      <c r="O1660" s="16"/>
      <c r="P1660" s="16"/>
      <c r="Q1660" s="17"/>
    </row>
    <row r="1661" customFormat="false" ht="15" hidden="false" customHeight="false" outlineLevel="0" collapsed="false">
      <c r="A1661" s="15" t="str">
        <f aca="false">IF(B1661="","",ROW()-1)</f>
        <v/>
      </c>
      <c r="B1661" s="16"/>
      <c r="C1661" s="16"/>
      <c r="D1661" s="16"/>
      <c r="E1661" s="16"/>
      <c r="F1661" s="17"/>
      <c r="G1661" s="16"/>
      <c r="H1661" s="16"/>
      <c r="I1661" s="16"/>
      <c r="J1661" s="16"/>
      <c r="K1661" s="16"/>
      <c r="L1661" s="16"/>
      <c r="M1661" s="18" t="str">
        <f aca="false">IF(OR(C1661="",D1661=""),"",IF(MOD(COUNTIFS($C$2:C1661,C1661,$D$2:D1661,D1661)*7,10)&lt;3,"teste","treino"))</f>
        <v/>
      </c>
      <c r="N1661" s="16"/>
      <c r="O1661" s="16"/>
      <c r="P1661" s="16"/>
      <c r="Q1661" s="17"/>
    </row>
    <row r="1662" customFormat="false" ht="15" hidden="false" customHeight="false" outlineLevel="0" collapsed="false">
      <c r="A1662" s="15" t="str">
        <f aca="false">IF(B1662="","",ROW()-1)</f>
        <v/>
      </c>
      <c r="B1662" s="16"/>
      <c r="C1662" s="16"/>
      <c r="D1662" s="16"/>
      <c r="E1662" s="16"/>
      <c r="F1662" s="17"/>
      <c r="G1662" s="16"/>
      <c r="H1662" s="16"/>
      <c r="I1662" s="16"/>
      <c r="J1662" s="16"/>
      <c r="K1662" s="16"/>
      <c r="L1662" s="16"/>
      <c r="M1662" s="18" t="str">
        <f aca="false">IF(OR(C1662="",D1662=""),"",IF(MOD(COUNTIFS($C$2:C1662,C1662,$D$2:D1662,D1662)*7,10)&lt;3,"teste","treino"))</f>
        <v/>
      </c>
      <c r="N1662" s="16"/>
      <c r="O1662" s="16"/>
      <c r="P1662" s="16"/>
      <c r="Q1662" s="17"/>
    </row>
    <row r="1663" customFormat="false" ht="15" hidden="false" customHeight="false" outlineLevel="0" collapsed="false">
      <c r="A1663" s="15" t="str">
        <f aca="false">IF(B1663="","",ROW()-1)</f>
        <v/>
      </c>
      <c r="B1663" s="16"/>
      <c r="C1663" s="16"/>
      <c r="D1663" s="16"/>
      <c r="E1663" s="16"/>
      <c r="F1663" s="17"/>
      <c r="G1663" s="16"/>
      <c r="H1663" s="16"/>
      <c r="I1663" s="16"/>
      <c r="J1663" s="16"/>
      <c r="K1663" s="16"/>
      <c r="L1663" s="16"/>
      <c r="M1663" s="18" t="str">
        <f aca="false">IF(OR(C1663="",D1663=""),"",IF(MOD(COUNTIFS($C$2:C1663,C1663,$D$2:D1663,D1663)*7,10)&lt;3,"teste","treino"))</f>
        <v/>
      </c>
      <c r="N1663" s="16"/>
      <c r="O1663" s="16"/>
      <c r="P1663" s="16"/>
      <c r="Q1663" s="17"/>
    </row>
    <row r="1664" customFormat="false" ht="15" hidden="false" customHeight="false" outlineLevel="0" collapsed="false">
      <c r="A1664" s="15" t="str">
        <f aca="false">IF(B1664="","",ROW()-1)</f>
        <v/>
      </c>
      <c r="B1664" s="16"/>
      <c r="C1664" s="16"/>
      <c r="D1664" s="16"/>
      <c r="E1664" s="16"/>
      <c r="F1664" s="17"/>
      <c r="G1664" s="16"/>
      <c r="H1664" s="16"/>
      <c r="I1664" s="16"/>
      <c r="J1664" s="16"/>
      <c r="K1664" s="16"/>
      <c r="L1664" s="16"/>
      <c r="M1664" s="18" t="str">
        <f aca="false">IF(OR(C1664="",D1664=""),"",IF(MOD(COUNTIFS($C$2:C1664,C1664,$D$2:D1664,D1664)*7,10)&lt;3,"teste","treino"))</f>
        <v/>
      </c>
      <c r="N1664" s="16"/>
      <c r="O1664" s="16"/>
      <c r="P1664" s="16"/>
      <c r="Q1664" s="17"/>
    </row>
    <row r="1665" customFormat="false" ht="15" hidden="false" customHeight="false" outlineLevel="0" collapsed="false">
      <c r="A1665" s="15" t="str">
        <f aca="false">IF(B1665="","",ROW()-1)</f>
        <v/>
      </c>
      <c r="B1665" s="16"/>
      <c r="C1665" s="16"/>
      <c r="D1665" s="16"/>
      <c r="E1665" s="16"/>
      <c r="F1665" s="17"/>
      <c r="G1665" s="16"/>
      <c r="H1665" s="16"/>
      <c r="I1665" s="16"/>
      <c r="J1665" s="16"/>
      <c r="K1665" s="16"/>
      <c r="L1665" s="16"/>
      <c r="M1665" s="18" t="str">
        <f aca="false">IF(OR(C1665="",D1665=""),"",IF(MOD(COUNTIFS($C$2:C1665,C1665,$D$2:D1665,D1665)*7,10)&lt;3,"teste","treino"))</f>
        <v/>
      </c>
      <c r="N1665" s="16"/>
      <c r="O1665" s="16"/>
      <c r="P1665" s="16"/>
      <c r="Q1665" s="17"/>
    </row>
    <row r="1666" customFormat="false" ht="15" hidden="false" customHeight="false" outlineLevel="0" collapsed="false">
      <c r="A1666" s="15" t="str">
        <f aca="false">IF(B1666="","",ROW()-1)</f>
        <v/>
      </c>
      <c r="B1666" s="16"/>
      <c r="C1666" s="16"/>
      <c r="D1666" s="16"/>
      <c r="E1666" s="16"/>
      <c r="F1666" s="17"/>
      <c r="G1666" s="16"/>
      <c r="H1666" s="16"/>
      <c r="I1666" s="16"/>
      <c r="J1666" s="16"/>
      <c r="K1666" s="16"/>
      <c r="L1666" s="16"/>
      <c r="M1666" s="18" t="str">
        <f aca="false">IF(OR(C1666="",D1666=""),"",IF(MOD(COUNTIFS($C$2:C1666,C1666,$D$2:D1666,D1666)*7,10)&lt;3,"teste","treino"))</f>
        <v/>
      </c>
      <c r="N1666" s="16"/>
      <c r="O1666" s="16"/>
      <c r="P1666" s="16"/>
      <c r="Q1666" s="17"/>
    </row>
    <row r="1667" customFormat="false" ht="15" hidden="false" customHeight="false" outlineLevel="0" collapsed="false">
      <c r="A1667" s="15" t="str">
        <f aca="false">IF(B1667="","",ROW()-1)</f>
        <v/>
      </c>
      <c r="B1667" s="16"/>
      <c r="C1667" s="16"/>
      <c r="D1667" s="16"/>
      <c r="E1667" s="16"/>
      <c r="F1667" s="17"/>
      <c r="G1667" s="16"/>
      <c r="H1667" s="16"/>
      <c r="I1667" s="16"/>
      <c r="J1667" s="16"/>
      <c r="K1667" s="16"/>
      <c r="L1667" s="16"/>
      <c r="M1667" s="18" t="str">
        <f aca="false">IF(OR(C1667="",D1667=""),"",IF(MOD(COUNTIFS($C$2:C1667,C1667,$D$2:D1667,D1667)*7,10)&lt;3,"teste","treino"))</f>
        <v/>
      </c>
      <c r="N1667" s="16"/>
      <c r="O1667" s="16"/>
      <c r="P1667" s="16"/>
      <c r="Q1667" s="17"/>
    </row>
    <row r="1668" customFormat="false" ht="15" hidden="false" customHeight="false" outlineLevel="0" collapsed="false">
      <c r="A1668" s="15" t="str">
        <f aca="false">IF(B1668="","",ROW()-1)</f>
        <v/>
      </c>
      <c r="B1668" s="16"/>
      <c r="C1668" s="16"/>
      <c r="D1668" s="16"/>
      <c r="E1668" s="16"/>
      <c r="F1668" s="17"/>
      <c r="G1668" s="16"/>
      <c r="H1668" s="16"/>
      <c r="I1668" s="16"/>
      <c r="J1668" s="16"/>
      <c r="K1668" s="16"/>
      <c r="L1668" s="16"/>
      <c r="M1668" s="18" t="str">
        <f aca="false">IF(OR(C1668="",D1668=""),"",IF(MOD(COUNTIFS($C$2:C1668,C1668,$D$2:D1668,D1668)*7,10)&lt;3,"teste","treino"))</f>
        <v/>
      </c>
      <c r="N1668" s="16"/>
      <c r="O1668" s="16"/>
      <c r="P1668" s="16"/>
      <c r="Q1668" s="17"/>
    </row>
    <row r="1669" customFormat="false" ht="15" hidden="false" customHeight="false" outlineLevel="0" collapsed="false">
      <c r="A1669" s="15" t="str">
        <f aca="false">IF(B1669="","",ROW()-1)</f>
        <v/>
      </c>
      <c r="B1669" s="16"/>
      <c r="C1669" s="16"/>
      <c r="D1669" s="16"/>
      <c r="E1669" s="16"/>
      <c r="F1669" s="17"/>
      <c r="G1669" s="16"/>
      <c r="H1669" s="16"/>
      <c r="I1669" s="16"/>
      <c r="J1669" s="16"/>
      <c r="K1669" s="16"/>
      <c r="L1669" s="16"/>
      <c r="M1669" s="18" t="str">
        <f aca="false">IF(OR(C1669="",D1669=""),"",IF(MOD(COUNTIFS($C$2:C1669,C1669,$D$2:D1669,D1669)*7,10)&lt;3,"teste","treino"))</f>
        <v/>
      </c>
      <c r="N1669" s="16"/>
      <c r="O1669" s="16"/>
      <c r="P1669" s="16"/>
      <c r="Q1669" s="17"/>
    </row>
    <row r="1670" customFormat="false" ht="15" hidden="false" customHeight="false" outlineLevel="0" collapsed="false">
      <c r="A1670" s="15" t="str">
        <f aca="false">IF(B1670="","",ROW()-1)</f>
        <v/>
      </c>
      <c r="B1670" s="16"/>
      <c r="C1670" s="16"/>
      <c r="D1670" s="16"/>
      <c r="E1670" s="16"/>
      <c r="F1670" s="17"/>
      <c r="G1670" s="16"/>
      <c r="H1670" s="16"/>
      <c r="I1670" s="16"/>
      <c r="J1670" s="16"/>
      <c r="K1670" s="16"/>
      <c r="L1670" s="16"/>
      <c r="M1670" s="18" t="str">
        <f aca="false">IF(OR(C1670="",D1670=""),"",IF(MOD(COUNTIFS($C$2:C1670,C1670,$D$2:D1670,D1670)*7,10)&lt;3,"teste","treino"))</f>
        <v/>
      </c>
      <c r="N1670" s="16"/>
      <c r="O1670" s="16"/>
      <c r="P1670" s="16"/>
      <c r="Q1670" s="17"/>
    </row>
    <row r="1671" customFormat="false" ht="15" hidden="false" customHeight="false" outlineLevel="0" collapsed="false">
      <c r="A1671" s="15" t="str">
        <f aca="false">IF(B1671="","",ROW()-1)</f>
        <v/>
      </c>
      <c r="B1671" s="16"/>
      <c r="C1671" s="16"/>
      <c r="D1671" s="16"/>
      <c r="E1671" s="16"/>
      <c r="F1671" s="17"/>
      <c r="G1671" s="16"/>
      <c r="H1671" s="16"/>
      <c r="I1671" s="16"/>
      <c r="J1671" s="16"/>
      <c r="K1671" s="16"/>
      <c r="L1671" s="16"/>
      <c r="M1671" s="18" t="str">
        <f aca="false">IF(OR(C1671="",D1671=""),"",IF(MOD(COUNTIFS($C$2:C1671,C1671,$D$2:D1671,D1671)*7,10)&lt;3,"teste","treino"))</f>
        <v/>
      </c>
      <c r="N1671" s="16"/>
      <c r="O1671" s="16"/>
      <c r="P1671" s="16"/>
      <c r="Q1671" s="17"/>
    </row>
    <row r="1672" customFormat="false" ht="15" hidden="false" customHeight="false" outlineLevel="0" collapsed="false">
      <c r="A1672" s="15" t="str">
        <f aca="false">IF(B1672="","",ROW()-1)</f>
        <v/>
      </c>
      <c r="B1672" s="16"/>
      <c r="C1672" s="16"/>
      <c r="D1672" s="16"/>
      <c r="E1672" s="16"/>
      <c r="F1672" s="17"/>
      <c r="G1672" s="16"/>
      <c r="H1672" s="16"/>
      <c r="I1672" s="16"/>
      <c r="J1672" s="16"/>
      <c r="K1672" s="16"/>
      <c r="L1672" s="16"/>
      <c r="M1672" s="18" t="str">
        <f aca="false">IF(OR(C1672="",D1672=""),"",IF(MOD(COUNTIFS($C$2:C1672,C1672,$D$2:D1672,D1672)*7,10)&lt;3,"teste","treino"))</f>
        <v/>
      </c>
      <c r="N1672" s="16"/>
      <c r="O1672" s="16"/>
      <c r="P1672" s="16"/>
      <c r="Q1672" s="17"/>
    </row>
    <row r="1673" customFormat="false" ht="15" hidden="false" customHeight="false" outlineLevel="0" collapsed="false">
      <c r="A1673" s="15" t="str">
        <f aca="false">IF(B1673="","",ROW()-1)</f>
        <v/>
      </c>
      <c r="B1673" s="16"/>
      <c r="C1673" s="16"/>
      <c r="D1673" s="16"/>
      <c r="E1673" s="16"/>
      <c r="F1673" s="17"/>
      <c r="G1673" s="16"/>
      <c r="H1673" s="16"/>
      <c r="I1673" s="16"/>
      <c r="J1673" s="16"/>
      <c r="K1673" s="16"/>
      <c r="L1673" s="16"/>
      <c r="M1673" s="18" t="str">
        <f aca="false">IF(OR(C1673="",D1673=""),"",IF(MOD(COUNTIFS($C$2:C1673,C1673,$D$2:D1673,D1673)*7,10)&lt;3,"teste","treino"))</f>
        <v/>
      </c>
      <c r="N1673" s="16"/>
      <c r="O1673" s="16"/>
      <c r="P1673" s="16"/>
      <c r="Q1673" s="17"/>
    </row>
    <row r="1674" customFormat="false" ht="15" hidden="false" customHeight="false" outlineLevel="0" collapsed="false">
      <c r="A1674" s="15" t="str">
        <f aca="false">IF(B1674="","",ROW()-1)</f>
        <v/>
      </c>
      <c r="B1674" s="16"/>
      <c r="C1674" s="16"/>
      <c r="D1674" s="16"/>
      <c r="E1674" s="16"/>
      <c r="F1674" s="17"/>
      <c r="G1674" s="16"/>
      <c r="H1674" s="16"/>
      <c r="I1674" s="16"/>
      <c r="J1674" s="16"/>
      <c r="K1674" s="16"/>
      <c r="L1674" s="16"/>
      <c r="M1674" s="18" t="str">
        <f aca="false">IF(OR(C1674="",D1674=""),"",IF(MOD(COUNTIFS($C$2:C1674,C1674,$D$2:D1674,D1674)*7,10)&lt;3,"teste","treino"))</f>
        <v/>
      </c>
      <c r="N1674" s="16"/>
      <c r="O1674" s="16"/>
      <c r="P1674" s="16"/>
      <c r="Q1674" s="17"/>
    </row>
    <row r="1675" customFormat="false" ht="15" hidden="false" customHeight="false" outlineLevel="0" collapsed="false">
      <c r="A1675" s="15" t="str">
        <f aca="false">IF(B1675="","",ROW()-1)</f>
        <v/>
      </c>
      <c r="B1675" s="16"/>
      <c r="C1675" s="16"/>
      <c r="D1675" s="16"/>
      <c r="E1675" s="16"/>
      <c r="F1675" s="17"/>
      <c r="G1675" s="16"/>
      <c r="H1675" s="16"/>
      <c r="I1675" s="16"/>
      <c r="J1675" s="16"/>
      <c r="K1675" s="16"/>
      <c r="L1675" s="16"/>
      <c r="M1675" s="18" t="str">
        <f aca="false">IF(OR(C1675="",D1675=""),"",IF(MOD(COUNTIFS($C$2:C1675,C1675,$D$2:D1675,D1675)*7,10)&lt;3,"teste","treino"))</f>
        <v/>
      </c>
      <c r="N1675" s="16"/>
      <c r="O1675" s="16"/>
      <c r="P1675" s="16"/>
      <c r="Q1675" s="17"/>
    </row>
    <row r="1676" customFormat="false" ht="15" hidden="false" customHeight="false" outlineLevel="0" collapsed="false">
      <c r="A1676" s="15" t="str">
        <f aca="false">IF(B1676="","",ROW()-1)</f>
        <v/>
      </c>
      <c r="B1676" s="16"/>
      <c r="C1676" s="16"/>
      <c r="D1676" s="16"/>
      <c r="E1676" s="16"/>
      <c r="F1676" s="17"/>
      <c r="G1676" s="16"/>
      <c r="H1676" s="16"/>
      <c r="I1676" s="16"/>
      <c r="J1676" s="16"/>
      <c r="K1676" s="16"/>
      <c r="L1676" s="16"/>
      <c r="M1676" s="18" t="str">
        <f aca="false">IF(OR(C1676="",D1676=""),"",IF(MOD(COUNTIFS($C$2:C1676,C1676,$D$2:D1676,D1676)*7,10)&lt;3,"teste","treino"))</f>
        <v/>
      </c>
      <c r="N1676" s="16"/>
      <c r="O1676" s="16"/>
      <c r="P1676" s="16"/>
      <c r="Q1676" s="17"/>
    </row>
    <row r="1677" customFormat="false" ht="15" hidden="false" customHeight="false" outlineLevel="0" collapsed="false">
      <c r="A1677" s="15" t="str">
        <f aca="false">IF(B1677="","",ROW()-1)</f>
        <v/>
      </c>
      <c r="B1677" s="16"/>
      <c r="C1677" s="16"/>
      <c r="D1677" s="16"/>
      <c r="E1677" s="16"/>
      <c r="F1677" s="17"/>
      <c r="G1677" s="16"/>
      <c r="H1677" s="16"/>
      <c r="I1677" s="16"/>
      <c r="J1677" s="16"/>
      <c r="K1677" s="16"/>
      <c r="L1677" s="16"/>
      <c r="M1677" s="18" t="str">
        <f aca="false">IF(OR(C1677="",D1677=""),"",IF(MOD(COUNTIFS($C$2:C1677,C1677,$D$2:D1677,D1677)*7,10)&lt;3,"teste","treino"))</f>
        <v/>
      </c>
      <c r="N1677" s="16"/>
      <c r="O1677" s="16"/>
      <c r="P1677" s="16"/>
      <c r="Q1677" s="17"/>
    </row>
    <row r="1678" customFormat="false" ht="15" hidden="false" customHeight="false" outlineLevel="0" collapsed="false">
      <c r="A1678" s="15" t="str">
        <f aca="false">IF(B1678="","",ROW()-1)</f>
        <v/>
      </c>
      <c r="B1678" s="16"/>
      <c r="C1678" s="16"/>
      <c r="D1678" s="16"/>
      <c r="E1678" s="16"/>
      <c r="F1678" s="17"/>
      <c r="G1678" s="16"/>
      <c r="H1678" s="16"/>
      <c r="I1678" s="16"/>
      <c r="J1678" s="16"/>
      <c r="K1678" s="16"/>
      <c r="L1678" s="16"/>
      <c r="M1678" s="18" t="str">
        <f aca="false">IF(OR(C1678="",D1678=""),"",IF(MOD(COUNTIFS($C$2:C1678,C1678,$D$2:D1678,D1678)*7,10)&lt;3,"teste","treino"))</f>
        <v/>
      </c>
      <c r="N1678" s="16"/>
      <c r="O1678" s="16"/>
      <c r="P1678" s="16"/>
      <c r="Q1678" s="17"/>
    </row>
    <row r="1679" customFormat="false" ht="15" hidden="false" customHeight="false" outlineLevel="0" collapsed="false">
      <c r="A1679" s="15" t="str">
        <f aca="false">IF(B1679="","",ROW()-1)</f>
        <v/>
      </c>
      <c r="B1679" s="16"/>
      <c r="C1679" s="16"/>
      <c r="D1679" s="16"/>
      <c r="E1679" s="16"/>
      <c r="F1679" s="17"/>
      <c r="G1679" s="16"/>
      <c r="H1679" s="16"/>
      <c r="I1679" s="16"/>
      <c r="J1679" s="16"/>
      <c r="K1679" s="16"/>
      <c r="L1679" s="16"/>
      <c r="M1679" s="18" t="str">
        <f aca="false">IF(OR(C1679="",D1679=""),"",IF(MOD(COUNTIFS($C$2:C1679,C1679,$D$2:D1679,D1679)*7,10)&lt;3,"teste","treino"))</f>
        <v/>
      </c>
      <c r="N1679" s="16"/>
      <c r="O1679" s="16"/>
      <c r="P1679" s="16"/>
      <c r="Q1679" s="17"/>
    </row>
    <row r="1680" customFormat="false" ht="15" hidden="false" customHeight="false" outlineLevel="0" collapsed="false">
      <c r="A1680" s="15" t="str">
        <f aca="false">IF(B1680="","",ROW()-1)</f>
        <v/>
      </c>
      <c r="B1680" s="16"/>
      <c r="C1680" s="16"/>
      <c r="D1680" s="16"/>
      <c r="E1680" s="16"/>
      <c r="F1680" s="17"/>
      <c r="G1680" s="16"/>
      <c r="H1680" s="16"/>
      <c r="I1680" s="16"/>
      <c r="J1680" s="16"/>
      <c r="K1680" s="16"/>
      <c r="L1680" s="16"/>
      <c r="M1680" s="18" t="str">
        <f aca="false">IF(OR(C1680="",D1680=""),"",IF(MOD(COUNTIFS($C$2:C1680,C1680,$D$2:D1680,D1680)*7,10)&lt;3,"teste","treino"))</f>
        <v/>
      </c>
      <c r="N1680" s="16"/>
      <c r="O1680" s="16"/>
      <c r="P1680" s="16"/>
      <c r="Q1680" s="17"/>
    </row>
    <row r="1681" customFormat="false" ht="15" hidden="false" customHeight="false" outlineLevel="0" collapsed="false">
      <c r="A1681" s="15" t="str">
        <f aca="false">IF(B1681="","",ROW()-1)</f>
        <v/>
      </c>
      <c r="B1681" s="16"/>
      <c r="C1681" s="16"/>
      <c r="D1681" s="16"/>
      <c r="E1681" s="16"/>
      <c r="F1681" s="17"/>
      <c r="G1681" s="16"/>
      <c r="H1681" s="16"/>
      <c r="I1681" s="16"/>
      <c r="J1681" s="16"/>
      <c r="K1681" s="16"/>
      <c r="L1681" s="16"/>
      <c r="M1681" s="18" t="str">
        <f aca="false">IF(OR(C1681="",D1681=""),"",IF(MOD(COUNTIFS($C$2:C1681,C1681,$D$2:D1681,D1681)*7,10)&lt;3,"teste","treino"))</f>
        <v/>
      </c>
      <c r="N1681" s="16"/>
      <c r="O1681" s="16"/>
      <c r="P1681" s="16"/>
      <c r="Q1681" s="17"/>
    </row>
    <row r="1682" customFormat="false" ht="15" hidden="false" customHeight="false" outlineLevel="0" collapsed="false">
      <c r="A1682" s="15" t="str">
        <f aca="false">IF(B1682="","",ROW()-1)</f>
        <v/>
      </c>
      <c r="B1682" s="16"/>
      <c r="C1682" s="16"/>
      <c r="D1682" s="16"/>
      <c r="E1682" s="16"/>
      <c r="F1682" s="17"/>
      <c r="G1682" s="16"/>
      <c r="H1682" s="16"/>
      <c r="I1682" s="16"/>
      <c r="J1682" s="16"/>
      <c r="K1682" s="16"/>
      <c r="L1682" s="16"/>
      <c r="M1682" s="18" t="str">
        <f aca="false">IF(OR(C1682="",D1682=""),"",IF(MOD(COUNTIFS($C$2:C1682,C1682,$D$2:D1682,D1682)*7,10)&lt;3,"teste","treino"))</f>
        <v/>
      </c>
      <c r="N1682" s="16"/>
      <c r="O1682" s="16"/>
      <c r="P1682" s="16"/>
      <c r="Q1682" s="17"/>
    </row>
    <row r="1683" customFormat="false" ht="15" hidden="false" customHeight="false" outlineLevel="0" collapsed="false">
      <c r="A1683" s="15" t="str">
        <f aca="false">IF(B1683="","",ROW()-1)</f>
        <v/>
      </c>
      <c r="B1683" s="16"/>
      <c r="C1683" s="16"/>
      <c r="D1683" s="16"/>
      <c r="E1683" s="16"/>
      <c r="F1683" s="17"/>
      <c r="G1683" s="16"/>
      <c r="H1683" s="16"/>
      <c r="I1683" s="16"/>
      <c r="J1683" s="16"/>
      <c r="K1683" s="16"/>
      <c r="L1683" s="16"/>
      <c r="M1683" s="18" t="str">
        <f aca="false">IF(OR(C1683="",D1683=""),"",IF(MOD(COUNTIFS($C$2:C1683,C1683,$D$2:D1683,D1683)*7,10)&lt;3,"teste","treino"))</f>
        <v/>
      </c>
      <c r="N1683" s="16"/>
      <c r="O1683" s="16"/>
      <c r="P1683" s="16"/>
      <c r="Q1683" s="17"/>
    </row>
    <row r="1684" customFormat="false" ht="15" hidden="false" customHeight="false" outlineLevel="0" collapsed="false">
      <c r="A1684" s="15" t="str">
        <f aca="false">IF(B1684="","",ROW()-1)</f>
        <v/>
      </c>
      <c r="B1684" s="16"/>
      <c r="C1684" s="16"/>
      <c r="D1684" s="16"/>
      <c r="E1684" s="16"/>
      <c r="F1684" s="17"/>
      <c r="G1684" s="16"/>
      <c r="H1684" s="16"/>
      <c r="I1684" s="16"/>
      <c r="J1684" s="16"/>
      <c r="K1684" s="16"/>
      <c r="L1684" s="16"/>
      <c r="M1684" s="18" t="str">
        <f aca="false">IF(OR(C1684="",D1684=""),"",IF(MOD(COUNTIFS($C$2:C1684,C1684,$D$2:D1684,D1684)*7,10)&lt;3,"teste","treino"))</f>
        <v/>
      </c>
      <c r="N1684" s="16"/>
      <c r="O1684" s="16"/>
      <c r="P1684" s="16"/>
      <c r="Q1684" s="17"/>
    </row>
    <row r="1685" customFormat="false" ht="15" hidden="false" customHeight="false" outlineLevel="0" collapsed="false">
      <c r="A1685" s="15" t="str">
        <f aca="false">IF(B1685="","",ROW()-1)</f>
        <v/>
      </c>
      <c r="B1685" s="16"/>
      <c r="C1685" s="16"/>
      <c r="D1685" s="16"/>
      <c r="E1685" s="16"/>
      <c r="F1685" s="17"/>
      <c r="G1685" s="16"/>
      <c r="H1685" s="16"/>
      <c r="I1685" s="16"/>
      <c r="J1685" s="16"/>
      <c r="K1685" s="16"/>
      <c r="L1685" s="16"/>
      <c r="M1685" s="18" t="str">
        <f aca="false">IF(OR(C1685="",D1685=""),"",IF(MOD(COUNTIFS($C$2:C1685,C1685,$D$2:D1685,D1685)*7,10)&lt;3,"teste","treino"))</f>
        <v/>
      </c>
      <c r="N1685" s="16"/>
      <c r="O1685" s="16"/>
      <c r="P1685" s="16"/>
      <c r="Q1685" s="17"/>
    </row>
    <row r="1686" customFormat="false" ht="15" hidden="false" customHeight="false" outlineLevel="0" collapsed="false">
      <c r="A1686" s="15" t="str">
        <f aca="false">IF(B1686="","",ROW()-1)</f>
        <v/>
      </c>
      <c r="B1686" s="16"/>
      <c r="C1686" s="16"/>
      <c r="D1686" s="16"/>
      <c r="E1686" s="16"/>
      <c r="F1686" s="17"/>
      <c r="G1686" s="16"/>
      <c r="H1686" s="16"/>
      <c r="I1686" s="16"/>
      <c r="J1686" s="16"/>
      <c r="K1686" s="16"/>
      <c r="L1686" s="16"/>
      <c r="M1686" s="18" t="str">
        <f aca="false">IF(OR(C1686="",D1686=""),"",IF(MOD(COUNTIFS($C$2:C1686,C1686,$D$2:D1686,D1686)*7,10)&lt;3,"teste","treino"))</f>
        <v/>
      </c>
      <c r="N1686" s="16"/>
      <c r="O1686" s="16"/>
      <c r="P1686" s="16"/>
      <c r="Q1686" s="17"/>
    </row>
    <row r="1687" customFormat="false" ht="15" hidden="false" customHeight="false" outlineLevel="0" collapsed="false">
      <c r="A1687" s="15" t="str">
        <f aca="false">IF(B1687="","",ROW()-1)</f>
        <v/>
      </c>
      <c r="B1687" s="16"/>
      <c r="C1687" s="16"/>
      <c r="D1687" s="16"/>
      <c r="E1687" s="16"/>
      <c r="F1687" s="17"/>
      <c r="G1687" s="16"/>
      <c r="H1687" s="16"/>
      <c r="I1687" s="16"/>
      <c r="J1687" s="16"/>
      <c r="K1687" s="16"/>
      <c r="L1687" s="16"/>
      <c r="M1687" s="18" t="str">
        <f aca="false">IF(OR(C1687="",D1687=""),"",IF(MOD(COUNTIFS($C$2:C1687,C1687,$D$2:D1687,D1687)*7,10)&lt;3,"teste","treino"))</f>
        <v/>
      </c>
      <c r="N1687" s="16"/>
      <c r="O1687" s="16"/>
      <c r="P1687" s="16"/>
      <c r="Q1687" s="17"/>
    </row>
    <row r="1688" customFormat="false" ht="15" hidden="false" customHeight="false" outlineLevel="0" collapsed="false">
      <c r="A1688" s="15" t="str">
        <f aca="false">IF(B1688="","",ROW()-1)</f>
        <v/>
      </c>
      <c r="B1688" s="16"/>
      <c r="C1688" s="16"/>
      <c r="D1688" s="16"/>
      <c r="E1688" s="16"/>
      <c r="F1688" s="17"/>
      <c r="G1688" s="16"/>
      <c r="H1688" s="16"/>
      <c r="I1688" s="16"/>
      <c r="J1688" s="16"/>
      <c r="K1688" s="16"/>
      <c r="L1688" s="16"/>
      <c r="M1688" s="18" t="str">
        <f aca="false">IF(OR(C1688="",D1688=""),"",IF(MOD(COUNTIFS($C$2:C1688,C1688,$D$2:D1688,D1688)*7,10)&lt;3,"teste","treino"))</f>
        <v/>
      </c>
      <c r="N1688" s="16"/>
      <c r="O1688" s="16"/>
      <c r="P1688" s="16"/>
      <c r="Q1688" s="17"/>
    </row>
    <row r="1689" customFormat="false" ht="15" hidden="false" customHeight="false" outlineLevel="0" collapsed="false">
      <c r="A1689" s="15" t="str">
        <f aca="false">IF(B1689="","",ROW()-1)</f>
        <v/>
      </c>
      <c r="B1689" s="16"/>
      <c r="C1689" s="16"/>
      <c r="D1689" s="16"/>
      <c r="E1689" s="16"/>
      <c r="F1689" s="17"/>
      <c r="G1689" s="16"/>
      <c r="H1689" s="16"/>
      <c r="I1689" s="16"/>
      <c r="J1689" s="16"/>
      <c r="K1689" s="16"/>
      <c r="L1689" s="16"/>
      <c r="M1689" s="18" t="str">
        <f aca="false">IF(OR(C1689="",D1689=""),"",IF(MOD(COUNTIFS($C$2:C1689,C1689,$D$2:D1689,D1689)*7,10)&lt;3,"teste","treino"))</f>
        <v/>
      </c>
      <c r="N1689" s="16"/>
      <c r="O1689" s="16"/>
      <c r="P1689" s="16"/>
      <c r="Q1689" s="17"/>
    </row>
    <row r="1690" customFormat="false" ht="15" hidden="false" customHeight="false" outlineLevel="0" collapsed="false">
      <c r="A1690" s="15" t="str">
        <f aca="false">IF(B1690="","",ROW()-1)</f>
        <v/>
      </c>
      <c r="B1690" s="16"/>
      <c r="C1690" s="16"/>
      <c r="D1690" s="16"/>
      <c r="E1690" s="16"/>
      <c r="F1690" s="17"/>
      <c r="G1690" s="16"/>
      <c r="H1690" s="16"/>
      <c r="I1690" s="16"/>
      <c r="J1690" s="16"/>
      <c r="K1690" s="16"/>
      <c r="L1690" s="16"/>
      <c r="M1690" s="18" t="str">
        <f aca="false">IF(OR(C1690="",D1690=""),"",IF(MOD(COUNTIFS($C$2:C1690,C1690,$D$2:D1690,D1690)*7,10)&lt;3,"teste","treino"))</f>
        <v/>
      </c>
      <c r="N1690" s="16"/>
      <c r="O1690" s="16"/>
      <c r="P1690" s="16"/>
      <c r="Q1690" s="17"/>
    </row>
    <row r="1691" customFormat="false" ht="15" hidden="false" customHeight="false" outlineLevel="0" collapsed="false">
      <c r="A1691" s="15" t="str">
        <f aca="false">IF(B1691="","",ROW()-1)</f>
        <v/>
      </c>
      <c r="B1691" s="16"/>
      <c r="C1691" s="16"/>
      <c r="D1691" s="16"/>
      <c r="E1691" s="16"/>
      <c r="F1691" s="17"/>
      <c r="G1691" s="16"/>
      <c r="H1691" s="16"/>
      <c r="I1691" s="16"/>
      <c r="J1691" s="16"/>
      <c r="K1691" s="16"/>
      <c r="L1691" s="16"/>
      <c r="M1691" s="18" t="str">
        <f aca="false">IF(OR(C1691="",D1691=""),"",IF(MOD(COUNTIFS($C$2:C1691,C1691,$D$2:D1691,D1691)*7,10)&lt;3,"teste","treino"))</f>
        <v/>
      </c>
      <c r="N1691" s="16"/>
      <c r="O1691" s="16"/>
      <c r="P1691" s="16"/>
      <c r="Q1691" s="17"/>
    </row>
    <row r="1692" customFormat="false" ht="15" hidden="false" customHeight="false" outlineLevel="0" collapsed="false">
      <c r="A1692" s="15" t="str">
        <f aca="false">IF(B1692="","",ROW()-1)</f>
        <v/>
      </c>
      <c r="B1692" s="16"/>
      <c r="C1692" s="16"/>
      <c r="D1692" s="16"/>
      <c r="E1692" s="16"/>
      <c r="F1692" s="17"/>
      <c r="G1692" s="16"/>
      <c r="H1692" s="16"/>
      <c r="I1692" s="16"/>
      <c r="J1692" s="16"/>
      <c r="K1692" s="16"/>
      <c r="L1692" s="16"/>
      <c r="M1692" s="18" t="str">
        <f aca="false">IF(OR(C1692="",D1692=""),"",IF(MOD(COUNTIFS($C$2:C1692,C1692,$D$2:D1692,D1692)*7,10)&lt;3,"teste","treino"))</f>
        <v/>
      </c>
      <c r="N1692" s="16"/>
      <c r="O1692" s="16"/>
      <c r="P1692" s="16"/>
      <c r="Q1692" s="17"/>
    </row>
    <row r="1693" customFormat="false" ht="15" hidden="false" customHeight="false" outlineLevel="0" collapsed="false">
      <c r="A1693" s="15" t="str">
        <f aca="false">IF(B1693="","",ROW()-1)</f>
        <v/>
      </c>
      <c r="B1693" s="16"/>
      <c r="C1693" s="16"/>
      <c r="D1693" s="16"/>
      <c r="E1693" s="16"/>
      <c r="F1693" s="17"/>
      <c r="G1693" s="16"/>
      <c r="H1693" s="16"/>
      <c r="I1693" s="16"/>
      <c r="J1693" s="16"/>
      <c r="K1693" s="16"/>
      <c r="L1693" s="16"/>
      <c r="M1693" s="18" t="str">
        <f aca="false">IF(OR(C1693="",D1693=""),"",IF(MOD(COUNTIFS($C$2:C1693,C1693,$D$2:D1693,D1693)*7,10)&lt;3,"teste","treino"))</f>
        <v/>
      </c>
      <c r="N1693" s="16"/>
      <c r="O1693" s="16"/>
      <c r="P1693" s="16"/>
      <c r="Q1693" s="17"/>
    </row>
    <row r="1694" customFormat="false" ht="15" hidden="false" customHeight="false" outlineLevel="0" collapsed="false">
      <c r="A1694" s="15" t="str">
        <f aca="false">IF(B1694="","",ROW()-1)</f>
        <v/>
      </c>
      <c r="B1694" s="16"/>
      <c r="C1694" s="16"/>
      <c r="D1694" s="16"/>
      <c r="E1694" s="16"/>
      <c r="F1694" s="17"/>
      <c r="G1694" s="16"/>
      <c r="H1694" s="16"/>
      <c r="I1694" s="16"/>
      <c r="J1694" s="16"/>
      <c r="K1694" s="16"/>
      <c r="L1694" s="16"/>
      <c r="M1694" s="18" t="str">
        <f aca="false">IF(OR(C1694="",D1694=""),"",IF(MOD(COUNTIFS($C$2:C1694,C1694,$D$2:D1694,D1694)*7,10)&lt;3,"teste","treino"))</f>
        <v/>
      </c>
      <c r="N1694" s="16"/>
      <c r="O1694" s="16"/>
      <c r="P1694" s="16"/>
      <c r="Q1694" s="17"/>
    </row>
    <row r="1695" customFormat="false" ht="15" hidden="false" customHeight="false" outlineLevel="0" collapsed="false">
      <c r="A1695" s="15" t="str">
        <f aca="false">IF(B1695="","",ROW()-1)</f>
        <v/>
      </c>
      <c r="B1695" s="16"/>
      <c r="C1695" s="16"/>
      <c r="D1695" s="16"/>
      <c r="E1695" s="16"/>
      <c r="F1695" s="17"/>
      <c r="G1695" s="16"/>
      <c r="H1695" s="16"/>
      <c r="I1695" s="16"/>
      <c r="J1695" s="16"/>
      <c r="K1695" s="16"/>
      <c r="L1695" s="16"/>
      <c r="M1695" s="18" t="str">
        <f aca="false">IF(OR(C1695="",D1695=""),"",IF(MOD(COUNTIFS($C$2:C1695,C1695,$D$2:D1695,D1695)*7,10)&lt;3,"teste","treino"))</f>
        <v/>
      </c>
      <c r="N1695" s="16"/>
      <c r="O1695" s="16"/>
      <c r="P1695" s="16"/>
      <c r="Q1695" s="17"/>
    </row>
    <row r="1696" customFormat="false" ht="15" hidden="false" customHeight="false" outlineLevel="0" collapsed="false">
      <c r="A1696" s="15" t="str">
        <f aca="false">IF(B1696="","",ROW()-1)</f>
        <v/>
      </c>
      <c r="B1696" s="16"/>
      <c r="C1696" s="16"/>
      <c r="D1696" s="16"/>
      <c r="E1696" s="16"/>
      <c r="F1696" s="17"/>
      <c r="G1696" s="16"/>
      <c r="H1696" s="16"/>
      <c r="I1696" s="16"/>
      <c r="J1696" s="16"/>
      <c r="K1696" s="16"/>
      <c r="L1696" s="16"/>
      <c r="M1696" s="18" t="str">
        <f aca="false">IF(OR(C1696="",D1696=""),"",IF(MOD(COUNTIFS($C$2:C1696,C1696,$D$2:D1696,D1696)*7,10)&lt;3,"teste","treino"))</f>
        <v/>
      </c>
      <c r="N1696" s="16"/>
      <c r="O1696" s="16"/>
      <c r="P1696" s="16"/>
      <c r="Q1696" s="17"/>
    </row>
    <row r="1697" customFormat="false" ht="15" hidden="false" customHeight="false" outlineLevel="0" collapsed="false">
      <c r="A1697" s="15" t="str">
        <f aca="false">IF(B1697="","",ROW()-1)</f>
        <v/>
      </c>
      <c r="B1697" s="16"/>
      <c r="C1697" s="16"/>
      <c r="D1697" s="16"/>
      <c r="E1697" s="16"/>
      <c r="F1697" s="17"/>
      <c r="G1697" s="16"/>
      <c r="H1697" s="16"/>
      <c r="I1697" s="16"/>
      <c r="J1697" s="16"/>
      <c r="K1697" s="16"/>
      <c r="L1697" s="16"/>
      <c r="M1697" s="18" t="str">
        <f aca="false">IF(OR(C1697="",D1697=""),"",IF(MOD(COUNTIFS($C$2:C1697,C1697,$D$2:D1697,D1697)*7,10)&lt;3,"teste","treino"))</f>
        <v/>
      </c>
      <c r="N1697" s="16"/>
      <c r="O1697" s="16"/>
      <c r="P1697" s="16"/>
      <c r="Q1697" s="17"/>
    </row>
    <row r="1698" customFormat="false" ht="15" hidden="false" customHeight="false" outlineLevel="0" collapsed="false">
      <c r="A1698" s="15" t="str">
        <f aca="false">IF(B1698="","",ROW()-1)</f>
        <v/>
      </c>
      <c r="B1698" s="16"/>
      <c r="C1698" s="16"/>
      <c r="D1698" s="16"/>
      <c r="E1698" s="16"/>
      <c r="F1698" s="17"/>
      <c r="G1698" s="16"/>
      <c r="H1698" s="16"/>
      <c r="I1698" s="16"/>
      <c r="J1698" s="16"/>
      <c r="K1698" s="16"/>
      <c r="L1698" s="16"/>
      <c r="M1698" s="18" t="str">
        <f aca="false">IF(OR(C1698="",D1698=""),"",IF(MOD(COUNTIFS($C$2:C1698,C1698,$D$2:D1698,D1698)*7,10)&lt;3,"teste","treino"))</f>
        <v/>
      </c>
      <c r="N1698" s="16"/>
      <c r="O1698" s="16"/>
      <c r="P1698" s="16"/>
      <c r="Q1698" s="17"/>
    </row>
    <row r="1699" customFormat="false" ht="15" hidden="false" customHeight="false" outlineLevel="0" collapsed="false">
      <c r="A1699" s="15" t="str">
        <f aca="false">IF(B1699="","",ROW()-1)</f>
        <v/>
      </c>
      <c r="B1699" s="16"/>
      <c r="C1699" s="16"/>
      <c r="D1699" s="16"/>
      <c r="E1699" s="16"/>
      <c r="F1699" s="17"/>
      <c r="G1699" s="16"/>
      <c r="H1699" s="16"/>
      <c r="I1699" s="16"/>
      <c r="J1699" s="16"/>
      <c r="K1699" s="16"/>
      <c r="L1699" s="16"/>
      <c r="M1699" s="18" t="str">
        <f aca="false">IF(OR(C1699="",D1699=""),"",IF(MOD(COUNTIFS($C$2:C1699,C1699,$D$2:D1699,D1699)*7,10)&lt;3,"teste","treino"))</f>
        <v/>
      </c>
      <c r="N1699" s="16"/>
      <c r="O1699" s="16"/>
      <c r="P1699" s="16"/>
      <c r="Q1699" s="17"/>
    </row>
    <row r="1700" customFormat="false" ht="15" hidden="false" customHeight="false" outlineLevel="0" collapsed="false">
      <c r="A1700" s="15" t="str">
        <f aca="false">IF(B1700="","",ROW()-1)</f>
        <v/>
      </c>
      <c r="B1700" s="16"/>
      <c r="C1700" s="16"/>
      <c r="D1700" s="16"/>
      <c r="E1700" s="16"/>
      <c r="F1700" s="17"/>
      <c r="G1700" s="16"/>
      <c r="H1700" s="16"/>
      <c r="I1700" s="16"/>
      <c r="J1700" s="16"/>
      <c r="K1700" s="16"/>
      <c r="L1700" s="16"/>
      <c r="M1700" s="18" t="str">
        <f aca="false">IF(OR(C1700="",D1700=""),"",IF(MOD(COUNTIFS($C$2:C1700,C1700,$D$2:D1700,D1700)*7,10)&lt;3,"teste","treino"))</f>
        <v/>
      </c>
      <c r="N1700" s="16"/>
      <c r="O1700" s="16"/>
      <c r="P1700" s="16"/>
      <c r="Q1700" s="17"/>
    </row>
    <row r="1701" customFormat="false" ht="15" hidden="false" customHeight="false" outlineLevel="0" collapsed="false">
      <c r="A1701" s="15" t="str">
        <f aca="false">IF(B1701="","",ROW()-1)</f>
        <v/>
      </c>
      <c r="B1701" s="16"/>
      <c r="C1701" s="16"/>
      <c r="D1701" s="16"/>
      <c r="E1701" s="16"/>
      <c r="F1701" s="17"/>
      <c r="G1701" s="16"/>
      <c r="H1701" s="16"/>
      <c r="I1701" s="16"/>
      <c r="J1701" s="16"/>
      <c r="K1701" s="16"/>
      <c r="L1701" s="16"/>
      <c r="M1701" s="18" t="str">
        <f aca="false">IF(OR(C1701="",D1701=""),"",IF(MOD(COUNTIFS($C$2:C1701,C1701,$D$2:D1701,D1701)*7,10)&lt;3,"teste","treino"))</f>
        <v/>
      </c>
      <c r="N1701" s="16"/>
      <c r="O1701" s="16"/>
      <c r="P1701" s="16"/>
      <c r="Q1701" s="17"/>
    </row>
    <row r="1702" customFormat="false" ht="15" hidden="false" customHeight="false" outlineLevel="0" collapsed="false">
      <c r="A1702" s="15" t="str">
        <f aca="false">IF(B1702="","",ROW()-1)</f>
        <v/>
      </c>
      <c r="B1702" s="16"/>
      <c r="C1702" s="16"/>
      <c r="D1702" s="16"/>
      <c r="E1702" s="16"/>
      <c r="F1702" s="17"/>
      <c r="G1702" s="16"/>
      <c r="H1702" s="16"/>
      <c r="I1702" s="16"/>
      <c r="J1702" s="16"/>
      <c r="K1702" s="16"/>
      <c r="L1702" s="16"/>
      <c r="M1702" s="18" t="str">
        <f aca="false">IF(OR(C1702="",D1702=""),"",IF(MOD(COUNTIFS($C$2:C1702,C1702,$D$2:D1702,D1702)*7,10)&lt;3,"teste","treino"))</f>
        <v/>
      </c>
      <c r="N1702" s="16"/>
      <c r="O1702" s="16"/>
      <c r="P1702" s="16"/>
      <c r="Q1702" s="17"/>
    </row>
    <row r="1703" customFormat="false" ht="15" hidden="false" customHeight="false" outlineLevel="0" collapsed="false">
      <c r="A1703" s="15" t="str">
        <f aca="false">IF(B1703="","",ROW()-1)</f>
        <v/>
      </c>
      <c r="B1703" s="16"/>
      <c r="C1703" s="16"/>
      <c r="D1703" s="16"/>
      <c r="E1703" s="16"/>
      <c r="F1703" s="17"/>
      <c r="G1703" s="16"/>
      <c r="H1703" s="16"/>
      <c r="I1703" s="16"/>
      <c r="J1703" s="16"/>
      <c r="K1703" s="16"/>
      <c r="L1703" s="16"/>
      <c r="M1703" s="18" t="str">
        <f aca="false">IF(OR(C1703="",D1703=""),"",IF(MOD(COUNTIFS($C$2:C1703,C1703,$D$2:D1703,D1703)*7,10)&lt;3,"teste","treino"))</f>
        <v/>
      </c>
      <c r="N1703" s="16"/>
      <c r="O1703" s="16"/>
      <c r="P1703" s="16"/>
      <c r="Q1703" s="17"/>
    </row>
    <row r="1704" customFormat="false" ht="15" hidden="false" customHeight="false" outlineLevel="0" collapsed="false">
      <c r="A1704" s="15" t="str">
        <f aca="false">IF(B1704="","",ROW()-1)</f>
        <v/>
      </c>
      <c r="B1704" s="16"/>
      <c r="C1704" s="16"/>
      <c r="D1704" s="16"/>
      <c r="E1704" s="16"/>
      <c r="F1704" s="17"/>
      <c r="G1704" s="16"/>
      <c r="H1704" s="16"/>
      <c r="I1704" s="16"/>
      <c r="J1704" s="16"/>
      <c r="K1704" s="16"/>
      <c r="L1704" s="16"/>
      <c r="M1704" s="18" t="str">
        <f aca="false">IF(OR(C1704="",D1704=""),"",IF(MOD(COUNTIFS($C$2:C1704,C1704,$D$2:D1704,D1704)*7,10)&lt;3,"teste","treino"))</f>
        <v/>
      </c>
      <c r="N1704" s="16"/>
      <c r="O1704" s="16"/>
      <c r="P1704" s="16"/>
      <c r="Q1704" s="17"/>
    </row>
    <row r="1705" customFormat="false" ht="15" hidden="false" customHeight="false" outlineLevel="0" collapsed="false">
      <c r="A1705" s="15" t="str">
        <f aca="false">IF(B1705="","",ROW()-1)</f>
        <v/>
      </c>
      <c r="B1705" s="16"/>
      <c r="C1705" s="16"/>
      <c r="D1705" s="16"/>
      <c r="E1705" s="16"/>
      <c r="F1705" s="17"/>
      <c r="G1705" s="16"/>
      <c r="H1705" s="16"/>
      <c r="I1705" s="16"/>
      <c r="J1705" s="16"/>
      <c r="K1705" s="16"/>
      <c r="L1705" s="16"/>
      <c r="M1705" s="18" t="str">
        <f aca="false">IF(OR(C1705="",D1705=""),"",IF(MOD(COUNTIFS($C$2:C1705,C1705,$D$2:D1705,D1705)*7,10)&lt;3,"teste","treino"))</f>
        <v/>
      </c>
      <c r="N1705" s="16"/>
      <c r="O1705" s="16"/>
      <c r="P1705" s="16"/>
      <c r="Q1705" s="17"/>
    </row>
    <row r="1706" customFormat="false" ht="15" hidden="false" customHeight="false" outlineLevel="0" collapsed="false">
      <c r="A1706" s="15" t="str">
        <f aca="false">IF(B1706="","",ROW()-1)</f>
        <v/>
      </c>
      <c r="B1706" s="16"/>
      <c r="C1706" s="16"/>
      <c r="D1706" s="16"/>
      <c r="E1706" s="16"/>
      <c r="F1706" s="17"/>
      <c r="G1706" s="16"/>
      <c r="H1706" s="16"/>
      <c r="I1706" s="16"/>
      <c r="J1706" s="16"/>
      <c r="K1706" s="16"/>
      <c r="L1706" s="16"/>
      <c r="M1706" s="18" t="str">
        <f aca="false">IF(OR(C1706="",D1706=""),"",IF(MOD(COUNTIFS($C$2:C1706,C1706,$D$2:D1706,D1706)*7,10)&lt;3,"teste","treino"))</f>
        <v/>
      </c>
      <c r="N1706" s="16"/>
      <c r="O1706" s="16"/>
      <c r="P1706" s="16"/>
      <c r="Q1706" s="17"/>
    </row>
    <row r="1707" customFormat="false" ht="15" hidden="false" customHeight="false" outlineLevel="0" collapsed="false">
      <c r="A1707" s="15" t="str">
        <f aca="false">IF(B1707="","",ROW()-1)</f>
        <v/>
      </c>
      <c r="B1707" s="16"/>
      <c r="C1707" s="16"/>
      <c r="D1707" s="16"/>
      <c r="E1707" s="16"/>
      <c r="F1707" s="17"/>
      <c r="G1707" s="16"/>
      <c r="H1707" s="16"/>
      <c r="I1707" s="16"/>
      <c r="J1707" s="16"/>
      <c r="K1707" s="16"/>
      <c r="L1707" s="16"/>
      <c r="M1707" s="18" t="str">
        <f aca="false">IF(OR(C1707="",D1707=""),"",IF(MOD(COUNTIFS($C$2:C1707,C1707,$D$2:D1707,D1707)*7,10)&lt;3,"teste","treino"))</f>
        <v/>
      </c>
      <c r="N1707" s="16"/>
      <c r="O1707" s="16"/>
      <c r="P1707" s="16"/>
      <c r="Q1707" s="17"/>
    </row>
    <row r="1708" customFormat="false" ht="15" hidden="false" customHeight="false" outlineLevel="0" collapsed="false">
      <c r="A1708" s="15" t="str">
        <f aca="false">IF(B1708="","",ROW()-1)</f>
        <v/>
      </c>
      <c r="B1708" s="16"/>
      <c r="C1708" s="16"/>
      <c r="D1708" s="16"/>
      <c r="E1708" s="16"/>
      <c r="F1708" s="17"/>
      <c r="G1708" s="16"/>
      <c r="H1708" s="16"/>
      <c r="I1708" s="16"/>
      <c r="J1708" s="16"/>
      <c r="K1708" s="16"/>
      <c r="L1708" s="16"/>
      <c r="M1708" s="18" t="str">
        <f aca="false">IF(OR(C1708="",D1708=""),"",IF(MOD(COUNTIFS($C$2:C1708,C1708,$D$2:D1708,D1708)*7,10)&lt;3,"teste","treino"))</f>
        <v/>
      </c>
      <c r="N1708" s="16"/>
      <c r="O1708" s="16"/>
      <c r="P1708" s="16"/>
      <c r="Q1708" s="17"/>
    </row>
    <row r="1709" customFormat="false" ht="15" hidden="false" customHeight="false" outlineLevel="0" collapsed="false">
      <c r="A1709" s="15" t="str">
        <f aca="false">IF(B1709="","",ROW()-1)</f>
        <v/>
      </c>
      <c r="B1709" s="16"/>
      <c r="C1709" s="16"/>
      <c r="D1709" s="16"/>
      <c r="E1709" s="16"/>
      <c r="F1709" s="17"/>
      <c r="G1709" s="16"/>
      <c r="H1709" s="16"/>
      <c r="I1709" s="16"/>
      <c r="J1709" s="16"/>
      <c r="K1709" s="16"/>
      <c r="L1709" s="16"/>
      <c r="M1709" s="18" t="str">
        <f aca="false">IF(OR(C1709="",D1709=""),"",IF(MOD(COUNTIFS($C$2:C1709,C1709,$D$2:D1709,D1709)*7,10)&lt;3,"teste","treino"))</f>
        <v/>
      </c>
      <c r="N1709" s="16"/>
      <c r="O1709" s="16"/>
      <c r="P1709" s="16"/>
      <c r="Q1709" s="17"/>
    </row>
    <row r="1710" customFormat="false" ht="15" hidden="false" customHeight="false" outlineLevel="0" collapsed="false">
      <c r="A1710" s="15" t="str">
        <f aca="false">IF(B1710="","",ROW()-1)</f>
        <v/>
      </c>
      <c r="B1710" s="16"/>
      <c r="C1710" s="16"/>
      <c r="D1710" s="16"/>
      <c r="E1710" s="16"/>
      <c r="F1710" s="17"/>
      <c r="G1710" s="16"/>
      <c r="H1710" s="16"/>
      <c r="I1710" s="16"/>
      <c r="J1710" s="16"/>
      <c r="K1710" s="16"/>
      <c r="L1710" s="16"/>
      <c r="M1710" s="18" t="str">
        <f aca="false">IF(OR(C1710="",D1710=""),"",IF(MOD(COUNTIFS($C$2:C1710,C1710,$D$2:D1710,D1710)*7,10)&lt;3,"teste","treino"))</f>
        <v/>
      </c>
      <c r="N1710" s="16"/>
      <c r="O1710" s="16"/>
      <c r="P1710" s="16"/>
      <c r="Q1710" s="17"/>
    </row>
    <row r="1711" customFormat="false" ht="15" hidden="false" customHeight="false" outlineLevel="0" collapsed="false">
      <c r="A1711" s="15" t="str">
        <f aca="false">IF(B1711="","",ROW()-1)</f>
        <v/>
      </c>
      <c r="B1711" s="16"/>
      <c r="C1711" s="16"/>
      <c r="D1711" s="16"/>
      <c r="E1711" s="16"/>
      <c r="F1711" s="17"/>
      <c r="G1711" s="16"/>
      <c r="H1711" s="16"/>
      <c r="I1711" s="16"/>
      <c r="J1711" s="16"/>
      <c r="K1711" s="16"/>
      <c r="L1711" s="16"/>
      <c r="M1711" s="18" t="str">
        <f aca="false">IF(OR(C1711="",D1711=""),"",IF(MOD(COUNTIFS($C$2:C1711,C1711,$D$2:D1711,D1711)*7,10)&lt;3,"teste","treino"))</f>
        <v/>
      </c>
      <c r="N1711" s="16"/>
      <c r="O1711" s="16"/>
      <c r="P1711" s="16"/>
      <c r="Q1711" s="17"/>
    </row>
    <row r="1712" customFormat="false" ht="15" hidden="false" customHeight="false" outlineLevel="0" collapsed="false">
      <c r="A1712" s="15" t="str">
        <f aca="false">IF(B1712="","",ROW()-1)</f>
        <v/>
      </c>
      <c r="B1712" s="16"/>
      <c r="C1712" s="16"/>
      <c r="D1712" s="16"/>
      <c r="E1712" s="16"/>
      <c r="F1712" s="17"/>
      <c r="G1712" s="16"/>
      <c r="H1712" s="16"/>
      <c r="I1712" s="16"/>
      <c r="J1712" s="16"/>
      <c r="K1712" s="16"/>
      <c r="L1712" s="16"/>
      <c r="M1712" s="18" t="str">
        <f aca="false">IF(OR(C1712="",D1712=""),"",IF(MOD(COUNTIFS($C$2:C1712,C1712,$D$2:D1712,D1712)*7,10)&lt;3,"teste","treino"))</f>
        <v/>
      </c>
      <c r="N1712" s="16"/>
      <c r="O1712" s="16"/>
      <c r="P1712" s="16"/>
      <c r="Q1712" s="17"/>
    </row>
    <row r="1713" customFormat="false" ht="15" hidden="false" customHeight="false" outlineLevel="0" collapsed="false">
      <c r="A1713" s="15" t="str">
        <f aca="false">IF(B1713="","",ROW()-1)</f>
        <v/>
      </c>
      <c r="B1713" s="16"/>
      <c r="C1713" s="16"/>
      <c r="D1713" s="16"/>
      <c r="E1713" s="16"/>
      <c r="F1713" s="17"/>
      <c r="G1713" s="16"/>
      <c r="H1713" s="16"/>
      <c r="I1713" s="16"/>
      <c r="J1713" s="16"/>
      <c r="K1713" s="16"/>
      <c r="L1713" s="16"/>
      <c r="M1713" s="18" t="str">
        <f aca="false">IF(OR(C1713="",D1713=""),"",IF(MOD(COUNTIFS($C$2:C1713,C1713,$D$2:D1713,D1713)*7,10)&lt;3,"teste","treino"))</f>
        <v/>
      </c>
      <c r="N1713" s="16"/>
      <c r="O1713" s="16"/>
      <c r="P1713" s="16"/>
      <c r="Q1713" s="17"/>
    </row>
    <row r="1714" customFormat="false" ht="15" hidden="false" customHeight="false" outlineLevel="0" collapsed="false">
      <c r="A1714" s="15" t="str">
        <f aca="false">IF(B1714="","",ROW()-1)</f>
        <v/>
      </c>
      <c r="B1714" s="16"/>
      <c r="C1714" s="16"/>
      <c r="D1714" s="16"/>
      <c r="E1714" s="16"/>
      <c r="F1714" s="17"/>
      <c r="G1714" s="16"/>
      <c r="H1714" s="16"/>
      <c r="I1714" s="16"/>
      <c r="J1714" s="16"/>
      <c r="K1714" s="16"/>
      <c r="L1714" s="16"/>
      <c r="M1714" s="18" t="str">
        <f aca="false">IF(OR(C1714="",D1714=""),"",IF(MOD(COUNTIFS($C$2:C1714,C1714,$D$2:D1714,D1714)*7,10)&lt;3,"teste","treino"))</f>
        <v/>
      </c>
      <c r="N1714" s="16"/>
      <c r="O1714" s="16"/>
      <c r="P1714" s="16"/>
      <c r="Q1714" s="17"/>
    </row>
    <row r="1715" customFormat="false" ht="15" hidden="false" customHeight="false" outlineLevel="0" collapsed="false">
      <c r="A1715" s="15" t="str">
        <f aca="false">IF(B1715="","",ROW()-1)</f>
        <v/>
      </c>
      <c r="B1715" s="16"/>
      <c r="C1715" s="16"/>
      <c r="D1715" s="16"/>
      <c r="E1715" s="16"/>
      <c r="F1715" s="17"/>
      <c r="G1715" s="16"/>
      <c r="H1715" s="16"/>
      <c r="I1715" s="16"/>
      <c r="J1715" s="16"/>
      <c r="K1715" s="16"/>
      <c r="L1715" s="16"/>
      <c r="M1715" s="18" t="str">
        <f aca="false">IF(OR(C1715="",D1715=""),"",IF(MOD(COUNTIFS($C$2:C1715,C1715,$D$2:D1715,D1715)*7,10)&lt;3,"teste","treino"))</f>
        <v/>
      </c>
      <c r="N1715" s="16"/>
      <c r="O1715" s="16"/>
      <c r="P1715" s="16"/>
      <c r="Q1715" s="17"/>
    </row>
    <row r="1716" customFormat="false" ht="15" hidden="false" customHeight="false" outlineLevel="0" collapsed="false">
      <c r="A1716" s="15" t="str">
        <f aca="false">IF(B1716="","",ROW()-1)</f>
        <v/>
      </c>
      <c r="B1716" s="16"/>
      <c r="C1716" s="16"/>
      <c r="D1716" s="16"/>
      <c r="E1716" s="16"/>
      <c r="F1716" s="17"/>
      <c r="G1716" s="16"/>
      <c r="H1716" s="16"/>
      <c r="I1716" s="16"/>
      <c r="J1716" s="16"/>
      <c r="K1716" s="16"/>
      <c r="L1716" s="16"/>
      <c r="M1716" s="18" t="str">
        <f aca="false">IF(OR(C1716="",D1716=""),"",IF(MOD(COUNTIFS($C$2:C1716,C1716,$D$2:D1716,D1716)*7,10)&lt;3,"teste","treino"))</f>
        <v/>
      </c>
      <c r="N1716" s="16"/>
      <c r="O1716" s="16"/>
      <c r="P1716" s="16"/>
      <c r="Q1716" s="17"/>
    </row>
    <row r="1717" customFormat="false" ht="15" hidden="false" customHeight="false" outlineLevel="0" collapsed="false">
      <c r="A1717" s="15" t="str">
        <f aca="false">IF(B1717="","",ROW()-1)</f>
        <v/>
      </c>
      <c r="B1717" s="16"/>
      <c r="C1717" s="16"/>
      <c r="D1717" s="16"/>
      <c r="E1717" s="16"/>
      <c r="F1717" s="17"/>
      <c r="G1717" s="16"/>
      <c r="H1717" s="16"/>
      <c r="I1717" s="16"/>
      <c r="J1717" s="16"/>
      <c r="K1717" s="16"/>
      <c r="L1717" s="16"/>
      <c r="M1717" s="18" t="str">
        <f aca="false">IF(OR(C1717="",D1717=""),"",IF(MOD(COUNTIFS($C$2:C1717,C1717,$D$2:D1717,D1717)*7,10)&lt;3,"teste","treino"))</f>
        <v/>
      </c>
      <c r="N1717" s="16"/>
      <c r="O1717" s="16"/>
      <c r="P1717" s="16"/>
      <c r="Q1717" s="17"/>
    </row>
    <row r="1718" customFormat="false" ht="15" hidden="false" customHeight="false" outlineLevel="0" collapsed="false">
      <c r="A1718" s="15" t="str">
        <f aca="false">IF(B1718="","",ROW()-1)</f>
        <v/>
      </c>
      <c r="B1718" s="16"/>
      <c r="C1718" s="16"/>
      <c r="D1718" s="16"/>
      <c r="E1718" s="16"/>
      <c r="F1718" s="17"/>
      <c r="G1718" s="16"/>
      <c r="H1718" s="16"/>
      <c r="I1718" s="16"/>
      <c r="J1718" s="16"/>
      <c r="K1718" s="16"/>
      <c r="L1718" s="16"/>
      <c r="M1718" s="18" t="str">
        <f aca="false">IF(OR(C1718="",D1718=""),"",IF(MOD(COUNTIFS($C$2:C1718,C1718,$D$2:D1718,D1718)*7,10)&lt;3,"teste","treino"))</f>
        <v/>
      </c>
      <c r="N1718" s="16"/>
      <c r="O1718" s="16"/>
      <c r="P1718" s="16"/>
      <c r="Q1718" s="17"/>
    </row>
    <row r="1719" customFormat="false" ht="15" hidden="false" customHeight="false" outlineLevel="0" collapsed="false">
      <c r="A1719" s="15" t="str">
        <f aca="false">IF(B1719="","",ROW()-1)</f>
        <v/>
      </c>
      <c r="B1719" s="16"/>
      <c r="C1719" s="16"/>
      <c r="D1719" s="16"/>
      <c r="E1719" s="16"/>
      <c r="F1719" s="17"/>
      <c r="G1719" s="16"/>
      <c r="H1719" s="16"/>
      <c r="I1719" s="16"/>
      <c r="J1719" s="16"/>
      <c r="K1719" s="16"/>
      <c r="L1719" s="16"/>
      <c r="M1719" s="18" t="str">
        <f aca="false">IF(OR(C1719="",D1719=""),"",IF(MOD(COUNTIFS($C$2:C1719,C1719,$D$2:D1719,D1719)*7,10)&lt;3,"teste","treino"))</f>
        <v/>
      </c>
      <c r="N1719" s="16"/>
      <c r="O1719" s="16"/>
      <c r="P1719" s="16"/>
      <c r="Q1719" s="17"/>
    </row>
    <row r="1720" customFormat="false" ht="15" hidden="false" customHeight="false" outlineLevel="0" collapsed="false">
      <c r="A1720" s="15" t="str">
        <f aca="false">IF(B1720="","",ROW()-1)</f>
        <v/>
      </c>
      <c r="B1720" s="16"/>
      <c r="C1720" s="16"/>
      <c r="D1720" s="16"/>
      <c r="E1720" s="16"/>
      <c r="F1720" s="17"/>
      <c r="G1720" s="16"/>
      <c r="H1720" s="16"/>
      <c r="I1720" s="16"/>
      <c r="J1720" s="16"/>
      <c r="K1720" s="16"/>
      <c r="L1720" s="16"/>
      <c r="M1720" s="18" t="str">
        <f aca="false">IF(OR(C1720="",D1720=""),"",IF(MOD(COUNTIFS($C$2:C1720,C1720,$D$2:D1720,D1720)*7,10)&lt;3,"teste","treino"))</f>
        <v/>
      </c>
      <c r="N1720" s="16"/>
      <c r="O1720" s="16"/>
      <c r="P1720" s="16"/>
      <c r="Q1720" s="17"/>
    </row>
    <row r="1721" customFormat="false" ht="15" hidden="false" customHeight="false" outlineLevel="0" collapsed="false">
      <c r="A1721" s="15" t="str">
        <f aca="false">IF(B1721="","",ROW()-1)</f>
        <v/>
      </c>
      <c r="B1721" s="16"/>
      <c r="C1721" s="16"/>
      <c r="D1721" s="16"/>
      <c r="E1721" s="16"/>
      <c r="F1721" s="17"/>
      <c r="G1721" s="16"/>
      <c r="H1721" s="16"/>
      <c r="I1721" s="16"/>
      <c r="J1721" s="16"/>
      <c r="K1721" s="16"/>
      <c r="L1721" s="16"/>
      <c r="M1721" s="18" t="str">
        <f aca="false">IF(OR(C1721="",D1721=""),"",IF(MOD(COUNTIFS($C$2:C1721,C1721,$D$2:D1721,D1721)*7,10)&lt;3,"teste","treino"))</f>
        <v/>
      </c>
      <c r="N1721" s="16"/>
      <c r="O1721" s="16"/>
      <c r="P1721" s="16"/>
      <c r="Q1721" s="17"/>
    </row>
    <row r="1722" customFormat="false" ht="15" hidden="false" customHeight="false" outlineLevel="0" collapsed="false">
      <c r="A1722" s="15" t="str">
        <f aca="false">IF(B1722="","",ROW()-1)</f>
        <v/>
      </c>
      <c r="B1722" s="16"/>
      <c r="C1722" s="16"/>
      <c r="D1722" s="16"/>
      <c r="E1722" s="16"/>
      <c r="F1722" s="17"/>
      <c r="G1722" s="16"/>
      <c r="H1722" s="16"/>
      <c r="I1722" s="16"/>
      <c r="J1722" s="16"/>
      <c r="K1722" s="16"/>
      <c r="L1722" s="16"/>
      <c r="M1722" s="18" t="str">
        <f aca="false">IF(OR(C1722="",D1722=""),"",IF(MOD(COUNTIFS($C$2:C1722,C1722,$D$2:D1722,D1722)*7,10)&lt;3,"teste","treino"))</f>
        <v/>
      </c>
      <c r="N1722" s="16"/>
      <c r="O1722" s="16"/>
      <c r="P1722" s="16"/>
      <c r="Q1722" s="17"/>
    </row>
    <row r="1723" customFormat="false" ht="15" hidden="false" customHeight="false" outlineLevel="0" collapsed="false">
      <c r="A1723" s="15" t="str">
        <f aca="false">IF(B1723="","",ROW()-1)</f>
        <v/>
      </c>
      <c r="B1723" s="16"/>
      <c r="C1723" s="16"/>
      <c r="D1723" s="16"/>
      <c r="E1723" s="16"/>
      <c r="F1723" s="17"/>
      <c r="G1723" s="16"/>
      <c r="H1723" s="16"/>
      <c r="I1723" s="16"/>
      <c r="J1723" s="16"/>
      <c r="K1723" s="16"/>
      <c r="L1723" s="16"/>
      <c r="M1723" s="18" t="str">
        <f aca="false">IF(OR(C1723="",D1723=""),"",IF(MOD(COUNTIFS($C$2:C1723,C1723,$D$2:D1723,D1723)*7,10)&lt;3,"teste","treino"))</f>
        <v/>
      </c>
      <c r="N1723" s="16"/>
      <c r="O1723" s="16"/>
      <c r="P1723" s="16"/>
      <c r="Q1723" s="17"/>
    </row>
    <row r="1724" customFormat="false" ht="15" hidden="false" customHeight="false" outlineLevel="0" collapsed="false">
      <c r="A1724" s="15" t="str">
        <f aca="false">IF(B1724="","",ROW()-1)</f>
        <v/>
      </c>
      <c r="B1724" s="16"/>
      <c r="C1724" s="16"/>
      <c r="D1724" s="16"/>
      <c r="E1724" s="16"/>
      <c r="F1724" s="17"/>
      <c r="G1724" s="16"/>
      <c r="H1724" s="16"/>
      <c r="I1724" s="16"/>
      <c r="J1724" s="16"/>
      <c r="K1724" s="16"/>
      <c r="L1724" s="16"/>
      <c r="M1724" s="18" t="str">
        <f aca="false">IF(OR(C1724="",D1724=""),"",IF(MOD(COUNTIFS($C$2:C1724,C1724,$D$2:D1724,D1724)*7,10)&lt;3,"teste","treino"))</f>
        <v/>
      </c>
      <c r="N1724" s="16"/>
      <c r="O1724" s="16"/>
      <c r="P1724" s="16"/>
      <c r="Q1724" s="17"/>
    </row>
    <row r="1725" customFormat="false" ht="15" hidden="false" customHeight="false" outlineLevel="0" collapsed="false">
      <c r="A1725" s="15" t="str">
        <f aca="false">IF(B1725="","",ROW()-1)</f>
        <v/>
      </c>
      <c r="B1725" s="16"/>
      <c r="C1725" s="16"/>
      <c r="D1725" s="16"/>
      <c r="E1725" s="16"/>
      <c r="F1725" s="17"/>
      <c r="G1725" s="16"/>
      <c r="H1725" s="16"/>
      <c r="I1725" s="16"/>
      <c r="J1725" s="16"/>
      <c r="K1725" s="16"/>
      <c r="L1725" s="16"/>
      <c r="M1725" s="18" t="str">
        <f aca="false">IF(OR(C1725="",D1725=""),"",IF(MOD(COUNTIFS($C$2:C1725,C1725,$D$2:D1725,D1725)*7,10)&lt;3,"teste","treino"))</f>
        <v/>
      </c>
      <c r="N1725" s="16"/>
      <c r="O1725" s="16"/>
      <c r="P1725" s="16"/>
      <c r="Q1725" s="17"/>
    </row>
    <row r="1726" customFormat="false" ht="15" hidden="false" customHeight="false" outlineLevel="0" collapsed="false">
      <c r="A1726" s="15" t="str">
        <f aca="false">IF(B1726="","",ROW()-1)</f>
        <v/>
      </c>
      <c r="B1726" s="16"/>
      <c r="C1726" s="16"/>
      <c r="D1726" s="16"/>
      <c r="E1726" s="16"/>
      <c r="F1726" s="17"/>
      <c r="G1726" s="16"/>
      <c r="H1726" s="16"/>
      <c r="I1726" s="16"/>
      <c r="J1726" s="16"/>
      <c r="K1726" s="16"/>
      <c r="L1726" s="16"/>
      <c r="M1726" s="18" t="str">
        <f aca="false">IF(OR(C1726="",D1726=""),"",IF(MOD(COUNTIFS($C$2:C1726,C1726,$D$2:D1726,D1726)*7,10)&lt;3,"teste","treino"))</f>
        <v/>
      </c>
      <c r="N1726" s="16"/>
      <c r="O1726" s="16"/>
      <c r="P1726" s="16"/>
      <c r="Q1726" s="17"/>
    </row>
    <row r="1727" customFormat="false" ht="15" hidden="false" customHeight="false" outlineLevel="0" collapsed="false">
      <c r="A1727" s="15" t="str">
        <f aca="false">IF(B1727="","",ROW()-1)</f>
        <v/>
      </c>
      <c r="B1727" s="16"/>
      <c r="C1727" s="16"/>
      <c r="D1727" s="16"/>
      <c r="E1727" s="16"/>
      <c r="F1727" s="17"/>
      <c r="G1727" s="16"/>
      <c r="H1727" s="16"/>
      <c r="I1727" s="16"/>
      <c r="J1727" s="16"/>
      <c r="K1727" s="16"/>
      <c r="L1727" s="16"/>
      <c r="M1727" s="18" t="str">
        <f aca="false">IF(OR(C1727="",D1727=""),"",IF(MOD(COUNTIFS($C$2:C1727,C1727,$D$2:D1727,D1727)*7,10)&lt;3,"teste","treino"))</f>
        <v/>
      </c>
      <c r="N1727" s="16"/>
      <c r="O1727" s="16"/>
      <c r="P1727" s="16"/>
      <c r="Q1727" s="17"/>
    </row>
    <row r="1728" customFormat="false" ht="15" hidden="false" customHeight="false" outlineLevel="0" collapsed="false">
      <c r="A1728" s="15" t="str">
        <f aca="false">IF(B1728="","",ROW()-1)</f>
        <v/>
      </c>
      <c r="B1728" s="16"/>
      <c r="C1728" s="16"/>
      <c r="D1728" s="16"/>
      <c r="E1728" s="16"/>
      <c r="F1728" s="17"/>
      <c r="G1728" s="16"/>
      <c r="H1728" s="16"/>
      <c r="I1728" s="16"/>
      <c r="J1728" s="16"/>
      <c r="K1728" s="16"/>
      <c r="L1728" s="16"/>
      <c r="M1728" s="18" t="str">
        <f aca="false">IF(OR(C1728="",D1728=""),"",IF(MOD(COUNTIFS($C$2:C1728,C1728,$D$2:D1728,D1728)*7,10)&lt;3,"teste","treino"))</f>
        <v/>
      </c>
      <c r="N1728" s="16"/>
      <c r="O1728" s="16"/>
      <c r="P1728" s="16"/>
      <c r="Q1728" s="17"/>
    </row>
    <row r="1729" customFormat="false" ht="15" hidden="false" customHeight="false" outlineLevel="0" collapsed="false">
      <c r="A1729" s="15" t="str">
        <f aca="false">IF(B1729="","",ROW()-1)</f>
        <v/>
      </c>
      <c r="B1729" s="16"/>
      <c r="C1729" s="16"/>
      <c r="D1729" s="16"/>
      <c r="E1729" s="16"/>
      <c r="F1729" s="17"/>
      <c r="G1729" s="16"/>
      <c r="H1729" s="16"/>
      <c r="I1729" s="16"/>
      <c r="J1729" s="16"/>
      <c r="K1729" s="16"/>
      <c r="L1729" s="16"/>
      <c r="M1729" s="18" t="str">
        <f aca="false">IF(OR(C1729="",D1729=""),"",IF(MOD(COUNTIFS($C$2:C1729,C1729,$D$2:D1729,D1729)*7,10)&lt;3,"teste","treino"))</f>
        <v/>
      </c>
      <c r="N1729" s="16"/>
      <c r="O1729" s="16"/>
      <c r="P1729" s="16"/>
      <c r="Q1729" s="17"/>
    </row>
    <row r="1730" customFormat="false" ht="15" hidden="false" customHeight="false" outlineLevel="0" collapsed="false">
      <c r="A1730" s="15" t="str">
        <f aca="false">IF(B1730="","",ROW()-1)</f>
        <v/>
      </c>
      <c r="B1730" s="16"/>
      <c r="C1730" s="16"/>
      <c r="D1730" s="16"/>
      <c r="E1730" s="16"/>
      <c r="F1730" s="17"/>
      <c r="G1730" s="16"/>
      <c r="H1730" s="16"/>
      <c r="I1730" s="16"/>
      <c r="J1730" s="16"/>
      <c r="K1730" s="16"/>
      <c r="L1730" s="16"/>
      <c r="M1730" s="18" t="str">
        <f aca="false">IF(OR(C1730="",D1730=""),"",IF(MOD(COUNTIFS($C$2:C1730,C1730,$D$2:D1730,D1730)*7,10)&lt;3,"teste","treino"))</f>
        <v/>
      </c>
      <c r="N1730" s="16"/>
      <c r="O1730" s="16"/>
      <c r="P1730" s="16"/>
      <c r="Q1730" s="17"/>
    </row>
    <row r="1731" customFormat="false" ht="15" hidden="false" customHeight="false" outlineLevel="0" collapsed="false">
      <c r="A1731" s="15" t="str">
        <f aca="false">IF(B1731="","",ROW()-1)</f>
        <v/>
      </c>
      <c r="B1731" s="16"/>
      <c r="C1731" s="16"/>
      <c r="D1731" s="16"/>
      <c r="E1731" s="16"/>
      <c r="F1731" s="17"/>
      <c r="G1731" s="16"/>
      <c r="H1731" s="16"/>
      <c r="I1731" s="16"/>
      <c r="J1731" s="16"/>
      <c r="K1731" s="16"/>
      <c r="L1731" s="16"/>
      <c r="M1731" s="18" t="str">
        <f aca="false">IF(OR(C1731="",D1731=""),"",IF(MOD(COUNTIFS($C$2:C1731,C1731,$D$2:D1731,D1731)*7,10)&lt;3,"teste","treino"))</f>
        <v/>
      </c>
      <c r="N1731" s="16"/>
      <c r="O1731" s="16"/>
      <c r="P1731" s="16"/>
      <c r="Q1731" s="17"/>
    </row>
    <row r="1732" customFormat="false" ht="15" hidden="false" customHeight="false" outlineLevel="0" collapsed="false">
      <c r="A1732" s="15" t="str">
        <f aca="false">IF(B1732="","",ROW()-1)</f>
        <v/>
      </c>
      <c r="B1732" s="16"/>
      <c r="C1732" s="16"/>
      <c r="D1732" s="16"/>
      <c r="E1732" s="16"/>
      <c r="F1732" s="17"/>
      <c r="G1732" s="16"/>
      <c r="H1732" s="16"/>
      <c r="I1732" s="16"/>
      <c r="J1732" s="16"/>
      <c r="K1732" s="16"/>
      <c r="L1732" s="16"/>
      <c r="M1732" s="18" t="str">
        <f aca="false">IF(OR(C1732="",D1732=""),"",IF(MOD(COUNTIFS($C$2:C1732,C1732,$D$2:D1732,D1732)*7,10)&lt;3,"teste","treino"))</f>
        <v/>
      </c>
      <c r="N1732" s="16"/>
      <c r="O1732" s="16"/>
      <c r="P1732" s="16"/>
      <c r="Q1732" s="17"/>
    </row>
    <row r="1733" customFormat="false" ht="15" hidden="false" customHeight="false" outlineLevel="0" collapsed="false">
      <c r="A1733" s="15" t="str">
        <f aca="false">IF(B1733="","",ROW()-1)</f>
        <v/>
      </c>
      <c r="B1733" s="16"/>
      <c r="C1733" s="16"/>
      <c r="D1733" s="16"/>
      <c r="E1733" s="16"/>
      <c r="F1733" s="17"/>
      <c r="G1733" s="16"/>
      <c r="H1733" s="16"/>
      <c r="I1733" s="16"/>
      <c r="J1733" s="16"/>
      <c r="K1733" s="16"/>
      <c r="L1733" s="16"/>
      <c r="M1733" s="18" t="str">
        <f aca="false">IF(OR(C1733="",D1733=""),"",IF(MOD(COUNTIFS($C$2:C1733,C1733,$D$2:D1733,D1733)*7,10)&lt;3,"teste","treino"))</f>
        <v/>
      </c>
      <c r="N1733" s="16"/>
      <c r="O1733" s="16"/>
      <c r="P1733" s="16"/>
      <c r="Q1733" s="17"/>
    </row>
    <row r="1734" customFormat="false" ht="15" hidden="false" customHeight="false" outlineLevel="0" collapsed="false">
      <c r="A1734" s="15" t="str">
        <f aca="false">IF(B1734="","",ROW()-1)</f>
        <v/>
      </c>
      <c r="B1734" s="16"/>
      <c r="C1734" s="16"/>
      <c r="D1734" s="16"/>
      <c r="E1734" s="16"/>
      <c r="F1734" s="17"/>
      <c r="G1734" s="16"/>
      <c r="H1734" s="16"/>
      <c r="I1734" s="16"/>
      <c r="J1734" s="16"/>
      <c r="K1734" s="16"/>
      <c r="L1734" s="16"/>
      <c r="M1734" s="18" t="str">
        <f aca="false">IF(OR(C1734="",D1734=""),"",IF(MOD(COUNTIFS($C$2:C1734,C1734,$D$2:D1734,D1734)*7,10)&lt;3,"teste","treino"))</f>
        <v/>
      </c>
      <c r="N1734" s="16"/>
      <c r="O1734" s="16"/>
      <c r="P1734" s="16"/>
      <c r="Q1734" s="17"/>
    </row>
    <row r="1735" customFormat="false" ht="15" hidden="false" customHeight="false" outlineLevel="0" collapsed="false">
      <c r="A1735" s="15" t="str">
        <f aca="false">IF(B1735="","",ROW()-1)</f>
        <v/>
      </c>
      <c r="B1735" s="16"/>
      <c r="C1735" s="16"/>
      <c r="D1735" s="16"/>
      <c r="E1735" s="16"/>
      <c r="F1735" s="17"/>
      <c r="G1735" s="16"/>
      <c r="H1735" s="16"/>
      <c r="I1735" s="16"/>
      <c r="J1735" s="16"/>
      <c r="K1735" s="16"/>
      <c r="L1735" s="16"/>
      <c r="M1735" s="18" t="str">
        <f aca="false">IF(OR(C1735="",D1735=""),"",IF(MOD(COUNTIFS($C$2:C1735,C1735,$D$2:D1735,D1735)*7,10)&lt;3,"teste","treino"))</f>
        <v/>
      </c>
      <c r="N1735" s="16"/>
      <c r="O1735" s="16"/>
      <c r="P1735" s="16"/>
      <c r="Q1735" s="17"/>
    </row>
    <row r="1736" customFormat="false" ht="15" hidden="false" customHeight="false" outlineLevel="0" collapsed="false">
      <c r="A1736" s="15" t="str">
        <f aca="false">IF(B1736="","",ROW()-1)</f>
        <v/>
      </c>
      <c r="B1736" s="16"/>
      <c r="C1736" s="16"/>
      <c r="D1736" s="16"/>
      <c r="E1736" s="16"/>
      <c r="F1736" s="17"/>
      <c r="G1736" s="16"/>
      <c r="H1736" s="16"/>
      <c r="I1736" s="16"/>
      <c r="J1736" s="16"/>
      <c r="K1736" s="16"/>
      <c r="L1736" s="16"/>
      <c r="M1736" s="18" t="str">
        <f aca="false">IF(OR(C1736="",D1736=""),"",IF(MOD(COUNTIFS($C$2:C1736,C1736,$D$2:D1736,D1736)*7,10)&lt;3,"teste","treino"))</f>
        <v/>
      </c>
      <c r="N1736" s="16"/>
      <c r="O1736" s="16"/>
      <c r="P1736" s="16"/>
      <c r="Q1736" s="17"/>
    </row>
    <row r="1737" customFormat="false" ht="15" hidden="false" customHeight="false" outlineLevel="0" collapsed="false">
      <c r="A1737" s="15" t="str">
        <f aca="false">IF(B1737="","",ROW()-1)</f>
        <v/>
      </c>
      <c r="B1737" s="16"/>
      <c r="C1737" s="16"/>
      <c r="D1737" s="16"/>
      <c r="E1737" s="16"/>
      <c r="F1737" s="17"/>
      <c r="G1737" s="16"/>
      <c r="H1737" s="16"/>
      <c r="I1737" s="16"/>
      <c r="J1737" s="16"/>
      <c r="K1737" s="16"/>
      <c r="L1737" s="16"/>
      <c r="M1737" s="18" t="str">
        <f aca="false">IF(OR(C1737="",D1737=""),"",IF(MOD(COUNTIFS($C$2:C1737,C1737,$D$2:D1737,D1737)*7,10)&lt;3,"teste","treino"))</f>
        <v/>
      </c>
      <c r="N1737" s="16"/>
      <c r="O1737" s="16"/>
      <c r="P1737" s="16"/>
      <c r="Q1737" s="17"/>
    </row>
    <row r="1738" customFormat="false" ht="15" hidden="false" customHeight="false" outlineLevel="0" collapsed="false">
      <c r="A1738" s="15" t="str">
        <f aca="false">IF(B1738="","",ROW()-1)</f>
        <v/>
      </c>
      <c r="B1738" s="16"/>
      <c r="C1738" s="16"/>
      <c r="D1738" s="16"/>
      <c r="E1738" s="16"/>
      <c r="F1738" s="17"/>
      <c r="G1738" s="16"/>
      <c r="H1738" s="16"/>
      <c r="I1738" s="16"/>
      <c r="J1738" s="16"/>
      <c r="K1738" s="16"/>
      <c r="L1738" s="16"/>
      <c r="M1738" s="18" t="str">
        <f aca="false">IF(OR(C1738="",D1738=""),"",IF(MOD(COUNTIFS($C$2:C1738,C1738,$D$2:D1738,D1738)*7,10)&lt;3,"teste","treino"))</f>
        <v/>
      </c>
      <c r="N1738" s="16"/>
      <c r="O1738" s="16"/>
      <c r="P1738" s="16"/>
      <c r="Q1738" s="17"/>
    </row>
    <row r="1739" customFormat="false" ht="15" hidden="false" customHeight="false" outlineLevel="0" collapsed="false">
      <c r="A1739" s="15" t="str">
        <f aca="false">IF(B1739="","",ROW()-1)</f>
        <v/>
      </c>
      <c r="B1739" s="16"/>
      <c r="C1739" s="16"/>
      <c r="D1739" s="16"/>
      <c r="E1739" s="16"/>
      <c r="F1739" s="17"/>
      <c r="G1739" s="16"/>
      <c r="H1739" s="16"/>
      <c r="I1739" s="16"/>
      <c r="J1739" s="16"/>
      <c r="K1739" s="16"/>
      <c r="L1739" s="16"/>
      <c r="M1739" s="18" t="str">
        <f aca="false">IF(OR(C1739="",D1739=""),"",IF(MOD(COUNTIFS($C$2:C1739,C1739,$D$2:D1739,D1739)*7,10)&lt;3,"teste","treino"))</f>
        <v/>
      </c>
      <c r="N1739" s="16"/>
      <c r="O1739" s="16"/>
      <c r="P1739" s="16"/>
      <c r="Q1739" s="17"/>
    </row>
    <row r="1740" customFormat="false" ht="15" hidden="false" customHeight="false" outlineLevel="0" collapsed="false">
      <c r="A1740" s="15" t="str">
        <f aca="false">IF(B1740="","",ROW()-1)</f>
        <v/>
      </c>
      <c r="B1740" s="16"/>
      <c r="C1740" s="16"/>
      <c r="D1740" s="16"/>
      <c r="E1740" s="16"/>
      <c r="F1740" s="17"/>
      <c r="G1740" s="16"/>
      <c r="H1740" s="16"/>
      <c r="I1740" s="16"/>
      <c r="J1740" s="16"/>
      <c r="K1740" s="16"/>
      <c r="L1740" s="16"/>
      <c r="M1740" s="18" t="str">
        <f aca="false">IF(OR(C1740="",D1740=""),"",IF(MOD(COUNTIFS($C$2:C1740,C1740,$D$2:D1740,D1740)*7,10)&lt;3,"teste","treino"))</f>
        <v/>
      </c>
      <c r="N1740" s="16"/>
      <c r="O1740" s="16"/>
      <c r="P1740" s="16"/>
      <c r="Q1740" s="17"/>
    </row>
    <row r="1741" customFormat="false" ht="15" hidden="false" customHeight="false" outlineLevel="0" collapsed="false">
      <c r="A1741" s="15" t="str">
        <f aca="false">IF(B1741="","",ROW()-1)</f>
        <v/>
      </c>
      <c r="B1741" s="16"/>
      <c r="C1741" s="16"/>
      <c r="D1741" s="16"/>
      <c r="E1741" s="16"/>
      <c r="F1741" s="17"/>
      <c r="G1741" s="16"/>
      <c r="H1741" s="16"/>
      <c r="I1741" s="16"/>
      <c r="J1741" s="16"/>
      <c r="K1741" s="16"/>
      <c r="L1741" s="16"/>
      <c r="M1741" s="18" t="str">
        <f aca="false">IF(OR(C1741="",D1741=""),"",IF(MOD(COUNTIFS($C$2:C1741,C1741,$D$2:D1741,D1741)*7,10)&lt;3,"teste","treino"))</f>
        <v/>
      </c>
      <c r="N1741" s="16"/>
      <c r="O1741" s="16"/>
      <c r="P1741" s="16"/>
      <c r="Q1741" s="17"/>
    </row>
    <row r="1742" customFormat="false" ht="15" hidden="false" customHeight="false" outlineLevel="0" collapsed="false">
      <c r="A1742" s="15" t="str">
        <f aca="false">IF(B1742="","",ROW()-1)</f>
        <v/>
      </c>
      <c r="B1742" s="16"/>
      <c r="C1742" s="16"/>
      <c r="D1742" s="16"/>
      <c r="E1742" s="16"/>
      <c r="F1742" s="17"/>
      <c r="G1742" s="16"/>
      <c r="H1742" s="16"/>
      <c r="I1742" s="16"/>
      <c r="J1742" s="16"/>
      <c r="K1742" s="16"/>
      <c r="L1742" s="16"/>
      <c r="M1742" s="18" t="str">
        <f aca="false">IF(OR(C1742="",D1742=""),"",IF(MOD(COUNTIFS($C$2:C1742,C1742,$D$2:D1742,D1742)*7,10)&lt;3,"teste","treino"))</f>
        <v/>
      </c>
      <c r="N1742" s="16"/>
      <c r="O1742" s="16"/>
      <c r="P1742" s="16"/>
      <c r="Q1742" s="17"/>
    </row>
    <row r="1743" customFormat="false" ht="15" hidden="false" customHeight="false" outlineLevel="0" collapsed="false">
      <c r="A1743" s="15" t="str">
        <f aca="false">IF(B1743="","",ROW()-1)</f>
        <v/>
      </c>
      <c r="B1743" s="16"/>
      <c r="C1743" s="16"/>
      <c r="D1743" s="16"/>
      <c r="E1743" s="16"/>
      <c r="F1743" s="17"/>
      <c r="G1743" s="16"/>
      <c r="H1743" s="16"/>
      <c r="I1743" s="16"/>
      <c r="J1743" s="16"/>
      <c r="K1743" s="16"/>
      <c r="L1743" s="16"/>
      <c r="M1743" s="18" t="str">
        <f aca="false">IF(OR(C1743="",D1743=""),"",IF(MOD(COUNTIFS($C$2:C1743,C1743,$D$2:D1743,D1743)*7,10)&lt;3,"teste","treino"))</f>
        <v/>
      </c>
      <c r="N1743" s="16"/>
      <c r="O1743" s="16"/>
      <c r="P1743" s="16"/>
      <c r="Q1743" s="17"/>
    </row>
    <row r="1744" customFormat="false" ht="15" hidden="false" customHeight="false" outlineLevel="0" collapsed="false">
      <c r="A1744" s="15" t="str">
        <f aca="false">IF(B1744="","",ROW()-1)</f>
        <v/>
      </c>
      <c r="B1744" s="16"/>
      <c r="C1744" s="16"/>
      <c r="D1744" s="16"/>
      <c r="E1744" s="16"/>
      <c r="F1744" s="17"/>
      <c r="G1744" s="16"/>
      <c r="H1744" s="16"/>
      <c r="I1744" s="16"/>
      <c r="J1744" s="16"/>
      <c r="K1744" s="16"/>
      <c r="L1744" s="16"/>
      <c r="M1744" s="18" t="str">
        <f aca="false">IF(OR(C1744="",D1744=""),"",IF(MOD(COUNTIFS($C$2:C1744,C1744,$D$2:D1744,D1744)*7,10)&lt;3,"teste","treino"))</f>
        <v/>
      </c>
      <c r="N1744" s="16"/>
      <c r="O1744" s="16"/>
      <c r="P1744" s="16"/>
      <c r="Q1744" s="17"/>
    </row>
    <row r="1745" customFormat="false" ht="15" hidden="false" customHeight="false" outlineLevel="0" collapsed="false">
      <c r="A1745" s="15" t="str">
        <f aca="false">IF(B1745="","",ROW()-1)</f>
        <v/>
      </c>
      <c r="B1745" s="16"/>
      <c r="C1745" s="16"/>
      <c r="D1745" s="16"/>
      <c r="E1745" s="16"/>
      <c r="F1745" s="17"/>
      <c r="G1745" s="16"/>
      <c r="H1745" s="16"/>
      <c r="I1745" s="16"/>
      <c r="J1745" s="16"/>
      <c r="K1745" s="16"/>
      <c r="L1745" s="16"/>
      <c r="M1745" s="18" t="str">
        <f aca="false">IF(OR(C1745="",D1745=""),"",IF(MOD(COUNTIFS($C$2:C1745,C1745,$D$2:D1745,D1745)*7,10)&lt;3,"teste","treino"))</f>
        <v/>
      </c>
      <c r="N1745" s="16"/>
      <c r="O1745" s="16"/>
      <c r="P1745" s="16"/>
      <c r="Q1745" s="17"/>
    </row>
    <row r="1746" customFormat="false" ht="15" hidden="false" customHeight="false" outlineLevel="0" collapsed="false">
      <c r="A1746" s="15" t="str">
        <f aca="false">IF(B1746="","",ROW()-1)</f>
        <v/>
      </c>
      <c r="B1746" s="16"/>
      <c r="C1746" s="16"/>
      <c r="D1746" s="16"/>
      <c r="E1746" s="16"/>
      <c r="F1746" s="17"/>
      <c r="G1746" s="16"/>
      <c r="H1746" s="16"/>
      <c r="I1746" s="16"/>
      <c r="J1746" s="16"/>
      <c r="K1746" s="16"/>
      <c r="L1746" s="16"/>
      <c r="M1746" s="18" t="str">
        <f aca="false">IF(OR(C1746="",D1746=""),"",IF(MOD(COUNTIFS($C$2:C1746,C1746,$D$2:D1746,D1746)*7,10)&lt;3,"teste","treino"))</f>
        <v/>
      </c>
      <c r="N1746" s="16"/>
      <c r="O1746" s="16"/>
      <c r="P1746" s="16"/>
      <c r="Q1746" s="17"/>
    </row>
    <row r="1747" customFormat="false" ht="15" hidden="false" customHeight="false" outlineLevel="0" collapsed="false">
      <c r="A1747" s="15" t="str">
        <f aca="false">IF(B1747="","",ROW()-1)</f>
        <v/>
      </c>
      <c r="B1747" s="16"/>
      <c r="C1747" s="16"/>
      <c r="D1747" s="16"/>
      <c r="E1747" s="16"/>
      <c r="F1747" s="17"/>
      <c r="G1747" s="16"/>
      <c r="H1747" s="16"/>
      <c r="I1747" s="16"/>
      <c r="J1747" s="16"/>
      <c r="K1747" s="16"/>
      <c r="L1747" s="16"/>
      <c r="M1747" s="18" t="str">
        <f aca="false">IF(OR(C1747="",D1747=""),"",IF(MOD(COUNTIFS($C$2:C1747,C1747,$D$2:D1747,D1747)*7,10)&lt;3,"teste","treino"))</f>
        <v/>
      </c>
      <c r="N1747" s="16"/>
      <c r="O1747" s="16"/>
      <c r="P1747" s="16"/>
      <c r="Q1747" s="17"/>
    </row>
    <row r="1748" customFormat="false" ht="15" hidden="false" customHeight="false" outlineLevel="0" collapsed="false">
      <c r="A1748" s="15" t="str">
        <f aca="false">IF(B1748="","",ROW()-1)</f>
        <v/>
      </c>
      <c r="B1748" s="16"/>
      <c r="C1748" s="16"/>
      <c r="D1748" s="16"/>
      <c r="E1748" s="16"/>
      <c r="F1748" s="17"/>
      <c r="G1748" s="16"/>
      <c r="H1748" s="16"/>
      <c r="I1748" s="16"/>
      <c r="J1748" s="16"/>
      <c r="K1748" s="16"/>
      <c r="L1748" s="16"/>
      <c r="M1748" s="18" t="str">
        <f aca="false">IF(OR(C1748="",D1748=""),"",IF(MOD(COUNTIFS($C$2:C1748,C1748,$D$2:D1748,D1748)*7,10)&lt;3,"teste","treino"))</f>
        <v/>
      </c>
      <c r="N1748" s="16"/>
      <c r="O1748" s="16"/>
      <c r="P1748" s="16"/>
      <c r="Q1748" s="17"/>
    </row>
    <row r="1749" customFormat="false" ht="15" hidden="false" customHeight="false" outlineLevel="0" collapsed="false">
      <c r="A1749" s="15" t="str">
        <f aca="false">IF(B1749="","",ROW()-1)</f>
        <v/>
      </c>
      <c r="B1749" s="16"/>
      <c r="C1749" s="16"/>
      <c r="D1749" s="16"/>
      <c r="E1749" s="16"/>
      <c r="F1749" s="17"/>
      <c r="G1749" s="16"/>
      <c r="H1749" s="16"/>
      <c r="I1749" s="16"/>
      <c r="J1749" s="16"/>
      <c r="K1749" s="16"/>
      <c r="L1749" s="16"/>
      <c r="M1749" s="18" t="str">
        <f aca="false">IF(OR(C1749="",D1749=""),"",IF(MOD(COUNTIFS($C$2:C1749,C1749,$D$2:D1749,D1749)*7,10)&lt;3,"teste","treino"))</f>
        <v/>
      </c>
      <c r="N1749" s="16"/>
      <c r="O1749" s="16"/>
      <c r="P1749" s="16"/>
      <c r="Q1749" s="17"/>
    </row>
    <row r="1750" customFormat="false" ht="15" hidden="false" customHeight="false" outlineLevel="0" collapsed="false">
      <c r="A1750" s="15" t="str">
        <f aca="false">IF(B1750="","",ROW()-1)</f>
        <v/>
      </c>
      <c r="B1750" s="16"/>
      <c r="C1750" s="16"/>
      <c r="D1750" s="16"/>
      <c r="E1750" s="16"/>
      <c r="F1750" s="17"/>
      <c r="G1750" s="16"/>
      <c r="H1750" s="16"/>
      <c r="I1750" s="16"/>
      <c r="J1750" s="16"/>
      <c r="K1750" s="16"/>
      <c r="L1750" s="16"/>
      <c r="M1750" s="18" t="str">
        <f aca="false">IF(OR(C1750="",D1750=""),"",IF(MOD(COUNTIFS($C$2:C1750,C1750,$D$2:D1750,D1750)*7,10)&lt;3,"teste","treino"))</f>
        <v/>
      </c>
      <c r="N1750" s="16"/>
      <c r="O1750" s="16"/>
      <c r="P1750" s="16"/>
      <c r="Q1750" s="17"/>
    </row>
    <row r="1751" customFormat="false" ht="15" hidden="false" customHeight="false" outlineLevel="0" collapsed="false">
      <c r="A1751" s="15" t="str">
        <f aca="false">IF(B1751="","",ROW()-1)</f>
        <v/>
      </c>
      <c r="B1751" s="16"/>
      <c r="C1751" s="16"/>
      <c r="D1751" s="16"/>
      <c r="E1751" s="16"/>
      <c r="F1751" s="17"/>
      <c r="G1751" s="16"/>
      <c r="H1751" s="16"/>
      <c r="I1751" s="16"/>
      <c r="J1751" s="16"/>
      <c r="K1751" s="16"/>
      <c r="L1751" s="16"/>
      <c r="M1751" s="18" t="str">
        <f aca="false">IF(OR(C1751="",D1751=""),"",IF(MOD(COUNTIFS($C$2:C1751,C1751,$D$2:D1751,D1751)*7,10)&lt;3,"teste","treino"))</f>
        <v/>
      </c>
      <c r="N1751" s="16"/>
      <c r="O1751" s="16"/>
      <c r="P1751" s="16"/>
      <c r="Q1751" s="17"/>
    </row>
    <row r="1752" customFormat="false" ht="15" hidden="false" customHeight="false" outlineLevel="0" collapsed="false">
      <c r="A1752" s="15" t="str">
        <f aca="false">IF(B1752="","",ROW()-1)</f>
        <v/>
      </c>
      <c r="B1752" s="16"/>
      <c r="C1752" s="16"/>
      <c r="D1752" s="16"/>
      <c r="E1752" s="16"/>
      <c r="F1752" s="17"/>
      <c r="G1752" s="16"/>
      <c r="H1752" s="16"/>
      <c r="I1752" s="16"/>
      <c r="J1752" s="16"/>
      <c r="K1752" s="16"/>
      <c r="L1752" s="16"/>
      <c r="M1752" s="18" t="str">
        <f aca="false">IF(OR(C1752="",D1752=""),"",IF(MOD(COUNTIFS($C$2:C1752,C1752,$D$2:D1752,D1752)*7,10)&lt;3,"teste","treino"))</f>
        <v/>
      </c>
      <c r="N1752" s="16"/>
      <c r="O1752" s="16"/>
      <c r="P1752" s="16"/>
      <c r="Q1752" s="17"/>
    </row>
    <row r="1753" customFormat="false" ht="15" hidden="false" customHeight="false" outlineLevel="0" collapsed="false">
      <c r="A1753" s="15" t="str">
        <f aca="false">IF(B1753="","",ROW()-1)</f>
        <v/>
      </c>
      <c r="B1753" s="16"/>
      <c r="C1753" s="16"/>
      <c r="D1753" s="16"/>
      <c r="E1753" s="16"/>
      <c r="F1753" s="17"/>
      <c r="G1753" s="16"/>
      <c r="H1753" s="16"/>
      <c r="I1753" s="16"/>
      <c r="J1753" s="16"/>
      <c r="K1753" s="16"/>
      <c r="L1753" s="16"/>
      <c r="M1753" s="18" t="str">
        <f aca="false">IF(OR(C1753="",D1753=""),"",IF(MOD(COUNTIFS($C$2:C1753,C1753,$D$2:D1753,D1753)*7,10)&lt;3,"teste","treino"))</f>
        <v/>
      </c>
      <c r="N1753" s="16"/>
      <c r="O1753" s="16"/>
      <c r="P1753" s="16"/>
      <c r="Q1753" s="17"/>
    </row>
    <row r="1754" customFormat="false" ht="15" hidden="false" customHeight="false" outlineLevel="0" collapsed="false">
      <c r="A1754" s="15" t="str">
        <f aca="false">IF(B1754="","",ROW()-1)</f>
        <v/>
      </c>
      <c r="B1754" s="16"/>
      <c r="C1754" s="16"/>
      <c r="D1754" s="16"/>
      <c r="E1754" s="16"/>
      <c r="F1754" s="17"/>
      <c r="G1754" s="16"/>
      <c r="H1754" s="16"/>
      <c r="I1754" s="16"/>
      <c r="J1754" s="16"/>
      <c r="K1754" s="16"/>
      <c r="L1754" s="16"/>
      <c r="M1754" s="18" t="str">
        <f aca="false">IF(OR(C1754="",D1754=""),"",IF(MOD(COUNTIFS($C$2:C1754,C1754,$D$2:D1754,D1754)*7,10)&lt;3,"teste","treino"))</f>
        <v/>
      </c>
      <c r="N1754" s="16"/>
      <c r="O1754" s="16"/>
      <c r="P1754" s="16"/>
      <c r="Q1754" s="17"/>
    </row>
    <row r="1755" customFormat="false" ht="15" hidden="false" customHeight="false" outlineLevel="0" collapsed="false">
      <c r="A1755" s="15" t="str">
        <f aca="false">IF(B1755="","",ROW()-1)</f>
        <v/>
      </c>
      <c r="B1755" s="16"/>
      <c r="C1755" s="16"/>
      <c r="D1755" s="16"/>
      <c r="E1755" s="16"/>
      <c r="F1755" s="17"/>
      <c r="G1755" s="16"/>
      <c r="H1755" s="16"/>
      <c r="I1755" s="16"/>
      <c r="J1755" s="16"/>
      <c r="K1755" s="16"/>
      <c r="L1755" s="16"/>
      <c r="M1755" s="18" t="str">
        <f aca="false">IF(OR(C1755="",D1755=""),"",IF(MOD(COUNTIFS($C$2:C1755,C1755,$D$2:D1755,D1755)*7,10)&lt;3,"teste","treino"))</f>
        <v/>
      </c>
      <c r="N1755" s="16"/>
      <c r="O1755" s="16"/>
      <c r="P1755" s="16"/>
      <c r="Q1755" s="17"/>
    </row>
    <row r="1756" customFormat="false" ht="15" hidden="false" customHeight="false" outlineLevel="0" collapsed="false">
      <c r="A1756" s="15" t="str">
        <f aca="false">IF(B1756="","",ROW()-1)</f>
        <v/>
      </c>
      <c r="B1756" s="16"/>
      <c r="C1756" s="16"/>
      <c r="D1756" s="16"/>
      <c r="E1756" s="16"/>
      <c r="F1756" s="17"/>
      <c r="G1756" s="16"/>
      <c r="H1756" s="16"/>
      <c r="I1756" s="16"/>
      <c r="J1756" s="16"/>
      <c r="K1756" s="16"/>
      <c r="L1756" s="16"/>
      <c r="M1756" s="18" t="str">
        <f aca="false">IF(OR(C1756="",D1756=""),"",IF(MOD(COUNTIFS($C$2:C1756,C1756,$D$2:D1756,D1756)*7,10)&lt;3,"teste","treino"))</f>
        <v/>
      </c>
      <c r="N1756" s="16"/>
      <c r="O1756" s="16"/>
      <c r="P1756" s="16"/>
      <c r="Q1756" s="17"/>
    </row>
    <row r="1757" customFormat="false" ht="15" hidden="false" customHeight="false" outlineLevel="0" collapsed="false">
      <c r="A1757" s="15" t="str">
        <f aca="false">IF(B1757="","",ROW()-1)</f>
        <v/>
      </c>
      <c r="B1757" s="16"/>
      <c r="C1757" s="16"/>
      <c r="D1757" s="16"/>
      <c r="E1757" s="16"/>
      <c r="F1757" s="17"/>
      <c r="G1757" s="16"/>
      <c r="H1757" s="16"/>
      <c r="I1757" s="16"/>
      <c r="J1757" s="16"/>
      <c r="K1757" s="16"/>
      <c r="L1757" s="16"/>
      <c r="M1757" s="18" t="str">
        <f aca="false">IF(OR(C1757="",D1757=""),"",IF(MOD(COUNTIFS($C$2:C1757,C1757,$D$2:D1757,D1757)*7,10)&lt;3,"teste","treino"))</f>
        <v/>
      </c>
      <c r="N1757" s="16"/>
      <c r="O1757" s="16"/>
      <c r="P1757" s="16"/>
      <c r="Q1757" s="17"/>
    </row>
    <row r="1758" customFormat="false" ht="15" hidden="false" customHeight="false" outlineLevel="0" collapsed="false">
      <c r="A1758" s="15" t="str">
        <f aca="false">IF(B1758="","",ROW()-1)</f>
        <v/>
      </c>
      <c r="B1758" s="16"/>
      <c r="C1758" s="16"/>
      <c r="D1758" s="16"/>
      <c r="E1758" s="16"/>
      <c r="F1758" s="17"/>
      <c r="G1758" s="16"/>
      <c r="H1758" s="16"/>
      <c r="I1758" s="16"/>
      <c r="J1758" s="16"/>
      <c r="K1758" s="16"/>
      <c r="L1758" s="16"/>
      <c r="M1758" s="18" t="str">
        <f aca="false">IF(OR(C1758="",D1758=""),"",IF(MOD(COUNTIFS($C$2:C1758,C1758,$D$2:D1758,D1758)*7,10)&lt;3,"teste","treino"))</f>
        <v/>
      </c>
      <c r="N1758" s="16"/>
      <c r="O1758" s="16"/>
      <c r="P1758" s="16"/>
      <c r="Q1758" s="17"/>
    </row>
    <row r="1759" customFormat="false" ht="15" hidden="false" customHeight="false" outlineLevel="0" collapsed="false">
      <c r="A1759" s="15" t="str">
        <f aca="false">IF(B1759="","",ROW()-1)</f>
        <v/>
      </c>
      <c r="B1759" s="16"/>
      <c r="C1759" s="16"/>
      <c r="D1759" s="16"/>
      <c r="E1759" s="16"/>
      <c r="F1759" s="17"/>
      <c r="G1759" s="16"/>
      <c r="H1759" s="16"/>
      <c r="I1759" s="16"/>
      <c r="J1759" s="16"/>
      <c r="K1759" s="16"/>
      <c r="L1759" s="16"/>
      <c r="M1759" s="18" t="str">
        <f aca="false">IF(OR(C1759="",D1759=""),"",IF(MOD(COUNTIFS($C$2:C1759,C1759,$D$2:D1759,D1759)*7,10)&lt;3,"teste","treino"))</f>
        <v/>
      </c>
      <c r="N1759" s="16"/>
      <c r="O1759" s="16"/>
      <c r="P1759" s="16"/>
      <c r="Q1759" s="17"/>
    </row>
    <row r="1760" customFormat="false" ht="15" hidden="false" customHeight="false" outlineLevel="0" collapsed="false">
      <c r="A1760" s="15" t="str">
        <f aca="false">IF(B1760="","",ROW()-1)</f>
        <v/>
      </c>
      <c r="B1760" s="16"/>
      <c r="C1760" s="16"/>
      <c r="D1760" s="16"/>
      <c r="E1760" s="16"/>
      <c r="F1760" s="17"/>
      <c r="G1760" s="16"/>
      <c r="H1760" s="16"/>
      <c r="I1760" s="16"/>
      <c r="J1760" s="16"/>
      <c r="K1760" s="16"/>
      <c r="L1760" s="16"/>
      <c r="M1760" s="18" t="str">
        <f aca="false">IF(OR(C1760="",D1760=""),"",IF(MOD(COUNTIFS($C$2:C1760,C1760,$D$2:D1760,D1760)*7,10)&lt;3,"teste","treino"))</f>
        <v/>
      </c>
      <c r="N1760" s="16"/>
      <c r="O1760" s="16"/>
      <c r="P1760" s="16"/>
      <c r="Q1760" s="17"/>
    </row>
    <row r="1761" customFormat="false" ht="15" hidden="false" customHeight="false" outlineLevel="0" collapsed="false">
      <c r="A1761" s="15" t="str">
        <f aca="false">IF(B1761="","",ROW()-1)</f>
        <v/>
      </c>
      <c r="B1761" s="16"/>
      <c r="C1761" s="16"/>
      <c r="D1761" s="16"/>
      <c r="E1761" s="16"/>
      <c r="F1761" s="17"/>
      <c r="G1761" s="16"/>
      <c r="H1761" s="16"/>
      <c r="I1761" s="16"/>
      <c r="J1761" s="16"/>
      <c r="K1761" s="16"/>
      <c r="L1761" s="16"/>
      <c r="M1761" s="18" t="str">
        <f aca="false">IF(OR(C1761="",D1761=""),"",IF(MOD(COUNTIFS($C$2:C1761,C1761,$D$2:D1761,D1761)*7,10)&lt;3,"teste","treino"))</f>
        <v/>
      </c>
      <c r="N1761" s="16"/>
      <c r="O1761" s="16"/>
      <c r="P1761" s="16"/>
      <c r="Q1761" s="17"/>
    </row>
    <row r="1762" customFormat="false" ht="15" hidden="false" customHeight="false" outlineLevel="0" collapsed="false">
      <c r="A1762" s="15" t="str">
        <f aca="false">IF(B1762="","",ROW()-1)</f>
        <v/>
      </c>
      <c r="B1762" s="16"/>
      <c r="C1762" s="16"/>
      <c r="D1762" s="16"/>
      <c r="E1762" s="16"/>
      <c r="F1762" s="17"/>
      <c r="G1762" s="16"/>
      <c r="H1762" s="16"/>
      <c r="I1762" s="16"/>
      <c r="J1762" s="16"/>
      <c r="K1762" s="16"/>
      <c r="L1762" s="16"/>
      <c r="M1762" s="18" t="str">
        <f aca="false">IF(OR(C1762="",D1762=""),"",IF(MOD(COUNTIFS($C$2:C1762,C1762,$D$2:D1762,D1762)*7,10)&lt;3,"teste","treino"))</f>
        <v/>
      </c>
      <c r="N1762" s="16"/>
      <c r="O1762" s="16"/>
      <c r="P1762" s="16"/>
      <c r="Q1762" s="17"/>
    </row>
    <row r="1763" customFormat="false" ht="15" hidden="false" customHeight="false" outlineLevel="0" collapsed="false">
      <c r="A1763" s="15" t="str">
        <f aca="false">IF(B1763="","",ROW()-1)</f>
        <v/>
      </c>
      <c r="B1763" s="16"/>
      <c r="C1763" s="16"/>
      <c r="D1763" s="16"/>
      <c r="E1763" s="16"/>
      <c r="F1763" s="17"/>
      <c r="G1763" s="16"/>
      <c r="H1763" s="16"/>
      <c r="I1763" s="16"/>
      <c r="J1763" s="16"/>
      <c r="K1763" s="16"/>
      <c r="L1763" s="16"/>
      <c r="M1763" s="18" t="str">
        <f aca="false">IF(OR(C1763="",D1763=""),"",IF(MOD(COUNTIFS($C$2:C1763,C1763,$D$2:D1763,D1763)*7,10)&lt;3,"teste","treino"))</f>
        <v/>
      </c>
      <c r="N1763" s="16"/>
      <c r="O1763" s="16"/>
      <c r="P1763" s="16"/>
      <c r="Q1763" s="17"/>
    </row>
    <row r="1764" customFormat="false" ht="15" hidden="false" customHeight="false" outlineLevel="0" collapsed="false">
      <c r="A1764" s="15" t="str">
        <f aca="false">IF(B1764="","",ROW()-1)</f>
        <v/>
      </c>
      <c r="B1764" s="16"/>
      <c r="C1764" s="16"/>
      <c r="D1764" s="16"/>
      <c r="E1764" s="16"/>
      <c r="F1764" s="17"/>
      <c r="G1764" s="16"/>
      <c r="H1764" s="16"/>
      <c r="I1764" s="16"/>
      <c r="J1764" s="16"/>
      <c r="K1764" s="16"/>
      <c r="L1764" s="16"/>
      <c r="M1764" s="18" t="str">
        <f aca="false">IF(OR(C1764="",D1764=""),"",IF(MOD(COUNTIFS($C$2:C1764,C1764,$D$2:D1764,D1764)*7,10)&lt;3,"teste","treino"))</f>
        <v/>
      </c>
      <c r="N1764" s="16"/>
      <c r="O1764" s="16"/>
      <c r="P1764" s="16"/>
      <c r="Q1764" s="17"/>
    </row>
    <row r="1765" customFormat="false" ht="15" hidden="false" customHeight="false" outlineLevel="0" collapsed="false">
      <c r="A1765" s="15" t="str">
        <f aca="false">IF(B1765="","",ROW()-1)</f>
        <v/>
      </c>
      <c r="B1765" s="16"/>
      <c r="C1765" s="16"/>
      <c r="D1765" s="16"/>
      <c r="E1765" s="16"/>
      <c r="F1765" s="17"/>
      <c r="G1765" s="16"/>
      <c r="H1765" s="16"/>
      <c r="I1765" s="16"/>
      <c r="J1765" s="16"/>
      <c r="K1765" s="16"/>
      <c r="L1765" s="16"/>
      <c r="M1765" s="18" t="str">
        <f aca="false">IF(OR(C1765="",D1765=""),"",IF(MOD(COUNTIFS($C$2:C1765,C1765,$D$2:D1765,D1765)*7,10)&lt;3,"teste","treino"))</f>
        <v/>
      </c>
      <c r="N1765" s="16"/>
      <c r="O1765" s="16"/>
      <c r="P1765" s="16"/>
      <c r="Q1765" s="17"/>
    </row>
    <row r="1766" customFormat="false" ht="15" hidden="false" customHeight="false" outlineLevel="0" collapsed="false">
      <c r="A1766" s="15" t="str">
        <f aca="false">IF(B1766="","",ROW()-1)</f>
        <v/>
      </c>
      <c r="B1766" s="16"/>
      <c r="C1766" s="16"/>
      <c r="D1766" s="16"/>
      <c r="E1766" s="16"/>
      <c r="F1766" s="17"/>
      <c r="G1766" s="16"/>
      <c r="H1766" s="16"/>
      <c r="I1766" s="16"/>
      <c r="J1766" s="16"/>
      <c r="K1766" s="16"/>
      <c r="L1766" s="16"/>
      <c r="M1766" s="18" t="str">
        <f aca="false">IF(OR(C1766="",D1766=""),"",IF(MOD(COUNTIFS($C$2:C1766,C1766,$D$2:D1766,D1766)*7,10)&lt;3,"teste","treino"))</f>
        <v/>
      </c>
      <c r="N1766" s="16"/>
      <c r="O1766" s="16"/>
      <c r="P1766" s="16"/>
      <c r="Q1766" s="17"/>
    </row>
    <row r="1767" customFormat="false" ht="15" hidden="false" customHeight="false" outlineLevel="0" collapsed="false">
      <c r="A1767" s="15" t="str">
        <f aca="false">IF(B1767="","",ROW()-1)</f>
        <v/>
      </c>
      <c r="B1767" s="16"/>
      <c r="C1767" s="16"/>
      <c r="D1767" s="16"/>
      <c r="E1767" s="16"/>
      <c r="F1767" s="17"/>
      <c r="G1767" s="16"/>
      <c r="H1767" s="16"/>
      <c r="I1767" s="16"/>
      <c r="J1767" s="16"/>
      <c r="K1767" s="16"/>
      <c r="L1767" s="16"/>
      <c r="M1767" s="18" t="str">
        <f aca="false">IF(OR(C1767="",D1767=""),"",IF(MOD(COUNTIFS($C$2:C1767,C1767,$D$2:D1767,D1767)*7,10)&lt;3,"teste","treino"))</f>
        <v/>
      </c>
      <c r="N1767" s="16"/>
      <c r="O1767" s="16"/>
      <c r="P1767" s="16"/>
      <c r="Q1767" s="17"/>
    </row>
    <row r="1768" customFormat="false" ht="15" hidden="false" customHeight="false" outlineLevel="0" collapsed="false">
      <c r="A1768" s="15" t="str">
        <f aca="false">IF(B1768="","",ROW()-1)</f>
        <v/>
      </c>
      <c r="B1768" s="16"/>
      <c r="C1768" s="16"/>
      <c r="D1768" s="16"/>
      <c r="E1768" s="16"/>
      <c r="F1768" s="17"/>
      <c r="G1768" s="16"/>
      <c r="H1768" s="16"/>
      <c r="I1768" s="16"/>
      <c r="J1768" s="16"/>
      <c r="K1768" s="16"/>
      <c r="L1768" s="16"/>
      <c r="M1768" s="18" t="str">
        <f aca="false">IF(OR(C1768="",D1768=""),"",IF(MOD(COUNTIFS($C$2:C1768,C1768,$D$2:D1768,D1768)*7,10)&lt;3,"teste","treino"))</f>
        <v/>
      </c>
      <c r="N1768" s="16"/>
      <c r="O1768" s="16"/>
      <c r="P1768" s="16"/>
      <c r="Q1768" s="17"/>
    </row>
    <row r="1769" customFormat="false" ht="15" hidden="false" customHeight="false" outlineLevel="0" collapsed="false">
      <c r="A1769" s="15" t="str">
        <f aca="false">IF(B1769="","",ROW()-1)</f>
        <v/>
      </c>
      <c r="B1769" s="16"/>
      <c r="C1769" s="16"/>
      <c r="D1769" s="16"/>
      <c r="E1769" s="16"/>
      <c r="F1769" s="17"/>
      <c r="G1769" s="16"/>
      <c r="H1769" s="16"/>
      <c r="I1769" s="16"/>
      <c r="J1769" s="16"/>
      <c r="K1769" s="16"/>
      <c r="L1769" s="16"/>
      <c r="M1769" s="18" t="str">
        <f aca="false">IF(OR(C1769="",D1769=""),"",IF(MOD(COUNTIFS($C$2:C1769,C1769,$D$2:D1769,D1769)*7,10)&lt;3,"teste","treino"))</f>
        <v/>
      </c>
      <c r="N1769" s="16"/>
      <c r="O1769" s="16"/>
      <c r="P1769" s="16"/>
      <c r="Q1769" s="17"/>
    </row>
    <row r="1770" customFormat="false" ht="15" hidden="false" customHeight="false" outlineLevel="0" collapsed="false">
      <c r="A1770" s="15" t="str">
        <f aca="false">IF(B1770="","",ROW()-1)</f>
        <v/>
      </c>
      <c r="B1770" s="16"/>
      <c r="C1770" s="16"/>
      <c r="D1770" s="16"/>
      <c r="E1770" s="16"/>
      <c r="F1770" s="17"/>
      <c r="G1770" s="16"/>
      <c r="H1770" s="16"/>
      <c r="I1770" s="16"/>
      <c r="J1770" s="16"/>
      <c r="K1770" s="16"/>
      <c r="L1770" s="16"/>
      <c r="M1770" s="18" t="str">
        <f aca="false">IF(OR(C1770="",D1770=""),"",IF(MOD(COUNTIFS($C$2:C1770,C1770,$D$2:D1770,D1770)*7,10)&lt;3,"teste","treino"))</f>
        <v/>
      </c>
      <c r="N1770" s="16"/>
      <c r="O1770" s="16"/>
      <c r="P1770" s="16"/>
      <c r="Q1770" s="17"/>
    </row>
    <row r="1771" customFormat="false" ht="15" hidden="false" customHeight="false" outlineLevel="0" collapsed="false">
      <c r="A1771" s="15" t="str">
        <f aca="false">IF(B1771="","",ROW()-1)</f>
        <v/>
      </c>
      <c r="B1771" s="16"/>
      <c r="C1771" s="16"/>
      <c r="D1771" s="16"/>
      <c r="E1771" s="16"/>
      <c r="F1771" s="17"/>
      <c r="G1771" s="16"/>
      <c r="H1771" s="16"/>
      <c r="I1771" s="16"/>
      <c r="J1771" s="16"/>
      <c r="K1771" s="16"/>
      <c r="L1771" s="16"/>
      <c r="M1771" s="18" t="str">
        <f aca="false">IF(OR(C1771="",D1771=""),"",IF(MOD(COUNTIFS($C$2:C1771,C1771,$D$2:D1771,D1771)*7,10)&lt;3,"teste","treino"))</f>
        <v/>
      </c>
      <c r="N1771" s="16"/>
      <c r="O1771" s="16"/>
      <c r="P1771" s="16"/>
      <c r="Q1771" s="17"/>
    </row>
    <row r="1772" customFormat="false" ht="15" hidden="false" customHeight="false" outlineLevel="0" collapsed="false">
      <c r="A1772" s="15" t="str">
        <f aca="false">IF(B1772="","",ROW()-1)</f>
        <v/>
      </c>
      <c r="B1772" s="16"/>
      <c r="C1772" s="16"/>
      <c r="D1772" s="16"/>
      <c r="E1772" s="16"/>
      <c r="F1772" s="17"/>
      <c r="G1772" s="16"/>
      <c r="H1772" s="16"/>
      <c r="I1772" s="16"/>
      <c r="J1772" s="16"/>
      <c r="K1772" s="16"/>
      <c r="L1772" s="16"/>
      <c r="M1772" s="18" t="str">
        <f aca="false">IF(OR(C1772="",D1772=""),"",IF(MOD(COUNTIFS($C$2:C1772,C1772,$D$2:D1772,D1772)*7,10)&lt;3,"teste","treino"))</f>
        <v/>
      </c>
      <c r="N1772" s="16"/>
      <c r="O1772" s="16"/>
      <c r="P1772" s="16"/>
      <c r="Q1772" s="17"/>
    </row>
    <row r="1773" customFormat="false" ht="15" hidden="false" customHeight="false" outlineLevel="0" collapsed="false">
      <c r="A1773" s="15" t="str">
        <f aca="false">IF(B1773="","",ROW()-1)</f>
        <v/>
      </c>
      <c r="B1773" s="16"/>
      <c r="C1773" s="16"/>
      <c r="D1773" s="16"/>
      <c r="E1773" s="16"/>
      <c r="F1773" s="17"/>
      <c r="G1773" s="16"/>
      <c r="H1773" s="16"/>
      <c r="I1773" s="16"/>
      <c r="J1773" s="16"/>
      <c r="K1773" s="16"/>
      <c r="L1773" s="16"/>
      <c r="M1773" s="18" t="str">
        <f aca="false">IF(OR(C1773="",D1773=""),"",IF(MOD(COUNTIFS($C$2:C1773,C1773,$D$2:D1773,D1773)*7,10)&lt;3,"teste","treino"))</f>
        <v/>
      </c>
      <c r="N1773" s="16"/>
      <c r="O1773" s="16"/>
      <c r="P1773" s="16"/>
      <c r="Q1773" s="17"/>
    </row>
    <row r="1774" customFormat="false" ht="15" hidden="false" customHeight="false" outlineLevel="0" collapsed="false">
      <c r="A1774" s="15" t="str">
        <f aca="false">IF(B1774="","",ROW()-1)</f>
        <v/>
      </c>
      <c r="B1774" s="16"/>
      <c r="C1774" s="16"/>
      <c r="D1774" s="16"/>
      <c r="E1774" s="16"/>
      <c r="F1774" s="17"/>
      <c r="G1774" s="16"/>
      <c r="H1774" s="16"/>
      <c r="I1774" s="16"/>
      <c r="J1774" s="16"/>
      <c r="K1774" s="16"/>
      <c r="L1774" s="16"/>
      <c r="M1774" s="18" t="str">
        <f aca="false">IF(OR(C1774="",D1774=""),"",IF(MOD(COUNTIFS($C$2:C1774,C1774,$D$2:D1774,D1774)*7,10)&lt;3,"teste","treino"))</f>
        <v/>
      </c>
      <c r="N1774" s="16"/>
      <c r="O1774" s="16"/>
      <c r="P1774" s="16"/>
      <c r="Q1774" s="17"/>
    </row>
    <row r="1775" customFormat="false" ht="15" hidden="false" customHeight="false" outlineLevel="0" collapsed="false">
      <c r="A1775" s="15" t="str">
        <f aca="false">IF(B1775="","",ROW()-1)</f>
        <v/>
      </c>
      <c r="B1775" s="16"/>
      <c r="C1775" s="16"/>
      <c r="D1775" s="16"/>
      <c r="E1775" s="16"/>
      <c r="F1775" s="17"/>
      <c r="G1775" s="16"/>
      <c r="H1775" s="16"/>
      <c r="I1775" s="16"/>
      <c r="J1775" s="16"/>
      <c r="K1775" s="16"/>
      <c r="L1775" s="16"/>
      <c r="M1775" s="18" t="str">
        <f aca="false">IF(OR(C1775="",D1775=""),"",IF(MOD(COUNTIFS($C$2:C1775,C1775,$D$2:D1775,D1775)*7,10)&lt;3,"teste","treino"))</f>
        <v/>
      </c>
      <c r="N1775" s="16"/>
      <c r="O1775" s="16"/>
      <c r="P1775" s="16"/>
      <c r="Q1775" s="17"/>
    </row>
    <row r="1776" customFormat="false" ht="15" hidden="false" customHeight="false" outlineLevel="0" collapsed="false">
      <c r="A1776" s="15" t="str">
        <f aca="false">IF(B1776="","",ROW()-1)</f>
        <v/>
      </c>
      <c r="B1776" s="16"/>
      <c r="C1776" s="16"/>
      <c r="D1776" s="16"/>
      <c r="E1776" s="16"/>
      <c r="F1776" s="17"/>
      <c r="G1776" s="16"/>
      <c r="H1776" s="16"/>
      <c r="I1776" s="16"/>
      <c r="J1776" s="16"/>
      <c r="K1776" s="16"/>
      <c r="L1776" s="16"/>
      <c r="M1776" s="18" t="str">
        <f aca="false">IF(OR(C1776="",D1776=""),"",IF(MOD(COUNTIFS($C$2:C1776,C1776,$D$2:D1776,D1776)*7,10)&lt;3,"teste","treino"))</f>
        <v/>
      </c>
      <c r="N1776" s="16"/>
      <c r="O1776" s="16"/>
      <c r="P1776" s="16"/>
      <c r="Q1776" s="17"/>
    </row>
    <row r="1777" customFormat="false" ht="15" hidden="false" customHeight="false" outlineLevel="0" collapsed="false">
      <c r="A1777" s="15" t="str">
        <f aca="false">IF(B1777="","",ROW()-1)</f>
        <v/>
      </c>
      <c r="B1777" s="16"/>
      <c r="C1777" s="16"/>
      <c r="D1777" s="16"/>
      <c r="E1777" s="16"/>
      <c r="F1777" s="17"/>
      <c r="G1777" s="16"/>
      <c r="H1777" s="16"/>
      <c r="I1777" s="16"/>
      <c r="J1777" s="16"/>
      <c r="K1777" s="16"/>
      <c r="L1777" s="16"/>
      <c r="M1777" s="18" t="str">
        <f aca="false">IF(OR(C1777="",D1777=""),"",IF(MOD(COUNTIFS($C$2:C1777,C1777,$D$2:D1777,D1777)*7,10)&lt;3,"teste","treino"))</f>
        <v/>
      </c>
      <c r="N1777" s="16"/>
      <c r="O1777" s="16"/>
      <c r="P1777" s="16"/>
      <c r="Q1777" s="17"/>
    </row>
    <row r="1778" customFormat="false" ht="15" hidden="false" customHeight="false" outlineLevel="0" collapsed="false">
      <c r="A1778" s="15" t="str">
        <f aca="false">IF(B1778="","",ROW()-1)</f>
        <v/>
      </c>
      <c r="B1778" s="16"/>
      <c r="C1778" s="16"/>
      <c r="D1778" s="16"/>
      <c r="E1778" s="16"/>
      <c r="F1778" s="17"/>
      <c r="G1778" s="16"/>
      <c r="H1778" s="16"/>
      <c r="I1778" s="16"/>
      <c r="J1778" s="16"/>
      <c r="K1778" s="16"/>
      <c r="L1778" s="16"/>
      <c r="M1778" s="18" t="str">
        <f aca="false">IF(OR(C1778="",D1778=""),"",IF(MOD(COUNTIFS($C$2:C1778,C1778,$D$2:D1778,D1778)*7,10)&lt;3,"teste","treino"))</f>
        <v/>
      </c>
      <c r="N1778" s="16"/>
      <c r="O1778" s="16"/>
      <c r="P1778" s="16"/>
      <c r="Q1778" s="17"/>
    </row>
    <row r="1779" customFormat="false" ht="15" hidden="false" customHeight="false" outlineLevel="0" collapsed="false">
      <c r="A1779" s="15" t="str">
        <f aca="false">IF(B1779="","",ROW()-1)</f>
        <v/>
      </c>
      <c r="B1779" s="16"/>
      <c r="C1779" s="16"/>
      <c r="D1779" s="16"/>
      <c r="E1779" s="16"/>
      <c r="F1779" s="17"/>
      <c r="G1779" s="16"/>
      <c r="H1779" s="16"/>
      <c r="I1779" s="16"/>
      <c r="J1779" s="16"/>
      <c r="K1779" s="16"/>
      <c r="L1779" s="16"/>
      <c r="M1779" s="18" t="str">
        <f aca="false">IF(OR(C1779="",D1779=""),"",IF(MOD(COUNTIFS($C$2:C1779,C1779,$D$2:D1779,D1779)*7,10)&lt;3,"teste","treino"))</f>
        <v/>
      </c>
      <c r="N1779" s="16"/>
      <c r="O1779" s="16"/>
      <c r="P1779" s="16"/>
      <c r="Q1779" s="17"/>
    </row>
    <row r="1780" customFormat="false" ht="15" hidden="false" customHeight="false" outlineLevel="0" collapsed="false">
      <c r="A1780" s="15" t="str">
        <f aca="false">IF(B1780="","",ROW()-1)</f>
        <v/>
      </c>
      <c r="B1780" s="16"/>
      <c r="C1780" s="16"/>
      <c r="D1780" s="16"/>
      <c r="E1780" s="16"/>
      <c r="F1780" s="17"/>
      <c r="G1780" s="16"/>
      <c r="H1780" s="16"/>
      <c r="I1780" s="16"/>
      <c r="J1780" s="16"/>
      <c r="K1780" s="16"/>
      <c r="L1780" s="16"/>
      <c r="M1780" s="18" t="str">
        <f aca="false">IF(OR(C1780="",D1780=""),"",IF(MOD(COUNTIFS($C$2:C1780,C1780,$D$2:D1780,D1780)*7,10)&lt;3,"teste","treino"))</f>
        <v/>
      </c>
      <c r="N1780" s="16"/>
      <c r="O1780" s="16"/>
      <c r="P1780" s="16"/>
      <c r="Q1780" s="17"/>
    </row>
    <row r="1781" customFormat="false" ht="15" hidden="false" customHeight="false" outlineLevel="0" collapsed="false">
      <c r="A1781" s="15" t="str">
        <f aca="false">IF(B1781="","",ROW()-1)</f>
        <v/>
      </c>
      <c r="B1781" s="16"/>
      <c r="C1781" s="16"/>
      <c r="D1781" s="16"/>
      <c r="E1781" s="16"/>
      <c r="F1781" s="17"/>
      <c r="G1781" s="16"/>
      <c r="H1781" s="16"/>
      <c r="I1781" s="16"/>
      <c r="J1781" s="16"/>
      <c r="K1781" s="16"/>
      <c r="L1781" s="16"/>
      <c r="M1781" s="18" t="str">
        <f aca="false">IF(OR(C1781="",D1781=""),"",IF(MOD(COUNTIFS($C$2:C1781,C1781,$D$2:D1781,D1781)*7,10)&lt;3,"teste","treino"))</f>
        <v/>
      </c>
      <c r="N1781" s="16"/>
      <c r="O1781" s="16"/>
      <c r="P1781" s="16"/>
      <c r="Q1781" s="17"/>
    </row>
    <row r="1782" customFormat="false" ht="15" hidden="false" customHeight="false" outlineLevel="0" collapsed="false">
      <c r="A1782" s="15" t="str">
        <f aca="false">IF(B1782="","",ROW()-1)</f>
        <v/>
      </c>
      <c r="B1782" s="16"/>
      <c r="C1782" s="16"/>
      <c r="D1782" s="16"/>
      <c r="E1782" s="16"/>
      <c r="F1782" s="17"/>
      <c r="G1782" s="16"/>
      <c r="H1782" s="16"/>
      <c r="I1782" s="16"/>
      <c r="J1782" s="16"/>
      <c r="K1782" s="16"/>
      <c r="L1782" s="16"/>
      <c r="M1782" s="18" t="str">
        <f aca="false">IF(OR(C1782="",D1782=""),"",IF(MOD(COUNTIFS($C$2:C1782,C1782,$D$2:D1782,D1782)*7,10)&lt;3,"teste","treino"))</f>
        <v/>
      </c>
      <c r="N1782" s="16"/>
      <c r="O1782" s="16"/>
      <c r="P1782" s="16"/>
      <c r="Q1782" s="17"/>
    </row>
    <row r="1783" customFormat="false" ht="15" hidden="false" customHeight="false" outlineLevel="0" collapsed="false">
      <c r="A1783" s="15" t="str">
        <f aca="false">IF(B1783="","",ROW()-1)</f>
        <v/>
      </c>
      <c r="B1783" s="16"/>
      <c r="C1783" s="16"/>
      <c r="D1783" s="16"/>
      <c r="E1783" s="16"/>
      <c r="F1783" s="17"/>
      <c r="G1783" s="16"/>
      <c r="H1783" s="16"/>
      <c r="I1783" s="16"/>
      <c r="J1783" s="16"/>
      <c r="K1783" s="16"/>
      <c r="L1783" s="16"/>
      <c r="M1783" s="18" t="str">
        <f aca="false">IF(OR(C1783="",D1783=""),"",IF(MOD(COUNTIFS($C$2:C1783,C1783,$D$2:D1783,D1783)*7,10)&lt;3,"teste","treino"))</f>
        <v/>
      </c>
      <c r="N1783" s="16"/>
      <c r="O1783" s="16"/>
      <c r="P1783" s="16"/>
      <c r="Q1783" s="17"/>
    </row>
    <row r="1784" customFormat="false" ht="15" hidden="false" customHeight="false" outlineLevel="0" collapsed="false">
      <c r="A1784" s="15" t="str">
        <f aca="false">IF(B1784="","",ROW()-1)</f>
        <v/>
      </c>
      <c r="B1784" s="16"/>
      <c r="C1784" s="16"/>
      <c r="D1784" s="16"/>
      <c r="E1784" s="16"/>
      <c r="F1784" s="17"/>
      <c r="G1784" s="16"/>
      <c r="H1784" s="16"/>
      <c r="I1784" s="16"/>
      <c r="J1784" s="16"/>
      <c r="K1784" s="16"/>
      <c r="L1784" s="16"/>
      <c r="M1784" s="18" t="str">
        <f aca="false">IF(OR(C1784="",D1784=""),"",IF(MOD(COUNTIFS($C$2:C1784,C1784,$D$2:D1784,D1784)*7,10)&lt;3,"teste","treino"))</f>
        <v/>
      </c>
      <c r="N1784" s="16"/>
      <c r="O1784" s="16"/>
      <c r="P1784" s="16"/>
      <c r="Q1784" s="17"/>
    </row>
    <row r="1785" customFormat="false" ht="15" hidden="false" customHeight="false" outlineLevel="0" collapsed="false">
      <c r="A1785" s="15" t="str">
        <f aca="false">IF(B1785="","",ROW()-1)</f>
        <v/>
      </c>
      <c r="B1785" s="16"/>
      <c r="C1785" s="16"/>
      <c r="D1785" s="16"/>
      <c r="E1785" s="16"/>
      <c r="F1785" s="17"/>
      <c r="G1785" s="16"/>
      <c r="H1785" s="16"/>
      <c r="I1785" s="16"/>
      <c r="J1785" s="16"/>
      <c r="K1785" s="16"/>
      <c r="L1785" s="16"/>
      <c r="M1785" s="18" t="str">
        <f aca="false">IF(OR(C1785="",D1785=""),"",IF(MOD(COUNTIFS($C$2:C1785,C1785,$D$2:D1785,D1785)*7,10)&lt;3,"teste","treino"))</f>
        <v/>
      </c>
      <c r="N1785" s="16"/>
      <c r="O1785" s="16"/>
      <c r="P1785" s="16"/>
      <c r="Q1785" s="17"/>
    </row>
    <row r="1786" customFormat="false" ht="15" hidden="false" customHeight="false" outlineLevel="0" collapsed="false">
      <c r="A1786" s="15" t="str">
        <f aca="false">IF(B1786="","",ROW()-1)</f>
        <v/>
      </c>
      <c r="B1786" s="16"/>
      <c r="C1786" s="16"/>
      <c r="D1786" s="16"/>
      <c r="E1786" s="16"/>
      <c r="F1786" s="17"/>
      <c r="G1786" s="16"/>
      <c r="H1786" s="16"/>
      <c r="I1786" s="16"/>
      <c r="J1786" s="16"/>
      <c r="K1786" s="16"/>
      <c r="L1786" s="16"/>
      <c r="M1786" s="18" t="str">
        <f aca="false">IF(OR(C1786="",D1786=""),"",IF(MOD(COUNTIFS($C$2:C1786,C1786,$D$2:D1786,D1786)*7,10)&lt;3,"teste","treino"))</f>
        <v/>
      </c>
      <c r="N1786" s="16"/>
      <c r="O1786" s="16"/>
      <c r="P1786" s="16"/>
      <c r="Q1786" s="17"/>
    </row>
    <row r="1787" customFormat="false" ht="15" hidden="false" customHeight="false" outlineLevel="0" collapsed="false">
      <c r="A1787" s="15" t="str">
        <f aca="false">IF(B1787="","",ROW()-1)</f>
        <v/>
      </c>
      <c r="B1787" s="16"/>
      <c r="C1787" s="16"/>
      <c r="D1787" s="16"/>
      <c r="E1787" s="16"/>
      <c r="F1787" s="17"/>
      <c r="G1787" s="16"/>
      <c r="H1787" s="16"/>
      <c r="I1787" s="16"/>
      <c r="J1787" s="16"/>
      <c r="K1787" s="16"/>
      <c r="L1787" s="16"/>
      <c r="M1787" s="18" t="str">
        <f aca="false">IF(OR(C1787="",D1787=""),"",IF(MOD(COUNTIFS($C$2:C1787,C1787,$D$2:D1787,D1787)*7,10)&lt;3,"teste","treino"))</f>
        <v/>
      </c>
      <c r="N1787" s="16"/>
      <c r="O1787" s="16"/>
      <c r="P1787" s="16"/>
      <c r="Q1787" s="17"/>
    </row>
    <row r="1788" customFormat="false" ht="15" hidden="false" customHeight="false" outlineLevel="0" collapsed="false">
      <c r="A1788" s="15" t="str">
        <f aca="false">IF(B1788="","",ROW()-1)</f>
        <v/>
      </c>
      <c r="B1788" s="16"/>
      <c r="C1788" s="16"/>
      <c r="D1788" s="16"/>
      <c r="E1788" s="16"/>
      <c r="F1788" s="17"/>
      <c r="G1788" s="16"/>
      <c r="H1788" s="16"/>
      <c r="I1788" s="16"/>
      <c r="J1788" s="16"/>
      <c r="K1788" s="16"/>
      <c r="L1788" s="16"/>
      <c r="M1788" s="18" t="str">
        <f aca="false">IF(OR(C1788="",D1788=""),"",IF(MOD(COUNTIFS($C$2:C1788,C1788,$D$2:D1788,D1788)*7,10)&lt;3,"teste","treino"))</f>
        <v/>
      </c>
      <c r="N1788" s="16"/>
      <c r="O1788" s="16"/>
      <c r="P1788" s="16"/>
      <c r="Q1788" s="17"/>
    </row>
    <row r="1789" customFormat="false" ht="15" hidden="false" customHeight="false" outlineLevel="0" collapsed="false">
      <c r="A1789" s="15" t="str">
        <f aca="false">IF(B1789="","",ROW()-1)</f>
        <v/>
      </c>
      <c r="B1789" s="16"/>
      <c r="C1789" s="16"/>
      <c r="D1789" s="16"/>
      <c r="E1789" s="16"/>
      <c r="F1789" s="17"/>
      <c r="G1789" s="16"/>
      <c r="H1789" s="16"/>
      <c r="I1789" s="16"/>
      <c r="J1789" s="16"/>
      <c r="K1789" s="16"/>
      <c r="L1789" s="16"/>
      <c r="M1789" s="18" t="str">
        <f aca="false">IF(OR(C1789="",D1789=""),"",IF(MOD(COUNTIFS($C$2:C1789,C1789,$D$2:D1789,D1789)*7,10)&lt;3,"teste","treino"))</f>
        <v/>
      </c>
      <c r="N1789" s="16"/>
      <c r="O1789" s="16"/>
      <c r="P1789" s="16"/>
      <c r="Q1789" s="17"/>
    </row>
    <row r="1790" customFormat="false" ht="15" hidden="false" customHeight="false" outlineLevel="0" collapsed="false">
      <c r="A1790" s="15" t="str">
        <f aca="false">IF(B1790="","",ROW()-1)</f>
        <v/>
      </c>
      <c r="B1790" s="16"/>
      <c r="C1790" s="16"/>
      <c r="D1790" s="16"/>
      <c r="E1790" s="16"/>
      <c r="F1790" s="17"/>
      <c r="G1790" s="16"/>
      <c r="H1790" s="16"/>
      <c r="I1790" s="16"/>
      <c r="J1790" s="16"/>
      <c r="K1790" s="16"/>
      <c r="L1790" s="16"/>
      <c r="M1790" s="18" t="str">
        <f aca="false">IF(OR(C1790="",D1790=""),"",IF(MOD(COUNTIFS($C$2:C1790,C1790,$D$2:D1790,D1790)*7,10)&lt;3,"teste","treino"))</f>
        <v/>
      </c>
      <c r="N1790" s="16"/>
      <c r="O1790" s="16"/>
      <c r="P1790" s="16"/>
      <c r="Q1790" s="17"/>
    </row>
    <row r="1791" customFormat="false" ht="15" hidden="false" customHeight="false" outlineLevel="0" collapsed="false">
      <c r="A1791" s="15" t="str">
        <f aca="false">IF(B1791="","",ROW()-1)</f>
        <v/>
      </c>
      <c r="B1791" s="16"/>
      <c r="C1791" s="16"/>
      <c r="D1791" s="16"/>
      <c r="E1791" s="16"/>
      <c r="F1791" s="17"/>
      <c r="G1791" s="16"/>
      <c r="H1791" s="16"/>
      <c r="I1791" s="16"/>
      <c r="J1791" s="16"/>
      <c r="K1791" s="16"/>
      <c r="L1791" s="16"/>
      <c r="M1791" s="18" t="str">
        <f aca="false">IF(OR(C1791="",D1791=""),"",IF(MOD(COUNTIFS($C$2:C1791,C1791,$D$2:D1791,D1791)*7,10)&lt;3,"teste","treino"))</f>
        <v/>
      </c>
      <c r="N1791" s="16"/>
      <c r="O1791" s="16"/>
      <c r="P1791" s="16"/>
      <c r="Q1791" s="17"/>
    </row>
    <row r="1792" customFormat="false" ht="15" hidden="false" customHeight="false" outlineLevel="0" collapsed="false">
      <c r="A1792" s="15" t="str">
        <f aca="false">IF(B1792="","",ROW()-1)</f>
        <v/>
      </c>
      <c r="B1792" s="16"/>
      <c r="C1792" s="16"/>
      <c r="D1792" s="16"/>
      <c r="E1792" s="16"/>
      <c r="F1792" s="17"/>
      <c r="G1792" s="16"/>
      <c r="H1792" s="16"/>
      <c r="I1792" s="16"/>
      <c r="J1792" s="16"/>
      <c r="K1792" s="16"/>
      <c r="L1792" s="16"/>
      <c r="M1792" s="18" t="str">
        <f aca="false">IF(OR(C1792="",D1792=""),"",IF(MOD(COUNTIFS($C$2:C1792,C1792,$D$2:D1792,D1792)*7,10)&lt;3,"teste","treino"))</f>
        <v/>
      </c>
      <c r="N1792" s="16"/>
      <c r="O1792" s="16"/>
      <c r="P1792" s="16"/>
      <c r="Q1792" s="17"/>
    </row>
    <row r="1793" customFormat="false" ht="15" hidden="false" customHeight="false" outlineLevel="0" collapsed="false">
      <c r="A1793" s="15" t="str">
        <f aca="false">IF(B1793="","",ROW()-1)</f>
        <v/>
      </c>
      <c r="B1793" s="16"/>
      <c r="C1793" s="16"/>
      <c r="D1793" s="16"/>
      <c r="E1793" s="16"/>
      <c r="F1793" s="17"/>
      <c r="G1793" s="16"/>
      <c r="H1793" s="16"/>
      <c r="I1793" s="16"/>
      <c r="J1793" s="16"/>
      <c r="K1793" s="16"/>
      <c r="L1793" s="16"/>
      <c r="M1793" s="18" t="str">
        <f aca="false">IF(OR(C1793="",D1793=""),"",IF(MOD(COUNTIFS($C$2:C1793,C1793,$D$2:D1793,D1793)*7,10)&lt;3,"teste","treino"))</f>
        <v/>
      </c>
      <c r="N1793" s="16"/>
      <c r="O1793" s="16"/>
      <c r="P1793" s="16"/>
      <c r="Q1793" s="17"/>
    </row>
    <row r="1794" customFormat="false" ht="15" hidden="false" customHeight="false" outlineLevel="0" collapsed="false">
      <c r="A1794" s="15" t="str">
        <f aca="false">IF(B1794="","",ROW()-1)</f>
        <v/>
      </c>
      <c r="B1794" s="16"/>
      <c r="C1794" s="16"/>
      <c r="D1794" s="16"/>
      <c r="E1794" s="16"/>
      <c r="F1794" s="17"/>
      <c r="G1794" s="16"/>
      <c r="H1794" s="16"/>
      <c r="I1794" s="16"/>
      <c r="J1794" s="16"/>
      <c r="K1794" s="16"/>
      <c r="L1794" s="16"/>
      <c r="M1794" s="18" t="str">
        <f aca="false">IF(OR(C1794="",D1794=""),"",IF(MOD(COUNTIFS($C$2:C1794,C1794,$D$2:D1794,D1794)*7,10)&lt;3,"teste","treino"))</f>
        <v/>
      </c>
      <c r="N1794" s="16"/>
      <c r="O1794" s="16"/>
      <c r="P1794" s="16"/>
      <c r="Q1794" s="17"/>
    </row>
    <row r="1795" customFormat="false" ht="15" hidden="false" customHeight="false" outlineLevel="0" collapsed="false">
      <c r="A1795" s="15" t="str">
        <f aca="false">IF(B1795="","",ROW()-1)</f>
        <v/>
      </c>
      <c r="B1795" s="16"/>
      <c r="C1795" s="16"/>
      <c r="D1795" s="16"/>
      <c r="E1795" s="16"/>
      <c r="F1795" s="17"/>
      <c r="G1795" s="16"/>
      <c r="H1795" s="16"/>
      <c r="I1795" s="16"/>
      <c r="J1795" s="16"/>
      <c r="K1795" s="16"/>
      <c r="L1795" s="16"/>
      <c r="M1795" s="18" t="str">
        <f aca="false">IF(OR(C1795="",D1795=""),"",IF(MOD(COUNTIFS($C$2:C1795,C1795,$D$2:D1795,D1795)*7,10)&lt;3,"teste","treino"))</f>
        <v/>
      </c>
      <c r="N1795" s="16"/>
      <c r="O1795" s="16"/>
      <c r="P1795" s="16"/>
      <c r="Q1795" s="17"/>
    </row>
    <row r="1796" customFormat="false" ht="15" hidden="false" customHeight="false" outlineLevel="0" collapsed="false">
      <c r="A1796" s="15" t="str">
        <f aca="false">IF(B1796="","",ROW()-1)</f>
        <v/>
      </c>
      <c r="B1796" s="16"/>
      <c r="C1796" s="16"/>
      <c r="D1796" s="16"/>
      <c r="E1796" s="16"/>
      <c r="F1796" s="17"/>
      <c r="G1796" s="16"/>
      <c r="H1796" s="16"/>
      <c r="I1796" s="16"/>
      <c r="J1796" s="16"/>
      <c r="K1796" s="16"/>
      <c r="L1796" s="16"/>
      <c r="M1796" s="18" t="str">
        <f aca="false">IF(OR(C1796="",D1796=""),"",IF(MOD(COUNTIFS($C$2:C1796,C1796,$D$2:D1796,D1796)*7,10)&lt;3,"teste","treino"))</f>
        <v/>
      </c>
      <c r="N1796" s="16"/>
      <c r="O1796" s="16"/>
      <c r="P1796" s="16"/>
      <c r="Q1796" s="17"/>
    </row>
    <row r="1797" customFormat="false" ht="15" hidden="false" customHeight="false" outlineLevel="0" collapsed="false">
      <c r="A1797" s="15" t="str">
        <f aca="false">IF(B1797="","",ROW()-1)</f>
        <v/>
      </c>
      <c r="B1797" s="16"/>
      <c r="C1797" s="16"/>
      <c r="D1797" s="16"/>
      <c r="E1797" s="16"/>
      <c r="F1797" s="17"/>
      <c r="G1797" s="16"/>
      <c r="H1797" s="16"/>
      <c r="I1797" s="16"/>
      <c r="J1797" s="16"/>
      <c r="K1797" s="16"/>
      <c r="L1797" s="16"/>
      <c r="M1797" s="18" t="str">
        <f aca="false">IF(OR(C1797="",D1797=""),"",IF(MOD(COUNTIFS($C$2:C1797,C1797,$D$2:D1797,D1797)*7,10)&lt;3,"teste","treino"))</f>
        <v/>
      </c>
      <c r="N1797" s="16"/>
      <c r="O1797" s="16"/>
      <c r="P1797" s="16"/>
      <c r="Q1797" s="17"/>
    </row>
    <row r="1798" customFormat="false" ht="15" hidden="false" customHeight="false" outlineLevel="0" collapsed="false">
      <c r="A1798" s="15" t="str">
        <f aca="false">IF(B1798="","",ROW()-1)</f>
        <v/>
      </c>
      <c r="B1798" s="16"/>
      <c r="C1798" s="16"/>
      <c r="D1798" s="16"/>
      <c r="E1798" s="16"/>
      <c r="F1798" s="17"/>
      <c r="G1798" s="16"/>
      <c r="H1798" s="16"/>
      <c r="I1798" s="16"/>
      <c r="J1798" s="16"/>
      <c r="K1798" s="16"/>
      <c r="L1798" s="16"/>
      <c r="M1798" s="18" t="str">
        <f aca="false">IF(OR(C1798="",D1798=""),"",IF(MOD(COUNTIFS($C$2:C1798,C1798,$D$2:D1798,D1798)*7,10)&lt;3,"teste","treino"))</f>
        <v/>
      </c>
      <c r="N1798" s="16"/>
      <c r="O1798" s="16"/>
      <c r="P1798" s="16"/>
      <c r="Q1798" s="17"/>
    </row>
    <row r="1799" customFormat="false" ht="15" hidden="false" customHeight="false" outlineLevel="0" collapsed="false">
      <c r="A1799" s="15" t="str">
        <f aca="false">IF(B1799="","",ROW()-1)</f>
        <v/>
      </c>
      <c r="B1799" s="16"/>
      <c r="C1799" s="16"/>
      <c r="D1799" s="16"/>
      <c r="E1799" s="16"/>
      <c r="F1799" s="17"/>
      <c r="G1799" s="16"/>
      <c r="H1799" s="16"/>
      <c r="I1799" s="16"/>
      <c r="J1799" s="16"/>
      <c r="K1799" s="16"/>
      <c r="L1799" s="16"/>
      <c r="M1799" s="18" t="str">
        <f aca="false">IF(OR(C1799="",D1799=""),"",IF(MOD(COUNTIFS($C$2:C1799,C1799,$D$2:D1799,D1799)*7,10)&lt;3,"teste","treino"))</f>
        <v/>
      </c>
      <c r="N1799" s="16"/>
      <c r="O1799" s="16"/>
      <c r="P1799" s="16"/>
      <c r="Q1799" s="17"/>
    </row>
    <row r="1800" customFormat="false" ht="15" hidden="false" customHeight="false" outlineLevel="0" collapsed="false">
      <c r="A1800" s="15" t="str">
        <f aca="false">IF(B1800="","",ROW()-1)</f>
        <v/>
      </c>
      <c r="B1800" s="16"/>
      <c r="C1800" s="16"/>
      <c r="D1800" s="16"/>
      <c r="E1800" s="16"/>
      <c r="F1800" s="17"/>
      <c r="G1800" s="16"/>
      <c r="H1800" s="16"/>
      <c r="I1800" s="16"/>
      <c r="J1800" s="16"/>
      <c r="K1800" s="16"/>
      <c r="L1800" s="16"/>
      <c r="M1800" s="18" t="str">
        <f aca="false">IF(OR(C1800="",D1800=""),"",IF(MOD(COUNTIFS($C$2:C1800,C1800,$D$2:D1800,D1800)*7,10)&lt;3,"teste","treino"))</f>
        <v/>
      </c>
      <c r="N1800" s="16"/>
      <c r="O1800" s="16"/>
      <c r="P1800" s="16"/>
      <c r="Q1800" s="17"/>
    </row>
    <row r="1801" customFormat="false" ht="15" hidden="false" customHeight="false" outlineLevel="0" collapsed="false">
      <c r="A1801" s="15" t="str">
        <f aca="false">IF(B1801="","",ROW()-1)</f>
        <v/>
      </c>
      <c r="B1801" s="16"/>
      <c r="C1801" s="16"/>
      <c r="D1801" s="16"/>
      <c r="E1801" s="16"/>
      <c r="F1801" s="17"/>
      <c r="G1801" s="16"/>
      <c r="H1801" s="16"/>
      <c r="I1801" s="16"/>
      <c r="J1801" s="16"/>
      <c r="K1801" s="16"/>
      <c r="L1801" s="16"/>
      <c r="M1801" s="18" t="str">
        <f aca="false">IF(OR(C1801="",D1801=""),"",IF(MOD(COUNTIFS($C$2:C1801,C1801,$D$2:D1801,D1801)*7,10)&lt;3,"teste","treino"))</f>
        <v/>
      </c>
      <c r="N1801" s="16"/>
      <c r="O1801" s="16"/>
      <c r="P1801" s="16"/>
      <c r="Q1801" s="17"/>
    </row>
    <row r="1802" customFormat="false" ht="15" hidden="false" customHeight="false" outlineLevel="0" collapsed="false">
      <c r="A1802" s="15" t="str">
        <f aca="false">IF(B1802="","",ROW()-1)</f>
        <v/>
      </c>
      <c r="B1802" s="16"/>
      <c r="C1802" s="16"/>
      <c r="D1802" s="16"/>
      <c r="E1802" s="16"/>
      <c r="F1802" s="17"/>
      <c r="G1802" s="16"/>
      <c r="H1802" s="16"/>
      <c r="I1802" s="16"/>
      <c r="J1802" s="16"/>
      <c r="K1802" s="16"/>
      <c r="L1802" s="16"/>
      <c r="M1802" s="18" t="str">
        <f aca="false">IF(OR(C1802="",D1802=""),"",IF(MOD(COUNTIFS($C$2:C1802,C1802,$D$2:D1802,D1802)*7,10)&lt;3,"teste","treino"))</f>
        <v/>
      </c>
      <c r="N1802" s="16"/>
      <c r="O1802" s="16"/>
      <c r="P1802" s="16"/>
      <c r="Q1802" s="17"/>
    </row>
    <row r="1803" customFormat="false" ht="15" hidden="false" customHeight="false" outlineLevel="0" collapsed="false">
      <c r="A1803" s="15" t="str">
        <f aca="false">IF(B1803="","",ROW()-1)</f>
        <v/>
      </c>
      <c r="B1803" s="16"/>
      <c r="C1803" s="16"/>
      <c r="D1803" s="16"/>
      <c r="E1803" s="16"/>
      <c r="F1803" s="17"/>
      <c r="G1803" s="16"/>
      <c r="H1803" s="16"/>
      <c r="I1803" s="16"/>
      <c r="J1803" s="16"/>
      <c r="K1803" s="16"/>
      <c r="L1803" s="16"/>
      <c r="M1803" s="18" t="str">
        <f aca="false">IF(OR(C1803="",D1803=""),"",IF(MOD(COUNTIFS($C$2:C1803,C1803,$D$2:D1803,D1803)*7,10)&lt;3,"teste","treino"))</f>
        <v/>
      </c>
      <c r="N1803" s="16"/>
      <c r="O1803" s="16"/>
      <c r="P1803" s="16"/>
      <c r="Q1803" s="17"/>
    </row>
    <row r="1804" customFormat="false" ht="15" hidden="false" customHeight="false" outlineLevel="0" collapsed="false">
      <c r="A1804" s="15" t="str">
        <f aca="false">IF(B1804="","",ROW()-1)</f>
        <v/>
      </c>
      <c r="B1804" s="16"/>
      <c r="C1804" s="16"/>
      <c r="D1804" s="16"/>
      <c r="E1804" s="16"/>
      <c r="F1804" s="17"/>
      <c r="G1804" s="16"/>
      <c r="H1804" s="16"/>
      <c r="I1804" s="16"/>
      <c r="J1804" s="16"/>
      <c r="K1804" s="16"/>
      <c r="L1804" s="16"/>
      <c r="M1804" s="18" t="str">
        <f aca="false">IF(OR(C1804="",D1804=""),"",IF(MOD(COUNTIFS($C$2:C1804,C1804,$D$2:D1804,D1804)*7,10)&lt;3,"teste","treino"))</f>
        <v/>
      </c>
      <c r="N1804" s="16"/>
      <c r="O1804" s="16"/>
      <c r="P1804" s="16"/>
      <c r="Q1804" s="17"/>
    </row>
    <row r="1805" customFormat="false" ht="15" hidden="false" customHeight="false" outlineLevel="0" collapsed="false">
      <c r="A1805" s="15" t="str">
        <f aca="false">IF(B1805="","",ROW()-1)</f>
        <v/>
      </c>
      <c r="B1805" s="16"/>
      <c r="C1805" s="16"/>
      <c r="D1805" s="16"/>
      <c r="E1805" s="16"/>
      <c r="F1805" s="17"/>
      <c r="G1805" s="16"/>
      <c r="H1805" s="16"/>
      <c r="I1805" s="16"/>
      <c r="J1805" s="16"/>
      <c r="K1805" s="16"/>
      <c r="L1805" s="16"/>
      <c r="M1805" s="18" t="str">
        <f aca="false">IF(OR(C1805="",D1805=""),"",IF(MOD(COUNTIFS($C$2:C1805,C1805,$D$2:D1805,D1805)*7,10)&lt;3,"teste","treino"))</f>
        <v/>
      </c>
      <c r="N1805" s="16"/>
      <c r="O1805" s="16"/>
      <c r="P1805" s="16"/>
      <c r="Q1805" s="17"/>
    </row>
    <row r="1806" customFormat="false" ht="15" hidden="false" customHeight="false" outlineLevel="0" collapsed="false">
      <c r="A1806" s="15" t="str">
        <f aca="false">IF(B1806="","",ROW()-1)</f>
        <v/>
      </c>
      <c r="B1806" s="16"/>
      <c r="C1806" s="16"/>
      <c r="D1806" s="16"/>
      <c r="E1806" s="16"/>
      <c r="F1806" s="17"/>
      <c r="G1806" s="16"/>
      <c r="H1806" s="16"/>
      <c r="I1806" s="16"/>
      <c r="J1806" s="16"/>
      <c r="K1806" s="16"/>
      <c r="L1806" s="16"/>
      <c r="M1806" s="18" t="str">
        <f aca="false">IF(OR(C1806="",D1806=""),"",IF(MOD(COUNTIFS($C$2:C1806,C1806,$D$2:D1806,D1806)*7,10)&lt;3,"teste","treino"))</f>
        <v/>
      </c>
      <c r="N1806" s="16"/>
      <c r="O1806" s="16"/>
      <c r="P1806" s="16"/>
      <c r="Q1806" s="17"/>
    </row>
    <row r="1807" customFormat="false" ht="15" hidden="false" customHeight="false" outlineLevel="0" collapsed="false">
      <c r="A1807" s="15" t="str">
        <f aca="false">IF(B1807="","",ROW()-1)</f>
        <v/>
      </c>
      <c r="B1807" s="16"/>
      <c r="C1807" s="16"/>
      <c r="D1807" s="16"/>
      <c r="E1807" s="16"/>
      <c r="F1807" s="17"/>
      <c r="G1807" s="16"/>
      <c r="H1807" s="16"/>
      <c r="I1807" s="16"/>
      <c r="J1807" s="16"/>
      <c r="K1807" s="16"/>
      <c r="L1807" s="16"/>
      <c r="M1807" s="18" t="str">
        <f aca="false">IF(OR(C1807="",D1807=""),"",IF(MOD(COUNTIFS($C$2:C1807,C1807,$D$2:D1807,D1807)*7,10)&lt;3,"teste","treino"))</f>
        <v/>
      </c>
      <c r="N1807" s="16"/>
      <c r="O1807" s="16"/>
      <c r="P1807" s="16"/>
      <c r="Q1807" s="17"/>
    </row>
    <row r="1808" customFormat="false" ht="15" hidden="false" customHeight="false" outlineLevel="0" collapsed="false">
      <c r="A1808" s="15" t="str">
        <f aca="false">IF(B1808="","",ROW()-1)</f>
        <v/>
      </c>
      <c r="B1808" s="16"/>
      <c r="C1808" s="16"/>
      <c r="D1808" s="16"/>
      <c r="E1808" s="16"/>
      <c r="F1808" s="17"/>
      <c r="G1808" s="16"/>
      <c r="H1808" s="16"/>
      <c r="I1808" s="16"/>
      <c r="J1808" s="16"/>
      <c r="K1808" s="16"/>
      <c r="L1808" s="16"/>
      <c r="M1808" s="18" t="str">
        <f aca="false">IF(OR(C1808="",D1808=""),"",IF(MOD(COUNTIFS($C$2:C1808,C1808,$D$2:D1808,D1808)*7,10)&lt;3,"teste","treino"))</f>
        <v/>
      </c>
      <c r="N1808" s="16"/>
      <c r="O1808" s="16"/>
      <c r="P1808" s="16"/>
      <c r="Q1808" s="17"/>
    </row>
    <row r="1809" customFormat="false" ht="15" hidden="false" customHeight="false" outlineLevel="0" collapsed="false">
      <c r="A1809" s="15" t="str">
        <f aca="false">IF(B1809="","",ROW()-1)</f>
        <v/>
      </c>
      <c r="B1809" s="16"/>
      <c r="C1809" s="16"/>
      <c r="D1809" s="16"/>
      <c r="E1809" s="16"/>
      <c r="F1809" s="17"/>
      <c r="G1809" s="16"/>
      <c r="H1809" s="16"/>
      <c r="I1809" s="16"/>
      <c r="J1809" s="16"/>
      <c r="K1809" s="16"/>
      <c r="L1809" s="16"/>
      <c r="M1809" s="18" t="str">
        <f aca="false">IF(OR(C1809="",D1809=""),"",IF(MOD(COUNTIFS($C$2:C1809,C1809,$D$2:D1809,D1809)*7,10)&lt;3,"teste","treino"))</f>
        <v/>
      </c>
      <c r="N1809" s="16"/>
      <c r="O1809" s="16"/>
      <c r="P1809" s="16"/>
      <c r="Q1809" s="17"/>
    </row>
    <row r="1810" customFormat="false" ht="15" hidden="false" customHeight="false" outlineLevel="0" collapsed="false">
      <c r="A1810" s="15" t="str">
        <f aca="false">IF(B1810="","",ROW()-1)</f>
        <v/>
      </c>
      <c r="B1810" s="16"/>
      <c r="C1810" s="16"/>
      <c r="D1810" s="16"/>
      <c r="E1810" s="16"/>
      <c r="F1810" s="17"/>
      <c r="G1810" s="16"/>
      <c r="H1810" s="16"/>
      <c r="I1810" s="16"/>
      <c r="J1810" s="16"/>
      <c r="K1810" s="16"/>
      <c r="L1810" s="16"/>
      <c r="M1810" s="18" t="str">
        <f aca="false">IF(OR(C1810="",D1810=""),"",IF(MOD(COUNTIFS($C$2:C1810,C1810,$D$2:D1810,D1810)*7,10)&lt;3,"teste","treino"))</f>
        <v/>
      </c>
      <c r="N1810" s="16"/>
      <c r="O1810" s="16"/>
      <c r="P1810" s="16"/>
      <c r="Q1810" s="17"/>
    </row>
    <row r="1811" customFormat="false" ht="15" hidden="false" customHeight="false" outlineLevel="0" collapsed="false">
      <c r="A1811" s="15" t="str">
        <f aca="false">IF(B1811="","",ROW()-1)</f>
        <v/>
      </c>
      <c r="B1811" s="16"/>
      <c r="C1811" s="16"/>
      <c r="D1811" s="16"/>
      <c r="E1811" s="16"/>
      <c r="F1811" s="17"/>
      <c r="G1811" s="16"/>
      <c r="H1811" s="16"/>
      <c r="I1811" s="16"/>
      <c r="J1811" s="16"/>
      <c r="K1811" s="16"/>
      <c r="L1811" s="16"/>
      <c r="M1811" s="18" t="str">
        <f aca="false">IF(OR(C1811="",D1811=""),"",IF(MOD(COUNTIFS($C$2:C1811,C1811,$D$2:D1811,D1811)*7,10)&lt;3,"teste","treino"))</f>
        <v/>
      </c>
      <c r="N1811" s="16"/>
      <c r="O1811" s="16"/>
      <c r="P1811" s="16"/>
      <c r="Q1811" s="17"/>
    </row>
    <row r="1812" customFormat="false" ht="15" hidden="false" customHeight="false" outlineLevel="0" collapsed="false">
      <c r="A1812" s="15" t="str">
        <f aca="false">IF(B1812="","",ROW()-1)</f>
        <v/>
      </c>
      <c r="B1812" s="16"/>
      <c r="C1812" s="16"/>
      <c r="D1812" s="16"/>
      <c r="E1812" s="16"/>
      <c r="F1812" s="17"/>
      <c r="G1812" s="16"/>
      <c r="H1812" s="16"/>
      <c r="I1812" s="16"/>
      <c r="J1812" s="16"/>
      <c r="K1812" s="16"/>
      <c r="L1812" s="16"/>
      <c r="M1812" s="18" t="str">
        <f aca="false">IF(OR(C1812="",D1812=""),"",IF(MOD(COUNTIFS($C$2:C1812,C1812,$D$2:D1812,D1812)*7,10)&lt;3,"teste","treino"))</f>
        <v/>
      </c>
      <c r="N1812" s="16"/>
      <c r="O1812" s="16"/>
      <c r="P1812" s="16"/>
      <c r="Q1812" s="17"/>
    </row>
    <row r="1813" customFormat="false" ht="15" hidden="false" customHeight="false" outlineLevel="0" collapsed="false">
      <c r="A1813" s="15" t="str">
        <f aca="false">IF(B1813="","",ROW()-1)</f>
        <v/>
      </c>
      <c r="B1813" s="16"/>
      <c r="C1813" s="16"/>
      <c r="D1813" s="16"/>
      <c r="E1813" s="16"/>
      <c r="F1813" s="17"/>
      <c r="G1813" s="16"/>
      <c r="H1813" s="16"/>
      <c r="I1813" s="16"/>
      <c r="J1813" s="16"/>
      <c r="K1813" s="16"/>
      <c r="L1813" s="16"/>
      <c r="M1813" s="18" t="str">
        <f aca="false">IF(OR(C1813="",D1813=""),"",IF(MOD(COUNTIFS($C$2:C1813,C1813,$D$2:D1813,D1813)*7,10)&lt;3,"teste","treino"))</f>
        <v/>
      </c>
      <c r="N1813" s="16"/>
      <c r="O1813" s="16"/>
      <c r="P1813" s="16"/>
      <c r="Q1813" s="17"/>
    </row>
    <row r="1814" customFormat="false" ht="15" hidden="false" customHeight="false" outlineLevel="0" collapsed="false">
      <c r="A1814" s="15" t="str">
        <f aca="false">IF(B1814="","",ROW()-1)</f>
        <v/>
      </c>
      <c r="B1814" s="16"/>
      <c r="C1814" s="16"/>
      <c r="D1814" s="16"/>
      <c r="E1814" s="16"/>
      <c r="F1814" s="17"/>
      <c r="G1814" s="16"/>
      <c r="H1814" s="16"/>
      <c r="I1814" s="16"/>
      <c r="J1814" s="16"/>
      <c r="K1814" s="16"/>
      <c r="L1814" s="16"/>
      <c r="M1814" s="18" t="str">
        <f aca="false">IF(OR(C1814="",D1814=""),"",IF(MOD(COUNTIFS($C$2:C1814,C1814,$D$2:D1814,D1814)*7,10)&lt;3,"teste","treino"))</f>
        <v/>
      </c>
      <c r="N1814" s="16"/>
      <c r="O1814" s="16"/>
      <c r="P1814" s="16"/>
      <c r="Q1814" s="17"/>
    </row>
    <row r="1815" customFormat="false" ht="15" hidden="false" customHeight="false" outlineLevel="0" collapsed="false">
      <c r="A1815" s="15" t="str">
        <f aca="false">IF(B1815="","",ROW()-1)</f>
        <v/>
      </c>
      <c r="B1815" s="16"/>
      <c r="C1815" s="16"/>
      <c r="D1815" s="16"/>
      <c r="E1815" s="16"/>
      <c r="F1815" s="17"/>
      <c r="G1815" s="16"/>
      <c r="H1815" s="16"/>
      <c r="I1815" s="16"/>
      <c r="J1815" s="16"/>
      <c r="K1815" s="16"/>
      <c r="L1815" s="16"/>
      <c r="M1815" s="18" t="str">
        <f aca="false">IF(OR(C1815="",D1815=""),"",IF(MOD(COUNTIFS($C$2:C1815,C1815,$D$2:D1815,D1815)*7,10)&lt;3,"teste","treino"))</f>
        <v/>
      </c>
      <c r="N1815" s="16"/>
      <c r="O1815" s="16"/>
      <c r="P1815" s="16"/>
      <c r="Q1815" s="17"/>
    </row>
    <row r="1816" customFormat="false" ht="15" hidden="false" customHeight="false" outlineLevel="0" collapsed="false">
      <c r="A1816" s="15" t="str">
        <f aca="false">IF(B1816="","",ROW()-1)</f>
        <v/>
      </c>
      <c r="B1816" s="16"/>
      <c r="C1816" s="16"/>
      <c r="D1816" s="16"/>
      <c r="E1816" s="16"/>
      <c r="F1816" s="17"/>
      <c r="G1816" s="16"/>
      <c r="H1816" s="16"/>
      <c r="I1816" s="16"/>
      <c r="J1816" s="16"/>
      <c r="K1816" s="16"/>
      <c r="L1816" s="16"/>
      <c r="M1816" s="18" t="str">
        <f aca="false">IF(OR(C1816="",D1816=""),"",IF(MOD(COUNTIFS($C$2:C1816,C1816,$D$2:D1816,D1816)*7,10)&lt;3,"teste","treino"))</f>
        <v/>
      </c>
      <c r="N1816" s="16"/>
      <c r="O1816" s="16"/>
      <c r="P1816" s="16"/>
      <c r="Q1816" s="17"/>
    </row>
    <row r="1817" customFormat="false" ht="15" hidden="false" customHeight="false" outlineLevel="0" collapsed="false">
      <c r="A1817" s="15" t="str">
        <f aca="false">IF(B1817="","",ROW()-1)</f>
        <v/>
      </c>
      <c r="B1817" s="16"/>
      <c r="C1817" s="16"/>
      <c r="D1817" s="16"/>
      <c r="E1817" s="16"/>
      <c r="F1817" s="17"/>
      <c r="G1817" s="16"/>
      <c r="H1817" s="16"/>
      <c r="I1817" s="16"/>
      <c r="J1817" s="16"/>
      <c r="K1817" s="16"/>
      <c r="L1817" s="16"/>
      <c r="M1817" s="18" t="str">
        <f aca="false">IF(OR(C1817="",D1817=""),"",IF(MOD(COUNTIFS($C$2:C1817,C1817,$D$2:D1817,D1817)*7,10)&lt;3,"teste","treino"))</f>
        <v/>
      </c>
      <c r="N1817" s="16"/>
      <c r="O1817" s="16"/>
      <c r="P1817" s="16"/>
      <c r="Q1817" s="17"/>
    </row>
    <row r="1818" customFormat="false" ht="15" hidden="false" customHeight="false" outlineLevel="0" collapsed="false">
      <c r="A1818" s="15" t="str">
        <f aca="false">IF(B1818="","",ROW()-1)</f>
        <v/>
      </c>
      <c r="B1818" s="16"/>
      <c r="C1818" s="16"/>
      <c r="D1818" s="16"/>
      <c r="E1818" s="16"/>
      <c r="F1818" s="17"/>
      <c r="G1818" s="16"/>
      <c r="H1818" s="16"/>
      <c r="I1818" s="16"/>
      <c r="J1818" s="16"/>
      <c r="K1818" s="16"/>
      <c r="L1818" s="16"/>
      <c r="M1818" s="18" t="str">
        <f aca="false">IF(OR(C1818="",D1818=""),"",IF(MOD(COUNTIFS($C$2:C1818,C1818,$D$2:D1818,D1818)*7,10)&lt;3,"teste","treino"))</f>
        <v/>
      </c>
      <c r="N1818" s="16"/>
      <c r="O1818" s="16"/>
      <c r="P1818" s="16"/>
      <c r="Q1818" s="17"/>
    </row>
    <row r="1819" customFormat="false" ht="15" hidden="false" customHeight="false" outlineLevel="0" collapsed="false">
      <c r="A1819" s="15" t="str">
        <f aca="false">IF(B1819="","",ROW()-1)</f>
        <v/>
      </c>
      <c r="B1819" s="16"/>
      <c r="C1819" s="16"/>
      <c r="D1819" s="16"/>
      <c r="E1819" s="16"/>
      <c r="F1819" s="17"/>
      <c r="G1819" s="16"/>
      <c r="H1819" s="16"/>
      <c r="I1819" s="16"/>
      <c r="J1819" s="16"/>
      <c r="K1819" s="16"/>
      <c r="L1819" s="16"/>
      <c r="M1819" s="18" t="str">
        <f aca="false">IF(OR(C1819="",D1819=""),"",IF(MOD(COUNTIFS($C$2:C1819,C1819,$D$2:D1819,D1819)*7,10)&lt;3,"teste","treino"))</f>
        <v/>
      </c>
      <c r="N1819" s="16"/>
      <c r="O1819" s="16"/>
      <c r="P1819" s="16"/>
      <c r="Q1819" s="17"/>
    </row>
    <row r="1820" customFormat="false" ht="15" hidden="false" customHeight="false" outlineLevel="0" collapsed="false">
      <c r="A1820" s="15" t="str">
        <f aca="false">IF(B1820="","",ROW()-1)</f>
        <v/>
      </c>
      <c r="B1820" s="16"/>
      <c r="C1820" s="16"/>
      <c r="D1820" s="16"/>
      <c r="E1820" s="16"/>
      <c r="F1820" s="17"/>
      <c r="G1820" s="16"/>
      <c r="H1820" s="16"/>
      <c r="I1820" s="16"/>
      <c r="J1820" s="16"/>
      <c r="K1820" s="16"/>
      <c r="L1820" s="16"/>
      <c r="M1820" s="18" t="str">
        <f aca="false">IF(OR(C1820="",D1820=""),"",IF(MOD(COUNTIFS($C$2:C1820,C1820,$D$2:D1820,D1820)*7,10)&lt;3,"teste","treino"))</f>
        <v/>
      </c>
      <c r="N1820" s="16"/>
      <c r="O1820" s="16"/>
      <c r="P1820" s="16"/>
      <c r="Q1820" s="17"/>
    </row>
    <row r="1821" customFormat="false" ht="15" hidden="false" customHeight="false" outlineLevel="0" collapsed="false">
      <c r="A1821" s="15" t="str">
        <f aca="false">IF(B1821="","",ROW()-1)</f>
        <v/>
      </c>
      <c r="B1821" s="16"/>
      <c r="C1821" s="16"/>
      <c r="D1821" s="16"/>
      <c r="E1821" s="16"/>
      <c r="F1821" s="17"/>
      <c r="G1821" s="16"/>
      <c r="H1821" s="16"/>
      <c r="I1821" s="16"/>
      <c r="J1821" s="16"/>
      <c r="K1821" s="16"/>
      <c r="L1821" s="16"/>
      <c r="M1821" s="18" t="str">
        <f aca="false">IF(OR(C1821="",D1821=""),"",IF(MOD(COUNTIFS($C$2:C1821,C1821,$D$2:D1821,D1821)*7,10)&lt;3,"teste","treino"))</f>
        <v/>
      </c>
      <c r="N1821" s="16"/>
      <c r="O1821" s="16"/>
      <c r="P1821" s="16"/>
      <c r="Q1821" s="17"/>
    </row>
    <row r="1822" customFormat="false" ht="15" hidden="false" customHeight="false" outlineLevel="0" collapsed="false">
      <c r="A1822" s="15" t="str">
        <f aca="false">IF(B1822="","",ROW()-1)</f>
        <v/>
      </c>
      <c r="B1822" s="16"/>
      <c r="C1822" s="16"/>
      <c r="D1822" s="16"/>
      <c r="E1822" s="16"/>
      <c r="F1822" s="17"/>
      <c r="G1822" s="16"/>
      <c r="H1822" s="16"/>
      <c r="I1822" s="16"/>
      <c r="J1822" s="16"/>
      <c r="K1822" s="16"/>
      <c r="L1822" s="16"/>
      <c r="M1822" s="18" t="str">
        <f aca="false">IF(OR(C1822="",D1822=""),"",IF(MOD(COUNTIFS($C$2:C1822,C1822,$D$2:D1822,D1822)*7,10)&lt;3,"teste","treino"))</f>
        <v/>
      </c>
      <c r="N1822" s="16"/>
      <c r="O1822" s="16"/>
      <c r="P1822" s="16"/>
      <c r="Q1822" s="17"/>
    </row>
    <row r="1823" customFormat="false" ht="15" hidden="false" customHeight="false" outlineLevel="0" collapsed="false">
      <c r="A1823" s="15" t="str">
        <f aca="false">IF(B1823="","",ROW()-1)</f>
        <v/>
      </c>
      <c r="B1823" s="16"/>
      <c r="C1823" s="16"/>
      <c r="D1823" s="16"/>
      <c r="E1823" s="16"/>
      <c r="F1823" s="17"/>
      <c r="G1823" s="16"/>
      <c r="H1823" s="16"/>
      <c r="I1823" s="16"/>
      <c r="J1823" s="16"/>
      <c r="K1823" s="16"/>
      <c r="L1823" s="16"/>
      <c r="M1823" s="18" t="str">
        <f aca="false">IF(OR(C1823="",D1823=""),"",IF(MOD(COUNTIFS($C$2:C1823,C1823,$D$2:D1823,D1823)*7,10)&lt;3,"teste","treino"))</f>
        <v/>
      </c>
      <c r="N1823" s="16"/>
      <c r="O1823" s="16"/>
      <c r="P1823" s="16"/>
      <c r="Q1823" s="17"/>
    </row>
    <row r="1824" customFormat="false" ht="15" hidden="false" customHeight="false" outlineLevel="0" collapsed="false">
      <c r="A1824" s="15" t="str">
        <f aca="false">IF(B1824="","",ROW()-1)</f>
        <v/>
      </c>
      <c r="B1824" s="16"/>
      <c r="C1824" s="16"/>
      <c r="D1824" s="16"/>
      <c r="E1824" s="16"/>
      <c r="F1824" s="17"/>
      <c r="G1824" s="16"/>
      <c r="H1824" s="16"/>
      <c r="I1824" s="16"/>
      <c r="J1824" s="16"/>
      <c r="K1824" s="16"/>
      <c r="L1824" s="16"/>
      <c r="M1824" s="18" t="str">
        <f aca="false">IF(OR(C1824="",D1824=""),"",IF(MOD(COUNTIFS($C$2:C1824,C1824,$D$2:D1824,D1824)*7,10)&lt;3,"teste","treino"))</f>
        <v/>
      </c>
      <c r="N1824" s="16"/>
      <c r="O1824" s="16"/>
      <c r="P1824" s="16"/>
      <c r="Q1824" s="17"/>
    </row>
    <row r="1825" customFormat="false" ht="15" hidden="false" customHeight="false" outlineLevel="0" collapsed="false">
      <c r="A1825" s="15" t="str">
        <f aca="false">IF(B1825="","",ROW()-1)</f>
        <v/>
      </c>
      <c r="B1825" s="16"/>
      <c r="C1825" s="16"/>
      <c r="D1825" s="16"/>
      <c r="E1825" s="16"/>
      <c r="F1825" s="17"/>
      <c r="G1825" s="16"/>
      <c r="H1825" s="16"/>
      <c r="I1825" s="16"/>
      <c r="J1825" s="16"/>
      <c r="K1825" s="16"/>
      <c r="L1825" s="16"/>
      <c r="M1825" s="18" t="str">
        <f aca="false">IF(OR(C1825="",D1825=""),"",IF(MOD(COUNTIFS($C$2:C1825,C1825,$D$2:D1825,D1825)*7,10)&lt;3,"teste","treino"))</f>
        <v/>
      </c>
      <c r="N1825" s="16"/>
      <c r="O1825" s="16"/>
      <c r="P1825" s="16"/>
      <c r="Q1825" s="17"/>
    </row>
    <row r="1826" customFormat="false" ht="15" hidden="false" customHeight="false" outlineLevel="0" collapsed="false">
      <c r="A1826" s="15" t="str">
        <f aca="false">IF(B1826="","",ROW()-1)</f>
        <v/>
      </c>
      <c r="B1826" s="16"/>
      <c r="C1826" s="16"/>
      <c r="D1826" s="16"/>
      <c r="E1826" s="16"/>
      <c r="F1826" s="17"/>
      <c r="G1826" s="16"/>
      <c r="H1826" s="16"/>
      <c r="I1826" s="16"/>
      <c r="J1826" s="16"/>
      <c r="K1826" s="16"/>
      <c r="L1826" s="16"/>
      <c r="M1826" s="18" t="str">
        <f aca="false">IF(OR(C1826="",D1826=""),"",IF(MOD(COUNTIFS($C$2:C1826,C1826,$D$2:D1826,D1826)*7,10)&lt;3,"teste","treino"))</f>
        <v/>
      </c>
      <c r="N1826" s="16"/>
      <c r="O1826" s="16"/>
      <c r="P1826" s="16"/>
      <c r="Q1826" s="17"/>
    </row>
    <row r="1827" customFormat="false" ht="15" hidden="false" customHeight="false" outlineLevel="0" collapsed="false">
      <c r="A1827" s="15" t="str">
        <f aca="false">IF(B1827="","",ROW()-1)</f>
        <v/>
      </c>
      <c r="B1827" s="16"/>
      <c r="C1827" s="16"/>
      <c r="D1827" s="16"/>
      <c r="E1827" s="16"/>
      <c r="F1827" s="17"/>
      <c r="G1827" s="16"/>
      <c r="H1827" s="16"/>
      <c r="I1827" s="16"/>
      <c r="J1827" s="16"/>
      <c r="K1827" s="16"/>
      <c r="L1827" s="16"/>
      <c r="M1827" s="18" t="str">
        <f aca="false">IF(OR(C1827="",D1827=""),"",IF(MOD(COUNTIFS($C$2:C1827,C1827,$D$2:D1827,D1827)*7,10)&lt;3,"teste","treino"))</f>
        <v/>
      </c>
      <c r="N1827" s="16"/>
      <c r="O1827" s="16"/>
      <c r="P1827" s="16"/>
      <c r="Q1827" s="17"/>
    </row>
    <row r="1828" customFormat="false" ht="15" hidden="false" customHeight="false" outlineLevel="0" collapsed="false">
      <c r="A1828" s="15" t="str">
        <f aca="false">IF(B1828="","",ROW()-1)</f>
        <v/>
      </c>
      <c r="B1828" s="16"/>
      <c r="C1828" s="16"/>
      <c r="D1828" s="16"/>
      <c r="E1828" s="16"/>
      <c r="F1828" s="17"/>
      <c r="G1828" s="16"/>
      <c r="H1828" s="16"/>
      <c r="I1828" s="16"/>
      <c r="J1828" s="16"/>
      <c r="K1828" s="16"/>
      <c r="L1828" s="16"/>
      <c r="M1828" s="18" t="str">
        <f aca="false">IF(OR(C1828="",D1828=""),"",IF(MOD(COUNTIFS($C$2:C1828,C1828,$D$2:D1828,D1828)*7,10)&lt;3,"teste","treino"))</f>
        <v/>
      </c>
      <c r="N1828" s="16"/>
      <c r="O1828" s="16"/>
      <c r="P1828" s="16"/>
      <c r="Q1828" s="17"/>
    </row>
    <row r="1829" customFormat="false" ht="15" hidden="false" customHeight="false" outlineLevel="0" collapsed="false">
      <c r="A1829" s="15" t="str">
        <f aca="false">IF(B1829="","",ROW()-1)</f>
        <v/>
      </c>
      <c r="B1829" s="16"/>
      <c r="C1829" s="16"/>
      <c r="D1829" s="16"/>
      <c r="E1829" s="16"/>
      <c r="F1829" s="17"/>
      <c r="G1829" s="16"/>
      <c r="H1829" s="16"/>
      <c r="I1829" s="16"/>
      <c r="J1829" s="16"/>
      <c r="K1829" s="16"/>
      <c r="L1829" s="16"/>
      <c r="M1829" s="18" t="str">
        <f aca="false">IF(OR(C1829="",D1829=""),"",IF(MOD(COUNTIFS($C$2:C1829,C1829,$D$2:D1829,D1829)*7,10)&lt;3,"teste","treino"))</f>
        <v/>
      </c>
      <c r="N1829" s="16"/>
      <c r="O1829" s="16"/>
      <c r="P1829" s="16"/>
      <c r="Q1829" s="17"/>
    </row>
    <row r="1830" customFormat="false" ht="15" hidden="false" customHeight="false" outlineLevel="0" collapsed="false">
      <c r="A1830" s="15" t="str">
        <f aca="false">IF(B1830="","",ROW()-1)</f>
        <v/>
      </c>
      <c r="B1830" s="16"/>
      <c r="C1830" s="16"/>
      <c r="D1830" s="16"/>
      <c r="E1830" s="16"/>
      <c r="F1830" s="17"/>
      <c r="G1830" s="16"/>
      <c r="H1830" s="16"/>
      <c r="I1830" s="16"/>
      <c r="J1830" s="16"/>
      <c r="K1830" s="16"/>
      <c r="L1830" s="16"/>
      <c r="M1830" s="18" t="str">
        <f aca="false">IF(OR(C1830="",D1830=""),"",IF(MOD(COUNTIFS($C$2:C1830,C1830,$D$2:D1830,D1830)*7,10)&lt;3,"teste","treino"))</f>
        <v/>
      </c>
      <c r="N1830" s="16"/>
      <c r="O1830" s="16"/>
      <c r="P1830" s="16"/>
      <c r="Q1830" s="17"/>
    </row>
    <row r="1831" customFormat="false" ht="15" hidden="false" customHeight="false" outlineLevel="0" collapsed="false">
      <c r="A1831" s="15" t="str">
        <f aca="false">IF(B1831="","",ROW()-1)</f>
        <v/>
      </c>
      <c r="B1831" s="16"/>
      <c r="C1831" s="16"/>
      <c r="D1831" s="16"/>
      <c r="E1831" s="16"/>
      <c r="F1831" s="17"/>
      <c r="G1831" s="16"/>
      <c r="H1831" s="16"/>
      <c r="I1831" s="16"/>
      <c r="J1831" s="16"/>
      <c r="K1831" s="16"/>
      <c r="L1831" s="16"/>
      <c r="M1831" s="18" t="str">
        <f aca="false">IF(OR(C1831="",D1831=""),"",IF(MOD(COUNTIFS($C$2:C1831,C1831,$D$2:D1831,D1831)*7,10)&lt;3,"teste","treino"))</f>
        <v/>
      </c>
      <c r="N1831" s="16"/>
      <c r="O1831" s="16"/>
      <c r="P1831" s="16"/>
      <c r="Q1831" s="17"/>
    </row>
    <row r="1832" customFormat="false" ht="15" hidden="false" customHeight="false" outlineLevel="0" collapsed="false">
      <c r="A1832" s="15" t="str">
        <f aca="false">IF(B1832="","",ROW()-1)</f>
        <v/>
      </c>
      <c r="B1832" s="16"/>
      <c r="C1832" s="16"/>
      <c r="D1832" s="16"/>
      <c r="E1832" s="16"/>
      <c r="F1832" s="17"/>
      <c r="G1832" s="16"/>
      <c r="H1832" s="16"/>
      <c r="I1832" s="16"/>
      <c r="J1832" s="16"/>
      <c r="K1832" s="16"/>
      <c r="L1832" s="16"/>
      <c r="M1832" s="18" t="str">
        <f aca="false">IF(OR(C1832="",D1832=""),"",IF(MOD(COUNTIFS($C$2:C1832,C1832,$D$2:D1832,D1832)*7,10)&lt;3,"teste","treino"))</f>
        <v/>
      </c>
      <c r="N1832" s="16"/>
      <c r="O1832" s="16"/>
      <c r="P1832" s="16"/>
      <c r="Q1832" s="17"/>
    </row>
    <row r="1833" customFormat="false" ht="15" hidden="false" customHeight="false" outlineLevel="0" collapsed="false">
      <c r="A1833" s="15" t="str">
        <f aca="false">IF(B1833="","",ROW()-1)</f>
        <v/>
      </c>
      <c r="B1833" s="16"/>
      <c r="C1833" s="16"/>
      <c r="D1833" s="16"/>
      <c r="E1833" s="16"/>
      <c r="F1833" s="17"/>
      <c r="G1833" s="16"/>
      <c r="H1833" s="16"/>
      <c r="I1833" s="16"/>
      <c r="J1833" s="16"/>
      <c r="K1833" s="16"/>
      <c r="L1833" s="16"/>
      <c r="M1833" s="18" t="str">
        <f aca="false">IF(OR(C1833="",D1833=""),"",IF(MOD(COUNTIFS($C$2:C1833,C1833,$D$2:D1833,D1833)*7,10)&lt;3,"teste","treino"))</f>
        <v/>
      </c>
      <c r="N1833" s="16"/>
      <c r="O1833" s="16"/>
      <c r="P1833" s="16"/>
      <c r="Q1833" s="17"/>
    </row>
    <row r="1834" customFormat="false" ht="15" hidden="false" customHeight="false" outlineLevel="0" collapsed="false">
      <c r="A1834" s="15" t="str">
        <f aca="false">IF(B1834="","",ROW()-1)</f>
        <v/>
      </c>
      <c r="B1834" s="16"/>
      <c r="C1834" s="16"/>
      <c r="D1834" s="16"/>
      <c r="E1834" s="16"/>
      <c r="F1834" s="17"/>
      <c r="G1834" s="16"/>
      <c r="H1834" s="16"/>
      <c r="I1834" s="16"/>
      <c r="J1834" s="16"/>
      <c r="K1834" s="16"/>
      <c r="L1834" s="16"/>
      <c r="M1834" s="18" t="str">
        <f aca="false">IF(OR(C1834="",D1834=""),"",IF(MOD(COUNTIFS($C$2:C1834,C1834,$D$2:D1834,D1834)*7,10)&lt;3,"teste","treino"))</f>
        <v/>
      </c>
      <c r="N1834" s="16"/>
      <c r="O1834" s="16"/>
      <c r="P1834" s="16"/>
      <c r="Q1834" s="17"/>
    </row>
    <row r="1835" customFormat="false" ht="15" hidden="false" customHeight="false" outlineLevel="0" collapsed="false">
      <c r="A1835" s="15" t="str">
        <f aca="false">IF(B1835="","",ROW()-1)</f>
        <v/>
      </c>
      <c r="B1835" s="16"/>
      <c r="C1835" s="16"/>
      <c r="D1835" s="16"/>
      <c r="E1835" s="16"/>
      <c r="F1835" s="17"/>
      <c r="G1835" s="16"/>
      <c r="H1835" s="16"/>
      <c r="I1835" s="16"/>
      <c r="J1835" s="16"/>
      <c r="K1835" s="16"/>
      <c r="L1835" s="16"/>
      <c r="M1835" s="18" t="str">
        <f aca="false">IF(OR(C1835="",D1835=""),"",IF(MOD(COUNTIFS($C$2:C1835,C1835,$D$2:D1835,D1835)*7,10)&lt;3,"teste","treino"))</f>
        <v/>
      </c>
      <c r="N1835" s="16"/>
      <c r="O1835" s="16"/>
      <c r="P1835" s="16"/>
      <c r="Q1835" s="17"/>
    </row>
    <row r="1836" customFormat="false" ht="15" hidden="false" customHeight="false" outlineLevel="0" collapsed="false">
      <c r="A1836" s="15" t="str">
        <f aca="false">IF(B1836="","",ROW()-1)</f>
        <v/>
      </c>
      <c r="B1836" s="16"/>
      <c r="C1836" s="16"/>
      <c r="D1836" s="16"/>
      <c r="E1836" s="16"/>
      <c r="F1836" s="17"/>
      <c r="G1836" s="16"/>
      <c r="H1836" s="16"/>
      <c r="I1836" s="16"/>
      <c r="J1836" s="16"/>
      <c r="K1836" s="16"/>
      <c r="L1836" s="16"/>
      <c r="M1836" s="18" t="str">
        <f aca="false">IF(OR(C1836="",D1836=""),"",IF(MOD(COUNTIFS($C$2:C1836,C1836,$D$2:D1836,D1836)*7,10)&lt;3,"teste","treino"))</f>
        <v/>
      </c>
      <c r="N1836" s="16"/>
      <c r="O1836" s="16"/>
      <c r="P1836" s="16"/>
      <c r="Q1836" s="17"/>
    </row>
    <row r="1837" customFormat="false" ht="15" hidden="false" customHeight="false" outlineLevel="0" collapsed="false">
      <c r="A1837" s="15" t="str">
        <f aca="false">IF(B1837="","",ROW()-1)</f>
        <v/>
      </c>
      <c r="B1837" s="16"/>
      <c r="C1837" s="16"/>
      <c r="D1837" s="16"/>
      <c r="E1837" s="16"/>
      <c r="F1837" s="17"/>
      <c r="G1837" s="16"/>
      <c r="H1837" s="16"/>
      <c r="I1837" s="16"/>
      <c r="J1837" s="16"/>
      <c r="K1837" s="16"/>
      <c r="L1837" s="16"/>
      <c r="M1837" s="18" t="str">
        <f aca="false">IF(OR(C1837="",D1837=""),"",IF(MOD(COUNTIFS($C$2:C1837,C1837,$D$2:D1837,D1837)*7,10)&lt;3,"teste","treino"))</f>
        <v/>
      </c>
      <c r="N1837" s="16"/>
      <c r="O1837" s="16"/>
      <c r="P1837" s="16"/>
      <c r="Q1837" s="17"/>
    </row>
    <row r="1838" customFormat="false" ht="15" hidden="false" customHeight="false" outlineLevel="0" collapsed="false">
      <c r="A1838" s="15" t="str">
        <f aca="false">IF(B1838="","",ROW()-1)</f>
        <v/>
      </c>
      <c r="B1838" s="16"/>
      <c r="C1838" s="16"/>
      <c r="D1838" s="16"/>
      <c r="E1838" s="16"/>
      <c r="F1838" s="17"/>
      <c r="G1838" s="16"/>
      <c r="H1838" s="16"/>
      <c r="I1838" s="16"/>
      <c r="J1838" s="16"/>
      <c r="K1838" s="16"/>
      <c r="L1838" s="16"/>
      <c r="M1838" s="18" t="str">
        <f aca="false">IF(OR(C1838="",D1838=""),"",IF(MOD(COUNTIFS($C$2:C1838,C1838,$D$2:D1838,D1838)*7,10)&lt;3,"teste","treino"))</f>
        <v/>
      </c>
      <c r="N1838" s="16"/>
      <c r="O1838" s="16"/>
      <c r="P1838" s="16"/>
      <c r="Q1838" s="17"/>
    </row>
    <row r="1839" customFormat="false" ht="15" hidden="false" customHeight="false" outlineLevel="0" collapsed="false">
      <c r="A1839" s="15" t="str">
        <f aca="false">IF(B1839="","",ROW()-1)</f>
        <v/>
      </c>
      <c r="B1839" s="16"/>
      <c r="C1839" s="16"/>
      <c r="D1839" s="16"/>
      <c r="E1839" s="16"/>
      <c r="F1839" s="17"/>
      <c r="G1839" s="16"/>
      <c r="H1839" s="16"/>
      <c r="I1839" s="16"/>
      <c r="J1839" s="16"/>
      <c r="K1839" s="16"/>
      <c r="L1839" s="16"/>
      <c r="M1839" s="18" t="str">
        <f aca="false">IF(OR(C1839="",D1839=""),"",IF(MOD(COUNTIFS($C$2:C1839,C1839,$D$2:D1839,D1839)*7,10)&lt;3,"teste","treino"))</f>
        <v/>
      </c>
      <c r="N1839" s="16"/>
      <c r="O1839" s="16"/>
      <c r="P1839" s="16"/>
      <c r="Q1839" s="17"/>
    </row>
    <row r="1840" customFormat="false" ht="15" hidden="false" customHeight="false" outlineLevel="0" collapsed="false">
      <c r="A1840" s="15" t="str">
        <f aca="false">IF(B1840="","",ROW()-1)</f>
        <v/>
      </c>
      <c r="B1840" s="16"/>
      <c r="C1840" s="16"/>
      <c r="D1840" s="16"/>
      <c r="E1840" s="16"/>
      <c r="F1840" s="17"/>
      <c r="G1840" s="16"/>
      <c r="H1840" s="16"/>
      <c r="I1840" s="16"/>
      <c r="J1840" s="16"/>
      <c r="K1840" s="16"/>
      <c r="L1840" s="16"/>
      <c r="M1840" s="18" t="str">
        <f aca="false">IF(OR(C1840="",D1840=""),"",IF(MOD(COUNTIFS($C$2:C1840,C1840,$D$2:D1840,D1840)*7,10)&lt;3,"teste","treino"))</f>
        <v/>
      </c>
      <c r="N1840" s="16"/>
      <c r="O1840" s="16"/>
      <c r="P1840" s="16"/>
      <c r="Q1840" s="17"/>
    </row>
    <row r="1841" customFormat="false" ht="15" hidden="false" customHeight="false" outlineLevel="0" collapsed="false">
      <c r="A1841" s="15" t="str">
        <f aca="false">IF(B1841="","",ROW()-1)</f>
        <v/>
      </c>
      <c r="B1841" s="16"/>
      <c r="C1841" s="16"/>
      <c r="D1841" s="16"/>
      <c r="E1841" s="16"/>
      <c r="F1841" s="17"/>
      <c r="G1841" s="16"/>
      <c r="H1841" s="16"/>
      <c r="I1841" s="16"/>
      <c r="J1841" s="16"/>
      <c r="K1841" s="16"/>
      <c r="L1841" s="16"/>
      <c r="M1841" s="18" t="str">
        <f aca="false">IF(OR(C1841="",D1841=""),"",IF(MOD(COUNTIFS($C$2:C1841,C1841,$D$2:D1841,D1841)*7,10)&lt;3,"teste","treino"))</f>
        <v/>
      </c>
      <c r="N1841" s="16"/>
      <c r="O1841" s="16"/>
      <c r="P1841" s="16"/>
      <c r="Q1841" s="17"/>
    </row>
    <row r="1842" customFormat="false" ht="15" hidden="false" customHeight="false" outlineLevel="0" collapsed="false">
      <c r="A1842" s="15" t="str">
        <f aca="false">IF(B1842="","",ROW()-1)</f>
        <v/>
      </c>
      <c r="B1842" s="16"/>
      <c r="C1842" s="16"/>
      <c r="D1842" s="16"/>
      <c r="E1842" s="16"/>
      <c r="F1842" s="17"/>
      <c r="G1842" s="16"/>
      <c r="H1842" s="16"/>
      <c r="I1842" s="16"/>
      <c r="J1842" s="16"/>
      <c r="K1842" s="16"/>
      <c r="L1842" s="16"/>
      <c r="M1842" s="18" t="str">
        <f aca="false">IF(OR(C1842="",D1842=""),"",IF(MOD(COUNTIFS($C$2:C1842,C1842,$D$2:D1842,D1842)*7,10)&lt;3,"teste","treino"))</f>
        <v/>
      </c>
      <c r="N1842" s="16"/>
      <c r="O1842" s="16"/>
      <c r="P1842" s="16"/>
      <c r="Q1842" s="17"/>
    </row>
    <row r="1843" customFormat="false" ht="15" hidden="false" customHeight="false" outlineLevel="0" collapsed="false">
      <c r="A1843" s="15" t="str">
        <f aca="false">IF(B1843="","",ROW()-1)</f>
        <v/>
      </c>
      <c r="B1843" s="16"/>
      <c r="C1843" s="16"/>
      <c r="D1843" s="16"/>
      <c r="E1843" s="16"/>
      <c r="F1843" s="17"/>
      <c r="G1843" s="16"/>
      <c r="H1843" s="16"/>
      <c r="I1843" s="16"/>
      <c r="J1843" s="16"/>
      <c r="K1843" s="16"/>
      <c r="L1843" s="16"/>
      <c r="M1843" s="18" t="str">
        <f aca="false">IF(OR(C1843="",D1843=""),"",IF(MOD(COUNTIFS($C$2:C1843,C1843,$D$2:D1843,D1843)*7,10)&lt;3,"teste","treino"))</f>
        <v/>
      </c>
      <c r="N1843" s="16"/>
      <c r="O1843" s="16"/>
      <c r="P1843" s="16"/>
      <c r="Q1843" s="17"/>
    </row>
    <row r="1844" customFormat="false" ht="15" hidden="false" customHeight="false" outlineLevel="0" collapsed="false">
      <c r="A1844" s="15" t="str">
        <f aca="false">IF(B1844="","",ROW()-1)</f>
        <v/>
      </c>
      <c r="B1844" s="16"/>
      <c r="C1844" s="16"/>
      <c r="D1844" s="16"/>
      <c r="E1844" s="16"/>
      <c r="F1844" s="17"/>
      <c r="G1844" s="16"/>
      <c r="H1844" s="16"/>
      <c r="I1844" s="16"/>
      <c r="J1844" s="16"/>
      <c r="K1844" s="16"/>
      <c r="L1844" s="16"/>
      <c r="M1844" s="18" t="str">
        <f aca="false">IF(OR(C1844="",D1844=""),"",IF(MOD(COUNTIFS($C$2:C1844,C1844,$D$2:D1844,D1844)*7,10)&lt;3,"teste","treino"))</f>
        <v/>
      </c>
      <c r="N1844" s="16"/>
      <c r="O1844" s="16"/>
      <c r="P1844" s="16"/>
      <c r="Q1844" s="17"/>
    </row>
    <row r="1845" customFormat="false" ht="15" hidden="false" customHeight="false" outlineLevel="0" collapsed="false">
      <c r="A1845" s="15" t="str">
        <f aca="false">IF(B1845="","",ROW()-1)</f>
        <v/>
      </c>
      <c r="B1845" s="16"/>
      <c r="C1845" s="16"/>
      <c r="D1845" s="16"/>
      <c r="E1845" s="16"/>
      <c r="F1845" s="17"/>
      <c r="G1845" s="16"/>
      <c r="H1845" s="16"/>
      <c r="I1845" s="16"/>
      <c r="J1845" s="16"/>
      <c r="K1845" s="16"/>
      <c r="L1845" s="16"/>
      <c r="M1845" s="18" t="str">
        <f aca="false">IF(OR(C1845="",D1845=""),"",IF(MOD(COUNTIFS($C$2:C1845,C1845,$D$2:D1845,D1845)*7,10)&lt;3,"teste","treino"))</f>
        <v/>
      </c>
      <c r="N1845" s="16"/>
      <c r="O1845" s="16"/>
      <c r="P1845" s="16"/>
      <c r="Q1845" s="17"/>
    </row>
    <row r="1846" customFormat="false" ht="15" hidden="false" customHeight="false" outlineLevel="0" collapsed="false">
      <c r="A1846" s="15" t="str">
        <f aca="false">IF(B1846="","",ROW()-1)</f>
        <v/>
      </c>
      <c r="B1846" s="16"/>
      <c r="C1846" s="16"/>
      <c r="D1846" s="16"/>
      <c r="E1846" s="16"/>
      <c r="F1846" s="17"/>
      <c r="G1846" s="16"/>
      <c r="H1846" s="16"/>
      <c r="I1846" s="16"/>
      <c r="J1846" s="16"/>
      <c r="K1846" s="16"/>
      <c r="L1846" s="16"/>
      <c r="M1846" s="18" t="str">
        <f aca="false">IF(OR(C1846="",D1846=""),"",IF(MOD(COUNTIFS($C$2:C1846,C1846,$D$2:D1846,D1846)*7,10)&lt;3,"teste","treino"))</f>
        <v/>
      </c>
      <c r="N1846" s="16"/>
      <c r="O1846" s="16"/>
      <c r="P1846" s="16"/>
      <c r="Q1846" s="17"/>
    </row>
    <row r="1847" customFormat="false" ht="15" hidden="false" customHeight="false" outlineLevel="0" collapsed="false">
      <c r="A1847" s="15" t="str">
        <f aca="false">IF(B1847="","",ROW()-1)</f>
        <v/>
      </c>
      <c r="B1847" s="16"/>
      <c r="C1847" s="16"/>
      <c r="D1847" s="16"/>
      <c r="E1847" s="16"/>
      <c r="F1847" s="17"/>
      <c r="G1847" s="16"/>
      <c r="H1847" s="16"/>
      <c r="I1847" s="16"/>
      <c r="J1847" s="16"/>
      <c r="K1847" s="16"/>
      <c r="L1847" s="16"/>
      <c r="M1847" s="18" t="str">
        <f aca="false">IF(OR(C1847="",D1847=""),"",IF(MOD(COUNTIFS($C$2:C1847,C1847,$D$2:D1847,D1847)*7,10)&lt;3,"teste","treino"))</f>
        <v/>
      </c>
      <c r="N1847" s="16"/>
      <c r="O1847" s="16"/>
      <c r="P1847" s="16"/>
      <c r="Q1847" s="17"/>
    </row>
    <row r="1848" customFormat="false" ht="15" hidden="false" customHeight="false" outlineLevel="0" collapsed="false">
      <c r="A1848" s="15" t="str">
        <f aca="false">IF(B1848="","",ROW()-1)</f>
        <v/>
      </c>
      <c r="B1848" s="16"/>
      <c r="C1848" s="16"/>
      <c r="D1848" s="16"/>
      <c r="E1848" s="16"/>
      <c r="F1848" s="17"/>
      <c r="G1848" s="16"/>
      <c r="H1848" s="16"/>
      <c r="I1848" s="16"/>
      <c r="J1848" s="16"/>
      <c r="K1848" s="16"/>
      <c r="L1848" s="16"/>
      <c r="M1848" s="18" t="str">
        <f aca="false">IF(OR(C1848="",D1848=""),"",IF(MOD(COUNTIFS($C$2:C1848,C1848,$D$2:D1848,D1848)*7,10)&lt;3,"teste","treino"))</f>
        <v/>
      </c>
      <c r="N1848" s="16"/>
      <c r="O1848" s="16"/>
      <c r="P1848" s="16"/>
      <c r="Q1848" s="17"/>
    </row>
    <row r="1849" customFormat="false" ht="15" hidden="false" customHeight="false" outlineLevel="0" collapsed="false">
      <c r="A1849" s="15" t="str">
        <f aca="false">IF(B1849="","",ROW()-1)</f>
        <v/>
      </c>
      <c r="B1849" s="16"/>
      <c r="C1849" s="16"/>
      <c r="D1849" s="16"/>
      <c r="E1849" s="16"/>
      <c r="F1849" s="17"/>
      <c r="G1849" s="16"/>
      <c r="H1849" s="16"/>
      <c r="I1849" s="16"/>
      <c r="J1849" s="16"/>
      <c r="K1849" s="16"/>
      <c r="L1849" s="16"/>
      <c r="M1849" s="18" t="str">
        <f aca="false">IF(OR(C1849="",D1849=""),"",IF(MOD(COUNTIFS($C$2:C1849,C1849,$D$2:D1849,D1849)*7,10)&lt;3,"teste","treino"))</f>
        <v/>
      </c>
      <c r="N1849" s="16"/>
      <c r="O1849" s="16"/>
      <c r="P1849" s="16"/>
      <c r="Q1849" s="17"/>
    </row>
    <row r="1850" customFormat="false" ht="15" hidden="false" customHeight="false" outlineLevel="0" collapsed="false">
      <c r="A1850" s="15" t="str">
        <f aca="false">IF(B1850="","",ROW()-1)</f>
        <v/>
      </c>
      <c r="B1850" s="16"/>
      <c r="C1850" s="16"/>
      <c r="D1850" s="16"/>
      <c r="E1850" s="16"/>
      <c r="F1850" s="17"/>
      <c r="G1850" s="16"/>
      <c r="H1850" s="16"/>
      <c r="I1850" s="16"/>
      <c r="J1850" s="16"/>
      <c r="K1850" s="16"/>
      <c r="L1850" s="16"/>
      <c r="M1850" s="18" t="str">
        <f aca="false">IF(OR(C1850="",D1850=""),"",IF(MOD(COUNTIFS($C$2:C1850,C1850,$D$2:D1850,D1850)*7,10)&lt;3,"teste","treino"))</f>
        <v/>
      </c>
      <c r="N1850" s="16"/>
      <c r="O1850" s="16"/>
      <c r="P1850" s="16"/>
      <c r="Q1850" s="17"/>
    </row>
    <row r="1851" customFormat="false" ht="15" hidden="false" customHeight="false" outlineLevel="0" collapsed="false">
      <c r="A1851" s="15" t="str">
        <f aca="false">IF(B1851="","",ROW()-1)</f>
        <v/>
      </c>
      <c r="B1851" s="16"/>
      <c r="C1851" s="16"/>
      <c r="D1851" s="16"/>
      <c r="E1851" s="16"/>
      <c r="F1851" s="17"/>
      <c r="G1851" s="16"/>
      <c r="H1851" s="16"/>
      <c r="I1851" s="16"/>
      <c r="J1851" s="16"/>
      <c r="K1851" s="16"/>
      <c r="L1851" s="16"/>
      <c r="M1851" s="18" t="str">
        <f aca="false">IF(OR(C1851="",D1851=""),"",IF(MOD(COUNTIFS($C$2:C1851,C1851,$D$2:D1851,D1851)*7,10)&lt;3,"teste","treino"))</f>
        <v/>
      </c>
      <c r="N1851" s="16"/>
      <c r="O1851" s="16"/>
      <c r="P1851" s="16"/>
      <c r="Q1851" s="17"/>
    </row>
    <row r="1852" customFormat="false" ht="15" hidden="false" customHeight="false" outlineLevel="0" collapsed="false">
      <c r="A1852" s="15" t="str">
        <f aca="false">IF(B1852="","",ROW()-1)</f>
        <v/>
      </c>
      <c r="B1852" s="16"/>
      <c r="C1852" s="16"/>
      <c r="D1852" s="16"/>
      <c r="E1852" s="16"/>
      <c r="F1852" s="17"/>
      <c r="G1852" s="16"/>
      <c r="H1852" s="16"/>
      <c r="I1852" s="16"/>
      <c r="J1852" s="16"/>
      <c r="K1852" s="16"/>
      <c r="L1852" s="16"/>
      <c r="M1852" s="18" t="str">
        <f aca="false">IF(OR(C1852="",D1852=""),"",IF(MOD(COUNTIFS($C$2:C1852,C1852,$D$2:D1852,D1852)*7,10)&lt;3,"teste","treino"))</f>
        <v/>
      </c>
      <c r="N1852" s="16"/>
      <c r="O1852" s="16"/>
      <c r="P1852" s="16"/>
      <c r="Q1852" s="17"/>
    </row>
    <row r="1853" customFormat="false" ht="15" hidden="false" customHeight="false" outlineLevel="0" collapsed="false">
      <c r="A1853" s="15" t="str">
        <f aca="false">IF(B1853="","",ROW()-1)</f>
        <v/>
      </c>
      <c r="B1853" s="16"/>
      <c r="C1853" s="16"/>
      <c r="D1853" s="16"/>
      <c r="E1853" s="16"/>
      <c r="F1853" s="17"/>
      <c r="G1853" s="16"/>
      <c r="H1853" s="16"/>
      <c r="I1853" s="16"/>
      <c r="J1853" s="16"/>
      <c r="K1853" s="16"/>
      <c r="L1853" s="16"/>
      <c r="M1853" s="18" t="str">
        <f aca="false">IF(OR(C1853="",D1853=""),"",IF(MOD(COUNTIFS($C$2:C1853,C1853,$D$2:D1853,D1853)*7,10)&lt;3,"teste","treino"))</f>
        <v/>
      </c>
      <c r="N1853" s="16"/>
      <c r="O1853" s="16"/>
      <c r="P1853" s="16"/>
      <c r="Q1853" s="17"/>
    </row>
    <row r="1854" customFormat="false" ht="15" hidden="false" customHeight="false" outlineLevel="0" collapsed="false">
      <c r="A1854" s="15" t="str">
        <f aca="false">IF(B1854="","",ROW()-1)</f>
        <v/>
      </c>
      <c r="B1854" s="16"/>
      <c r="C1854" s="16"/>
      <c r="D1854" s="16"/>
      <c r="E1854" s="16"/>
      <c r="F1854" s="17"/>
      <c r="G1854" s="16"/>
      <c r="H1854" s="16"/>
      <c r="I1854" s="16"/>
      <c r="J1854" s="16"/>
      <c r="K1854" s="16"/>
      <c r="L1854" s="16"/>
      <c r="M1854" s="18" t="str">
        <f aca="false">IF(OR(C1854="",D1854=""),"",IF(MOD(COUNTIFS($C$2:C1854,C1854,$D$2:D1854,D1854)*7,10)&lt;3,"teste","treino"))</f>
        <v/>
      </c>
      <c r="N1854" s="16"/>
      <c r="O1854" s="16"/>
      <c r="P1854" s="16"/>
      <c r="Q1854" s="17"/>
    </row>
    <row r="1855" customFormat="false" ht="15" hidden="false" customHeight="false" outlineLevel="0" collapsed="false">
      <c r="A1855" s="15" t="str">
        <f aca="false">IF(B1855="","",ROW()-1)</f>
        <v/>
      </c>
      <c r="B1855" s="16"/>
      <c r="C1855" s="16"/>
      <c r="D1855" s="16"/>
      <c r="E1855" s="16"/>
      <c r="F1855" s="17"/>
      <c r="G1855" s="16"/>
      <c r="H1855" s="16"/>
      <c r="I1855" s="16"/>
      <c r="J1855" s="16"/>
      <c r="K1855" s="16"/>
      <c r="L1855" s="16"/>
      <c r="M1855" s="18" t="str">
        <f aca="false">IF(OR(C1855="",D1855=""),"",IF(MOD(COUNTIFS($C$2:C1855,C1855,$D$2:D1855,D1855)*7,10)&lt;3,"teste","treino"))</f>
        <v/>
      </c>
      <c r="N1855" s="16"/>
      <c r="O1855" s="16"/>
      <c r="P1855" s="16"/>
      <c r="Q1855" s="17"/>
    </row>
    <row r="1856" customFormat="false" ht="15" hidden="false" customHeight="false" outlineLevel="0" collapsed="false">
      <c r="A1856" s="15" t="str">
        <f aca="false">IF(B1856="","",ROW()-1)</f>
        <v/>
      </c>
      <c r="B1856" s="16"/>
      <c r="C1856" s="16"/>
      <c r="D1856" s="16"/>
      <c r="E1856" s="16"/>
      <c r="F1856" s="17"/>
      <c r="G1856" s="16"/>
      <c r="H1856" s="16"/>
      <c r="I1856" s="16"/>
      <c r="J1856" s="16"/>
      <c r="K1856" s="16"/>
      <c r="L1856" s="16"/>
      <c r="M1856" s="18" t="str">
        <f aca="false">IF(OR(C1856="",D1856=""),"",IF(MOD(COUNTIFS($C$2:C1856,C1856,$D$2:D1856,D1856)*7,10)&lt;3,"teste","treino"))</f>
        <v/>
      </c>
      <c r="N1856" s="16"/>
      <c r="O1856" s="16"/>
      <c r="P1856" s="16"/>
      <c r="Q1856" s="17"/>
    </row>
    <row r="1857" customFormat="false" ht="15" hidden="false" customHeight="false" outlineLevel="0" collapsed="false">
      <c r="A1857" s="15" t="str">
        <f aca="false">IF(B1857="","",ROW()-1)</f>
        <v/>
      </c>
      <c r="B1857" s="16"/>
      <c r="C1857" s="16"/>
      <c r="D1857" s="16"/>
      <c r="E1857" s="16"/>
      <c r="F1857" s="17"/>
      <c r="G1857" s="16"/>
      <c r="H1857" s="16"/>
      <c r="I1857" s="16"/>
      <c r="J1857" s="16"/>
      <c r="K1857" s="16"/>
      <c r="L1857" s="16"/>
      <c r="M1857" s="18" t="str">
        <f aca="false">IF(OR(C1857="",D1857=""),"",IF(MOD(COUNTIFS($C$2:C1857,C1857,$D$2:D1857,D1857)*7,10)&lt;3,"teste","treino"))</f>
        <v/>
      </c>
      <c r="N1857" s="16"/>
      <c r="O1857" s="16"/>
      <c r="P1857" s="16"/>
      <c r="Q1857" s="17"/>
    </row>
    <row r="1858" customFormat="false" ht="15" hidden="false" customHeight="false" outlineLevel="0" collapsed="false">
      <c r="A1858" s="15" t="str">
        <f aca="false">IF(B1858="","",ROW()-1)</f>
        <v/>
      </c>
      <c r="B1858" s="16"/>
      <c r="C1858" s="16"/>
      <c r="D1858" s="16"/>
      <c r="E1858" s="16"/>
      <c r="F1858" s="17"/>
      <c r="G1858" s="16"/>
      <c r="H1858" s="16"/>
      <c r="I1858" s="16"/>
      <c r="J1858" s="16"/>
      <c r="K1858" s="16"/>
      <c r="L1858" s="16"/>
      <c r="M1858" s="18" t="str">
        <f aca="false">IF(OR(C1858="",D1858=""),"",IF(MOD(COUNTIFS($C$2:C1858,C1858,$D$2:D1858,D1858)*7,10)&lt;3,"teste","treino"))</f>
        <v/>
      </c>
      <c r="N1858" s="16"/>
      <c r="O1858" s="16"/>
      <c r="P1858" s="16"/>
      <c r="Q1858" s="17"/>
    </row>
    <row r="1859" customFormat="false" ht="15" hidden="false" customHeight="false" outlineLevel="0" collapsed="false">
      <c r="A1859" s="15" t="str">
        <f aca="false">IF(B1859="","",ROW()-1)</f>
        <v/>
      </c>
      <c r="B1859" s="16"/>
      <c r="C1859" s="16"/>
      <c r="D1859" s="16"/>
      <c r="E1859" s="16"/>
      <c r="F1859" s="17"/>
      <c r="G1859" s="16"/>
      <c r="H1859" s="16"/>
      <c r="I1859" s="16"/>
      <c r="J1859" s="16"/>
      <c r="K1859" s="16"/>
      <c r="L1859" s="16"/>
      <c r="M1859" s="18" t="str">
        <f aca="false">IF(OR(C1859="",D1859=""),"",IF(MOD(COUNTIFS($C$2:C1859,C1859,$D$2:D1859,D1859)*7,10)&lt;3,"teste","treino"))</f>
        <v/>
      </c>
      <c r="N1859" s="16"/>
      <c r="O1859" s="16"/>
      <c r="P1859" s="16"/>
      <c r="Q1859" s="17"/>
    </row>
    <row r="1860" customFormat="false" ht="15" hidden="false" customHeight="false" outlineLevel="0" collapsed="false">
      <c r="A1860" s="15" t="str">
        <f aca="false">IF(B1860="","",ROW()-1)</f>
        <v/>
      </c>
      <c r="B1860" s="16"/>
      <c r="C1860" s="16"/>
      <c r="D1860" s="16"/>
      <c r="E1860" s="16"/>
      <c r="F1860" s="17"/>
      <c r="G1860" s="16"/>
      <c r="H1860" s="16"/>
      <c r="I1860" s="16"/>
      <c r="J1860" s="16"/>
      <c r="K1860" s="16"/>
      <c r="L1860" s="16"/>
      <c r="M1860" s="18" t="str">
        <f aca="false">IF(OR(C1860="",D1860=""),"",IF(MOD(COUNTIFS($C$2:C1860,C1860,$D$2:D1860,D1860)*7,10)&lt;3,"teste","treino"))</f>
        <v/>
      </c>
      <c r="N1860" s="16"/>
      <c r="O1860" s="16"/>
      <c r="P1860" s="16"/>
      <c r="Q1860" s="17"/>
    </row>
    <row r="1861" customFormat="false" ht="15" hidden="false" customHeight="false" outlineLevel="0" collapsed="false">
      <c r="A1861" s="15" t="str">
        <f aca="false">IF(B1861="","",ROW()-1)</f>
        <v/>
      </c>
      <c r="B1861" s="16"/>
      <c r="C1861" s="16"/>
      <c r="D1861" s="16"/>
      <c r="E1861" s="16"/>
      <c r="F1861" s="17"/>
      <c r="G1861" s="16"/>
      <c r="H1861" s="16"/>
      <c r="I1861" s="16"/>
      <c r="J1861" s="16"/>
      <c r="K1861" s="16"/>
      <c r="L1861" s="16"/>
      <c r="M1861" s="18" t="str">
        <f aca="false">IF(OR(C1861="",D1861=""),"",IF(MOD(COUNTIFS($C$2:C1861,C1861,$D$2:D1861,D1861)*7,10)&lt;3,"teste","treino"))</f>
        <v/>
      </c>
      <c r="N1861" s="16"/>
      <c r="O1861" s="16"/>
      <c r="P1861" s="16"/>
      <c r="Q1861" s="17"/>
    </row>
    <row r="1862" customFormat="false" ht="15" hidden="false" customHeight="false" outlineLevel="0" collapsed="false">
      <c r="A1862" s="15" t="str">
        <f aca="false">IF(B1862="","",ROW()-1)</f>
        <v/>
      </c>
      <c r="B1862" s="16"/>
      <c r="C1862" s="16"/>
      <c r="D1862" s="16"/>
      <c r="E1862" s="16"/>
      <c r="F1862" s="17"/>
      <c r="G1862" s="16"/>
      <c r="H1862" s="16"/>
      <c r="I1862" s="16"/>
      <c r="J1862" s="16"/>
      <c r="K1862" s="16"/>
      <c r="L1862" s="16"/>
      <c r="M1862" s="18" t="str">
        <f aca="false">IF(OR(C1862="",D1862=""),"",IF(MOD(COUNTIFS($C$2:C1862,C1862,$D$2:D1862,D1862)*7,10)&lt;3,"teste","treino"))</f>
        <v/>
      </c>
      <c r="N1862" s="16"/>
      <c r="O1862" s="16"/>
      <c r="P1862" s="16"/>
      <c r="Q1862" s="17"/>
    </row>
    <row r="1863" customFormat="false" ht="15" hidden="false" customHeight="false" outlineLevel="0" collapsed="false">
      <c r="A1863" s="15" t="str">
        <f aca="false">IF(B1863="","",ROW()-1)</f>
        <v/>
      </c>
      <c r="B1863" s="16"/>
      <c r="C1863" s="16"/>
      <c r="D1863" s="16"/>
      <c r="E1863" s="16"/>
      <c r="F1863" s="17"/>
      <c r="G1863" s="16"/>
      <c r="H1863" s="16"/>
      <c r="I1863" s="16"/>
      <c r="J1863" s="16"/>
      <c r="K1863" s="16"/>
      <c r="L1863" s="16"/>
      <c r="M1863" s="18" t="str">
        <f aca="false">IF(OR(C1863="",D1863=""),"",IF(MOD(COUNTIFS($C$2:C1863,C1863,$D$2:D1863,D1863)*7,10)&lt;3,"teste","treino"))</f>
        <v/>
      </c>
      <c r="N1863" s="16"/>
      <c r="O1863" s="16"/>
      <c r="P1863" s="16"/>
      <c r="Q1863" s="17"/>
    </row>
    <row r="1864" customFormat="false" ht="15" hidden="false" customHeight="false" outlineLevel="0" collapsed="false">
      <c r="A1864" s="15" t="str">
        <f aca="false">IF(B1864="","",ROW()-1)</f>
        <v/>
      </c>
      <c r="B1864" s="16"/>
      <c r="C1864" s="16"/>
      <c r="D1864" s="16"/>
      <c r="E1864" s="16"/>
      <c r="F1864" s="17"/>
      <c r="G1864" s="16"/>
      <c r="H1864" s="16"/>
      <c r="I1864" s="16"/>
      <c r="J1864" s="16"/>
      <c r="K1864" s="16"/>
      <c r="L1864" s="16"/>
      <c r="M1864" s="18" t="str">
        <f aca="false">IF(OR(C1864="",D1864=""),"",IF(MOD(COUNTIFS($C$2:C1864,C1864,$D$2:D1864,D1864)*7,10)&lt;3,"teste","treino"))</f>
        <v/>
      </c>
      <c r="N1864" s="16"/>
      <c r="O1864" s="16"/>
      <c r="P1864" s="16"/>
      <c r="Q1864" s="17"/>
    </row>
    <row r="1865" customFormat="false" ht="15" hidden="false" customHeight="false" outlineLevel="0" collapsed="false">
      <c r="A1865" s="15" t="str">
        <f aca="false">IF(B1865="","",ROW()-1)</f>
        <v/>
      </c>
      <c r="B1865" s="16"/>
      <c r="C1865" s="16"/>
      <c r="D1865" s="16"/>
      <c r="E1865" s="16"/>
      <c r="F1865" s="17"/>
      <c r="G1865" s="16"/>
      <c r="H1865" s="16"/>
      <c r="I1865" s="16"/>
      <c r="J1865" s="16"/>
      <c r="K1865" s="16"/>
      <c r="L1865" s="16"/>
      <c r="M1865" s="18" t="str">
        <f aca="false">IF(OR(C1865="",D1865=""),"",IF(MOD(COUNTIFS($C$2:C1865,C1865,$D$2:D1865,D1865)*7,10)&lt;3,"teste","treino"))</f>
        <v/>
      </c>
      <c r="N1865" s="16"/>
      <c r="O1865" s="16"/>
      <c r="P1865" s="16"/>
      <c r="Q1865" s="17"/>
    </row>
    <row r="1866" customFormat="false" ht="15" hidden="false" customHeight="false" outlineLevel="0" collapsed="false">
      <c r="A1866" s="15" t="str">
        <f aca="false">IF(B1866="","",ROW()-1)</f>
        <v/>
      </c>
      <c r="B1866" s="16"/>
      <c r="C1866" s="16"/>
      <c r="D1866" s="16"/>
      <c r="E1866" s="16"/>
      <c r="F1866" s="17"/>
      <c r="G1866" s="16"/>
      <c r="H1866" s="16"/>
      <c r="I1866" s="16"/>
      <c r="J1866" s="16"/>
      <c r="K1866" s="16"/>
      <c r="L1866" s="16"/>
      <c r="M1866" s="18" t="str">
        <f aca="false">IF(OR(C1866="",D1866=""),"",IF(MOD(COUNTIFS($C$2:C1866,C1866,$D$2:D1866,D1866)*7,10)&lt;3,"teste","treino"))</f>
        <v/>
      </c>
      <c r="N1866" s="16"/>
      <c r="O1866" s="16"/>
      <c r="P1866" s="16"/>
      <c r="Q1866" s="17"/>
    </row>
    <row r="1867" customFormat="false" ht="15" hidden="false" customHeight="false" outlineLevel="0" collapsed="false">
      <c r="A1867" s="15" t="str">
        <f aca="false">IF(B1867="","",ROW()-1)</f>
        <v/>
      </c>
      <c r="B1867" s="16"/>
      <c r="C1867" s="16"/>
      <c r="D1867" s="16"/>
      <c r="E1867" s="16"/>
      <c r="F1867" s="17"/>
      <c r="G1867" s="16"/>
      <c r="H1867" s="16"/>
      <c r="I1867" s="16"/>
      <c r="J1867" s="16"/>
      <c r="K1867" s="16"/>
      <c r="L1867" s="16"/>
      <c r="M1867" s="18" t="str">
        <f aca="false">IF(OR(C1867="",D1867=""),"",IF(MOD(COUNTIFS($C$2:C1867,C1867,$D$2:D1867,D1867)*7,10)&lt;3,"teste","treino"))</f>
        <v/>
      </c>
      <c r="N1867" s="16"/>
      <c r="O1867" s="16"/>
      <c r="P1867" s="16"/>
      <c r="Q1867" s="17"/>
    </row>
    <row r="1868" customFormat="false" ht="15" hidden="false" customHeight="false" outlineLevel="0" collapsed="false">
      <c r="A1868" s="15" t="str">
        <f aca="false">IF(B1868="","",ROW()-1)</f>
        <v/>
      </c>
      <c r="B1868" s="16"/>
      <c r="C1868" s="16"/>
      <c r="D1868" s="16"/>
      <c r="E1868" s="16"/>
      <c r="F1868" s="17"/>
      <c r="G1868" s="16"/>
      <c r="H1868" s="16"/>
      <c r="I1868" s="16"/>
      <c r="J1868" s="16"/>
      <c r="K1868" s="16"/>
      <c r="L1868" s="16"/>
      <c r="M1868" s="18" t="str">
        <f aca="false">IF(OR(C1868="",D1868=""),"",IF(MOD(COUNTIFS($C$2:C1868,C1868,$D$2:D1868,D1868)*7,10)&lt;3,"teste","treino"))</f>
        <v/>
      </c>
      <c r="N1868" s="16"/>
      <c r="O1868" s="16"/>
      <c r="P1868" s="16"/>
      <c r="Q1868" s="17"/>
    </row>
    <row r="1869" customFormat="false" ht="15" hidden="false" customHeight="false" outlineLevel="0" collapsed="false">
      <c r="A1869" s="15" t="str">
        <f aca="false">IF(B1869="","",ROW()-1)</f>
        <v/>
      </c>
      <c r="B1869" s="16"/>
      <c r="C1869" s="16"/>
      <c r="D1869" s="16"/>
      <c r="E1869" s="16"/>
      <c r="F1869" s="17"/>
      <c r="G1869" s="16"/>
      <c r="H1869" s="16"/>
      <c r="I1869" s="16"/>
      <c r="J1869" s="16"/>
      <c r="K1869" s="16"/>
      <c r="L1869" s="16"/>
      <c r="M1869" s="18" t="str">
        <f aca="false">IF(OR(C1869="",D1869=""),"",IF(MOD(COUNTIFS($C$2:C1869,C1869,$D$2:D1869,D1869)*7,10)&lt;3,"teste","treino"))</f>
        <v/>
      </c>
      <c r="N1869" s="16"/>
      <c r="O1869" s="16"/>
      <c r="P1869" s="16"/>
      <c r="Q1869" s="17"/>
    </row>
    <row r="1870" customFormat="false" ht="15" hidden="false" customHeight="false" outlineLevel="0" collapsed="false">
      <c r="A1870" s="15" t="str">
        <f aca="false">IF(B1870="","",ROW()-1)</f>
        <v/>
      </c>
      <c r="B1870" s="16"/>
      <c r="C1870" s="16"/>
      <c r="D1870" s="16"/>
      <c r="E1870" s="16"/>
      <c r="F1870" s="17"/>
      <c r="G1870" s="16"/>
      <c r="H1870" s="16"/>
      <c r="I1870" s="16"/>
      <c r="J1870" s="16"/>
      <c r="K1870" s="16"/>
      <c r="L1870" s="16"/>
      <c r="M1870" s="18" t="str">
        <f aca="false">IF(OR(C1870="",D1870=""),"",IF(MOD(COUNTIFS($C$2:C1870,C1870,$D$2:D1870,D1870)*7,10)&lt;3,"teste","treino"))</f>
        <v/>
      </c>
      <c r="N1870" s="16"/>
      <c r="O1870" s="16"/>
      <c r="P1870" s="16"/>
      <c r="Q1870" s="17"/>
    </row>
    <row r="1871" customFormat="false" ht="15" hidden="false" customHeight="false" outlineLevel="0" collapsed="false">
      <c r="A1871" s="15" t="str">
        <f aca="false">IF(B1871="","",ROW()-1)</f>
        <v/>
      </c>
      <c r="B1871" s="16"/>
      <c r="C1871" s="16"/>
      <c r="D1871" s="16"/>
      <c r="E1871" s="16"/>
      <c r="F1871" s="17"/>
      <c r="G1871" s="16"/>
      <c r="H1871" s="16"/>
      <c r="I1871" s="16"/>
      <c r="J1871" s="16"/>
      <c r="K1871" s="16"/>
      <c r="L1871" s="16"/>
      <c r="M1871" s="18" t="str">
        <f aca="false">IF(OR(C1871="",D1871=""),"",IF(MOD(COUNTIFS($C$2:C1871,C1871,$D$2:D1871,D1871)*7,10)&lt;3,"teste","treino"))</f>
        <v/>
      </c>
      <c r="N1871" s="16"/>
      <c r="O1871" s="16"/>
      <c r="P1871" s="16"/>
      <c r="Q1871" s="17"/>
    </row>
    <row r="1872" customFormat="false" ht="15" hidden="false" customHeight="false" outlineLevel="0" collapsed="false">
      <c r="A1872" s="15" t="str">
        <f aca="false">IF(B1872="","",ROW()-1)</f>
        <v/>
      </c>
      <c r="B1872" s="16"/>
      <c r="C1872" s="16"/>
      <c r="D1872" s="16"/>
      <c r="E1872" s="16"/>
      <c r="F1872" s="17"/>
      <c r="G1872" s="16"/>
      <c r="H1872" s="16"/>
      <c r="I1872" s="16"/>
      <c r="J1872" s="16"/>
      <c r="K1872" s="16"/>
      <c r="L1872" s="16"/>
      <c r="M1872" s="18" t="str">
        <f aca="false">IF(OR(C1872="",D1872=""),"",IF(MOD(COUNTIFS($C$2:C1872,C1872,$D$2:D1872,D1872)*7,10)&lt;3,"teste","treino"))</f>
        <v/>
      </c>
      <c r="N1872" s="16"/>
      <c r="O1872" s="16"/>
      <c r="P1872" s="16"/>
      <c r="Q1872" s="17"/>
    </row>
    <row r="1873" customFormat="false" ht="15" hidden="false" customHeight="false" outlineLevel="0" collapsed="false">
      <c r="A1873" s="15" t="str">
        <f aca="false">IF(B1873="","",ROW()-1)</f>
        <v/>
      </c>
      <c r="B1873" s="16"/>
      <c r="C1873" s="16"/>
      <c r="D1873" s="16"/>
      <c r="E1873" s="16"/>
      <c r="F1873" s="17"/>
      <c r="G1873" s="16"/>
      <c r="H1873" s="16"/>
      <c r="I1873" s="16"/>
      <c r="J1873" s="16"/>
      <c r="K1873" s="16"/>
      <c r="L1873" s="16"/>
      <c r="M1873" s="18" t="str">
        <f aca="false">IF(OR(C1873="",D1873=""),"",IF(MOD(COUNTIFS($C$2:C1873,C1873,$D$2:D1873,D1873)*7,10)&lt;3,"teste","treino"))</f>
        <v/>
      </c>
      <c r="N1873" s="16"/>
      <c r="O1873" s="16"/>
      <c r="P1873" s="16"/>
      <c r="Q1873" s="17"/>
    </row>
    <row r="1874" customFormat="false" ht="15" hidden="false" customHeight="false" outlineLevel="0" collapsed="false">
      <c r="A1874" s="15" t="str">
        <f aca="false">IF(B1874="","",ROW()-1)</f>
        <v/>
      </c>
      <c r="B1874" s="16"/>
      <c r="C1874" s="16"/>
      <c r="D1874" s="16"/>
      <c r="E1874" s="16"/>
      <c r="F1874" s="17"/>
      <c r="G1874" s="16"/>
      <c r="H1874" s="16"/>
      <c r="I1874" s="16"/>
      <c r="J1874" s="16"/>
      <c r="K1874" s="16"/>
      <c r="L1874" s="16"/>
      <c r="M1874" s="18" t="str">
        <f aca="false">IF(OR(C1874="",D1874=""),"",IF(MOD(COUNTIFS($C$2:C1874,C1874,$D$2:D1874,D1874)*7,10)&lt;3,"teste","treino"))</f>
        <v/>
      </c>
      <c r="N1874" s="16"/>
      <c r="O1874" s="16"/>
      <c r="P1874" s="16"/>
      <c r="Q1874" s="17"/>
    </row>
    <row r="1875" customFormat="false" ht="15" hidden="false" customHeight="false" outlineLevel="0" collapsed="false">
      <c r="A1875" s="15" t="str">
        <f aca="false">IF(B1875="","",ROW()-1)</f>
        <v/>
      </c>
      <c r="B1875" s="16"/>
      <c r="C1875" s="16"/>
      <c r="D1875" s="16"/>
      <c r="E1875" s="16"/>
      <c r="F1875" s="17"/>
      <c r="G1875" s="16"/>
      <c r="H1875" s="16"/>
      <c r="I1875" s="16"/>
      <c r="J1875" s="16"/>
      <c r="K1875" s="16"/>
      <c r="L1875" s="16"/>
      <c r="M1875" s="18" t="str">
        <f aca="false">IF(OR(C1875="",D1875=""),"",IF(MOD(COUNTIFS($C$2:C1875,C1875,$D$2:D1875,D1875)*7,10)&lt;3,"teste","treino"))</f>
        <v/>
      </c>
      <c r="N1875" s="16"/>
      <c r="O1875" s="16"/>
      <c r="P1875" s="16"/>
      <c r="Q1875" s="17"/>
    </row>
    <row r="1876" customFormat="false" ht="15" hidden="false" customHeight="false" outlineLevel="0" collapsed="false">
      <c r="A1876" s="15" t="str">
        <f aca="false">IF(B1876="","",ROW()-1)</f>
        <v/>
      </c>
      <c r="B1876" s="16"/>
      <c r="C1876" s="16"/>
      <c r="D1876" s="16"/>
      <c r="E1876" s="16"/>
      <c r="F1876" s="17"/>
      <c r="G1876" s="16"/>
      <c r="H1876" s="16"/>
      <c r="I1876" s="16"/>
      <c r="J1876" s="16"/>
      <c r="K1876" s="16"/>
      <c r="L1876" s="16"/>
      <c r="M1876" s="18" t="str">
        <f aca="false">IF(OR(C1876="",D1876=""),"",IF(MOD(COUNTIFS($C$2:C1876,C1876,$D$2:D1876,D1876)*7,10)&lt;3,"teste","treino"))</f>
        <v/>
      </c>
      <c r="N1876" s="16"/>
      <c r="O1876" s="16"/>
      <c r="P1876" s="16"/>
      <c r="Q1876" s="17"/>
    </row>
    <row r="1877" customFormat="false" ht="15" hidden="false" customHeight="false" outlineLevel="0" collapsed="false">
      <c r="A1877" s="15" t="str">
        <f aca="false">IF(B1877="","",ROW()-1)</f>
        <v/>
      </c>
      <c r="B1877" s="16"/>
      <c r="C1877" s="16"/>
      <c r="D1877" s="16"/>
      <c r="E1877" s="16"/>
      <c r="F1877" s="17"/>
      <c r="G1877" s="16"/>
      <c r="H1877" s="16"/>
      <c r="I1877" s="16"/>
      <c r="J1877" s="16"/>
      <c r="K1877" s="16"/>
      <c r="L1877" s="16"/>
      <c r="M1877" s="18" t="str">
        <f aca="false">IF(OR(C1877="",D1877=""),"",IF(MOD(COUNTIFS($C$2:C1877,C1877,$D$2:D1877,D1877)*7,10)&lt;3,"teste","treino"))</f>
        <v/>
      </c>
      <c r="N1877" s="16"/>
      <c r="O1877" s="16"/>
      <c r="P1877" s="16"/>
      <c r="Q1877" s="17"/>
    </row>
    <row r="1878" customFormat="false" ht="15" hidden="false" customHeight="false" outlineLevel="0" collapsed="false">
      <c r="A1878" s="15" t="str">
        <f aca="false">IF(B1878="","",ROW()-1)</f>
        <v/>
      </c>
      <c r="B1878" s="16"/>
      <c r="C1878" s="16"/>
      <c r="D1878" s="16"/>
      <c r="E1878" s="16"/>
      <c r="F1878" s="17"/>
      <c r="G1878" s="16"/>
      <c r="H1878" s="16"/>
      <c r="I1878" s="16"/>
      <c r="J1878" s="16"/>
      <c r="K1878" s="16"/>
      <c r="L1878" s="16"/>
      <c r="M1878" s="18" t="str">
        <f aca="false">IF(OR(C1878="",D1878=""),"",IF(MOD(COUNTIFS($C$2:C1878,C1878,$D$2:D1878,D1878)*7,10)&lt;3,"teste","treino"))</f>
        <v/>
      </c>
      <c r="N1878" s="16"/>
      <c r="O1878" s="16"/>
      <c r="P1878" s="16"/>
      <c r="Q1878" s="17"/>
    </row>
    <row r="1879" customFormat="false" ht="15" hidden="false" customHeight="false" outlineLevel="0" collapsed="false">
      <c r="A1879" s="15" t="str">
        <f aca="false">IF(B1879="","",ROW()-1)</f>
        <v/>
      </c>
      <c r="B1879" s="16"/>
      <c r="C1879" s="16"/>
      <c r="D1879" s="16"/>
      <c r="E1879" s="16"/>
      <c r="F1879" s="17"/>
      <c r="G1879" s="16"/>
      <c r="H1879" s="16"/>
      <c r="I1879" s="16"/>
      <c r="J1879" s="16"/>
      <c r="K1879" s="16"/>
      <c r="L1879" s="16"/>
      <c r="M1879" s="18" t="str">
        <f aca="false">IF(OR(C1879="",D1879=""),"",IF(MOD(COUNTIFS($C$2:C1879,C1879,$D$2:D1879,D1879)*7,10)&lt;3,"teste","treino"))</f>
        <v/>
      </c>
      <c r="N1879" s="16"/>
      <c r="O1879" s="16"/>
      <c r="P1879" s="16"/>
      <c r="Q1879" s="17"/>
    </row>
    <row r="1880" customFormat="false" ht="15" hidden="false" customHeight="false" outlineLevel="0" collapsed="false">
      <c r="A1880" s="15" t="str">
        <f aca="false">IF(B1880="","",ROW()-1)</f>
        <v/>
      </c>
      <c r="B1880" s="16"/>
      <c r="C1880" s="16"/>
      <c r="D1880" s="16"/>
      <c r="E1880" s="16"/>
      <c r="F1880" s="17"/>
      <c r="G1880" s="16"/>
      <c r="H1880" s="16"/>
      <c r="I1880" s="16"/>
      <c r="J1880" s="16"/>
      <c r="K1880" s="16"/>
      <c r="L1880" s="16"/>
      <c r="M1880" s="18" t="str">
        <f aca="false">IF(OR(C1880="",D1880=""),"",IF(MOD(COUNTIFS($C$2:C1880,C1880,$D$2:D1880,D1880)*7,10)&lt;3,"teste","treino"))</f>
        <v/>
      </c>
      <c r="N1880" s="16"/>
      <c r="O1880" s="16"/>
      <c r="P1880" s="16"/>
      <c r="Q1880" s="17"/>
    </row>
    <row r="1881" customFormat="false" ht="15" hidden="false" customHeight="false" outlineLevel="0" collapsed="false">
      <c r="A1881" s="15" t="str">
        <f aca="false">IF(B1881="","",ROW()-1)</f>
        <v/>
      </c>
      <c r="B1881" s="16"/>
      <c r="C1881" s="16"/>
      <c r="D1881" s="16"/>
      <c r="E1881" s="16"/>
      <c r="F1881" s="17"/>
      <c r="G1881" s="16"/>
      <c r="H1881" s="16"/>
      <c r="I1881" s="16"/>
      <c r="J1881" s="16"/>
      <c r="K1881" s="16"/>
      <c r="L1881" s="16"/>
      <c r="M1881" s="18" t="str">
        <f aca="false">IF(OR(C1881="",D1881=""),"",IF(MOD(COUNTIFS($C$2:C1881,C1881,$D$2:D1881,D1881)*7,10)&lt;3,"teste","treino"))</f>
        <v/>
      </c>
      <c r="N1881" s="16"/>
      <c r="O1881" s="16"/>
      <c r="P1881" s="16"/>
      <c r="Q1881" s="17"/>
    </row>
    <row r="1882" customFormat="false" ht="15" hidden="false" customHeight="false" outlineLevel="0" collapsed="false">
      <c r="A1882" s="15" t="str">
        <f aca="false">IF(B1882="","",ROW()-1)</f>
        <v/>
      </c>
      <c r="B1882" s="16"/>
      <c r="C1882" s="16"/>
      <c r="D1882" s="16"/>
      <c r="E1882" s="16"/>
      <c r="F1882" s="17"/>
      <c r="G1882" s="16"/>
      <c r="H1882" s="16"/>
      <c r="I1882" s="16"/>
      <c r="J1882" s="16"/>
      <c r="K1882" s="16"/>
      <c r="L1882" s="16"/>
      <c r="M1882" s="18" t="str">
        <f aca="false">IF(OR(C1882="",D1882=""),"",IF(MOD(COUNTIFS($C$2:C1882,C1882,$D$2:D1882,D1882)*7,10)&lt;3,"teste","treino"))</f>
        <v/>
      </c>
      <c r="N1882" s="16"/>
      <c r="O1882" s="16"/>
      <c r="P1882" s="16"/>
      <c r="Q1882" s="17"/>
    </row>
    <row r="1883" customFormat="false" ht="15" hidden="false" customHeight="false" outlineLevel="0" collapsed="false">
      <c r="A1883" s="15" t="str">
        <f aca="false">IF(B1883="","",ROW()-1)</f>
        <v/>
      </c>
      <c r="B1883" s="16"/>
      <c r="C1883" s="16"/>
      <c r="D1883" s="16"/>
      <c r="E1883" s="16"/>
      <c r="F1883" s="17"/>
      <c r="G1883" s="16"/>
      <c r="H1883" s="16"/>
      <c r="I1883" s="16"/>
      <c r="J1883" s="16"/>
      <c r="K1883" s="16"/>
      <c r="L1883" s="16"/>
      <c r="M1883" s="18" t="str">
        <f aca="false">IF(OR(C1883="",D1883=""),"",IF(MOD(COUNTIFS($C$2:C1883,C1883,$D$2:D1883,D1883)*7,10)&lt;3,"teste","treino"))</f>
        <v/>
      </c>
      <c r="N1883" s="16"/>
      <c r="O1883" s="16"/>
      <c r="P1883" s="16"/>
      <c r="Q1883" s="17"/>
    </row>
    <row r="1884" customFormat="false" ht="15" hidden="false" customHeight="false" outlineLevel="0" collapsed="false">
      <c r="A1884" s="15" t="str">
        <f aca="false">IF(B1884="","",ROW()-1)</f>
        <v/>
      </c>
      <c r="B1884" s="16"/>
      <c r="C1884" s="16"/>
      <c r="D1884" s="16"/>
      <c r="E1884" s="16"/>
      <c r="F1884" s="17"/>
      <c r="G1884" s="16"/>
      <c r="H1884" s="16"/>
      <c r="I1884" s="16"/>
      <c r="J1884" s="16"/>
      <c r="K1884" s="16"/>
      <c r="L1884" s="16"/>
      <c r="M1884" s="18" t="str">
        <f aca="false">IF(OR(C1884="",D1884=""),"",IF(MOD(COUNTIFS($C$2:C1884,C1884,$D$2:D1884,D1884)*7,10)&lt;3,"teste","treino"))</f>
        <v/>
      </c>
      <c r="N1884" s="16"/>
      <c r="O1884" s="16"/>
      <c r="P1884" s="16"/>
      <c r="Q1884" s="17"/>
    </row>
    <row r="1885" customFormat="false" ht="15" hidden="false" customHeight="false" outlineLevel="0" collapsed="false">
      <c r="A1885" s="15" t="str">
        <f aca="false">IF(B1885="","",ROW()-1)</f>
        <v/>
      </c>
      <c r="B1885" s="16"/>
      <c r="C1885" s="16"/>
      <c r="D1885" s="16"/>
      <c r="E1885" s="16"/>
      <c r="F1885" s="17"/>
      <c r="G1885" s="16"/>
      <c r="H1885" s="16"/>
      <c r="I1885" s="16"/>
      <c r="J1885" s="16"/>
      <c r="K1885" s="16"/>
      <c r="L1885" s="16"/>
      <c r="M1885" s="18" t="str">
        <f aca="false">IF(OR(C1885="",D1885=""),"",IF(MOD(COUNTIFS($C$2:C1885,C1885,$D$2:D1885,D1885)*7,10)&lt;3,"teste","treino"))</f>
        <v/>
      </c>
      <c r="N1885" s="16"/>
      <c r="O1885" s="16"/>
      <c r="P1885" s="16"/>
      <c r="Q1885" s="17"/>
    </row>
    <row r="1886" customFormat="false" ht="15" hidden="false" customHeight="false" outlineLevel="0" collapsed="false">
      <c r="A1886" s="15" t="str">
        <f aca="false">IF(B1886="","",ROW()-1)</f>
        <v/>
      </c>
      <c r="B1886" s="16"/>
      <c r="C1886" s="16"/>
      <c r="D1886" s="16"/>
      <c r="E1886" s="16"/>
      <c r="F1886" s="17"/>
      <c r="G1886" s="16"/>
      <c r="H1886" s="16"/>
      <c r="I1886" s="16"/>
      <c r="J1886" s="16"/>
      <c r="K1886" s="16"/>
      <c r="L1886" s="16"/>
      <c r="M1886" s="18" t="str">
        <f aca="false">IF(OR(C1886="",D1886=""),"",IF(MOD(COUNTIFS($C$2:C1886,C1886,$D$2:D1886,D1886)*7,10)&lt;3,"teste","treino"))</f>
        <v/>
      </c>
      <c r="N1886" s="16"/>
      <c r="O1886" s="16"/>
      <c r="P1886" s="16"/>
      <c r="Q1886" s="17"/>
    </row>
    <row r="1887" customFormat="false" ht="15" hidden="false" customHeight="false" outlineLevel="0" collapsed="false">
      <c r="A1887" s="15" t="str">
        <f aca="false">IF(B1887="","",ROW()-1)</f>
        <v/>
      </c>
      <c r="B1887" s="16"/>
      <c r="C1887" s="16"/>
      <c r="D1887" s="16"/>
      <c r="E1887" s="16"/>
      <c r="F1887" s="17"/>
      <c r="G1887" s="16"/>
      <c r="H1887" s="16"/>
      <c r="I1887" s="16"/>
      <c r="J1887" s="16"/>
      <c r="K1887" s="16"/>
      <c r="L1887" s="16"/>
      <c r="M1887" s="18" t="str">
        <f aca="false">IF(OR(C1887="",D1887=""),"",IF(MOD(COUNTIFS($C$2:C1887,C1887,$D$2:D1887,D1887)*7,10)&lt;3,"teste","treino"))</f>
        <v/>
      </c>
      <c r="N1887" s="16"/>
      <c r="O1887" s="16"/>
      <c r="P1887" s="16"/>
      <c r="Q1887" s="17"/>
    </row>
    <row r="1888" customFormat="false" ht="15" hidden="false" customHeight="false" outlineLevel="0" collapsed="false">
      <c r="A1888" s="15" t="str">
        <f aca="false">IF(B1888="","",ROW()-1)</f>
        <v/>
      </c>
      <c r="B1888" s="16"/>
      <c r="C1888" s="16"/>
      <c r="D1888" s="16"/>
      <c r="E1888" s="16"/>
      <c r="F1888" s="17"/>
      <c r="G1888" s="16"/>
      <c r="H1888" s="16"/>
      <c r="I1888" s="16"/>
      <c r="J1888" s="16"/>
      <c r="K1888" s="16"/>
      <c r="L1888" s="16"/>
      <c r="M1888" s="18" t="str">
        <f aca="false">IF(OR(C1888="",D1888=""),"",IF(MOD(COUNTIFS($C$2:C1888,C1888,$D$2:D1888,D1888)*7,10)&lt;3,"teste","treino"))</f>
        <v/>
      </c>
      <c r="N1888" s="16"/>
      <c r="O1888" s="16"/>
      <c r="P1888" s="16"/>
      <c r="Q1888" s="17"/>
    </row>
    <row r="1889" customFormat="false" ht="15" hidden="false" customHeight="false" outlineLevel="0" collapsed="false">
      <c r="A1889" s="15" t="str">
        <f aca="false">IF(B1889="","",ROW()-1)</f>
        <v/>
      </c>
      <c r="B1889" s="16"/>
      <c r="C1889" s="16"/>
      <c r="D1889" s="16"/>
      <c r="E1889" s="16"/>
      <c r="F1889" s="17"/>
      <c r="G1889" s="16"/>
      <c r="H1889" s="16"/>
      <c r="I1889" s="16"/>
      <c r="J1889" s="16"/>
      <c r="K1889" s="16"/>
      <c r="L1889" s="16"/>
      <c r="M1889" s="18" t="str">
        <f aca="false">IF(OR(C1889="",D1889=""),"",IF(MOD(COUNTIFS($C$2:C1889,C1889,$D$2:D1889,D1889)*7,10)&lt;3,"teste","treino"))</f>
        <v/>
      </c>
      <c r="N1889" s="16"/>
      <c r="O1889" s="16"/>
      <c r="P1889" s="16"/>
      <c r="Q1889" s="17"/>
    </row>
    <row r="1890" customFormat="false" ht="15" hidden="false" customHeight="false" outlineLevel="0" collapsed="false">
      <c r="A1890" s="15" t="str">
        <f aca="false">IF(B1890="","",ROW()-1)</f>
        <v/>
      </c>
      <c r="B1890" s="16"/>
      <c r="C1890" s="16"/>
      <c r="D1890" s="16"/>
      <c r="E1890" s="16"/>
      <c r="F1890" s="17"/>
      <c r="G1890" s="16"/>
      <c r="H1890" s="16"/>
      <c r="I1890" s="16"/>
      <c r="J1890" s="16"/>
      <c r="K1890" s="16"/>
      <c r="L1890" s="16"/>
      <c r="M1890" s="18" t="str">
        <f aca="false">IF(OR(C1890="",D1890=""),"",IF(MOD(COUNTIFS($C$2:C1890,C1890,$D$2:D1890,D1890)*7,10)&lt;3,"teste","treino"))</f>
        <v/>
      </c>
      <c r="N1890" s="16"/>
      <c r="O1890" s="16"/>
      <c r="P1890" s="16"/>
      <c r="Q1890" s="17"/>
    </row>
    <row r="1891" customFormat="false" ht="15" hidden="false" customHeight="false" outlineLevel="0" collapsed="false">
      <c r="A1891" s="15" t="str">
        <f aca="false">IF(B1891="","",ROW()-1)</f>
        <v/>
      </c>
      <c r="B1891" s="16"/>
      <c r="C1891" s="16"/>
      <c r="D1891" s="16"/>
      <c r="E1891" s="16"/>
      <c r="F1891" s="17"/>
      <c r="G1891" s="16"/>
      <c r="H1891" s="16"/>
      <c r="I1891" s="16"/>
      <c r="J1891" s="16"/>
      <c r="K1891" s="16"/>
      <c r="L1891" s="16"/>
      <c r="M1891" s="18" t="str">
        <f aca="false">IF(OR(C1891="",D1891=""),"",IF(MOD(COUNTIFS($C$2:C1891,C1891,$D$2:D1891,D1891)*7,10)&lt;3,"teste","treino"))</f>
        <v/>
      </c>
      <c r="N1891" s="16"/>
      <c r="O1891" s="16"/>
      <c r="P1891" s="16"/>
      <c r="Q1891" s="17"/>
    </row>
    <row r="1892" customFormat="false" ht="15" hidden="false" customHeight="false" outlineLevel="0" collapsed="false">
      <c r="A1892" s="15" t="str">
        <f aca="false">IF(B1892="","",ROW()-1)</f>
        <v/>
      </c>
      <c r="B1892" s="16"/>
      <c r="C1892" s="16"/>
      <c r="D1892" s="16"/>
      <c r="E1892" s="16"/>
      <c r="F1892" s="17"/>
      <c r="G1892" s="16"/>
      <c r="H1892" s="16"/>
      <c r="I1892" s="16"/>
      <c r="J1892" s="16"/>
      <c r="K1892" s="16"/>
      <c r="L1892" s="16"/>
      <c r="M1892" s="18" t="str">
        <f aca="false">IF(OR(C1892="",D1892=""),"",IF(MOD(COUNTIFS($C$2:C1892,C1892,$D$2:D1892,D1892)*7,10)&lt;3,"teste","treino"))</f>
        <v/>
      </c>
      <c r="N1892" s="16"/>
      <c r="O1892" s="16"/>
      <c r="P1892" s="16"/>
      <c r="Q1892" s="17"/>
    </row>
    <row r="1893" customFormat="false" ht="15" hidden="false" customHeight="false" outlineLevel="0" collapsed="false">
      <c r="A1893" s="15" t="str">
        <f aca="false">IF(B1893="","",ROW()-1)</f>
        <v/>
      </c>
      <c r="B1893" s="16"/>
      <c r="C1893" s="16"/>
      <c r="D1893" s="16"/>
      <c r="E1893" s="16"/>
      <c r="F1893" s="17"/>
      <c r="G1893" s="16"/>
      <c r="H1893" s="16"/>
      <c r="I1893" s="16"/>
      <c r="J1893" s="16"/>
      <c r="K1893" s="16"/>
      <c r="L1893" s="16"/>
      <c r="M1893" s="18" t="str">
        <f aca="false">IF(OR(C1893="",D1893=""),"",IF(MOD(COUNTIFS($C$2:C1893,C1893,$D$2:D1893,D1893)*7,10)&lt;3,"teste","treino"))</f>
        <v/>
      </c>
      <c r="N1893" s="16"/>
      <c r="O1893" s="16"/>
      <c r="P1893" s="16"/>
      <c r="Q1893" s="17"/>
    </row>
    <row r="1894" customFormat="false" ht="15" hidden="false" customHeight="false" outlineLevel="0" collapsed="false">
      <c r="A1894" s="15" t="str">
        <f aca="false">IF(B1894="","",ROW()-1)</f>
        <v/>
      </c>
      <c r="B1894" s="16"/>
      <c r="C1894" s="16"/>
      <c r="D1894" s="16"/>
      <c r="E1894" s="16"/>
      <c r="F1894" s="17"/>
      <c r="G1894" s="16"/>
      <c r="H1894" s="16"/>
      <c r="I1894" s="16"/>
      <c r="J1894" s="16"/>
      <c r="K1894" s="16"/>
      <c r="L1894" s="16"/>
      <c r="M1894" s="18" t="str">
        <f aca="false">IF(OR(C1894="",D1894=""),"",IF(MOD(COUNTIFS($C$2:C1894,C1894,$D$2:D1894,D1894)*7,10)&lt;3,"teste","treino"))</f>
        <v/>
      </c>
      <c r="N1894" s="16"/>
      <c r="O1894" s="16"/>
      <c r="P1894" s="16"/>
      <c r="Q1894" s="17"/>
    </row>
    <row r="1895" customFormat="false" ht="15" hidden="false" customHeight="false" outlineLevel="0" collapsed="false">
      <c r="A1895" s="15" t="str">
        <f aca="false">IF(B1895="","",ROW()-1)</f>
        <v/>
      </c>
      <c r="B1895" s="16"/>
      <c r="C1895" s="16"/>
      <c r="D1895" s="16"/>
      <c r="E1895" s="16"/>
      <c r="F1895" s="17"/>
      <c r="G1895" s="16"/>
      <c r="H1895" s="16"/>
      <c r="I1895" s="16"/>
      <c r="J1895" s="16"/>
      <c r="K1895" s="16"/>
      <c r="L1895" s="16"/>
      <c r="M1895" s="18" t="str">
        <f aca="false">IF(OR(C1895="",D1895=""),"",IF(MOD(COUNTIFS($C$2:C1895,C1895,$D$2:D1895,D1895)*7,10)&lt;3,"teste","treino"))</f>
        <v/>
      </c>
      <c r="N1895" s="16"/>
      <c r="O1895" s="16"/>
      <c r="P1895" s="16"/>
      <c r="Q1895" s="17"/>
    </row>
    <row r="1896" customFormat="false" ht="15" hidden="false" customHeight="false" outlineLevel="0" collapsed="false">
      <c r="A1896" s="15" t="str">
        <f aca="false">IF(B1896="","",ROW()-1)</f>
        <v/>
      </c>
      <c r="B1896" s="16"/>
      <c r="C1896" s="16"/>
      <c r="D1896" s="16"/>
      <c r="E1896" s="16"/>
      <c r="F1896" s="17"/>
      <c r="G1896" s="16"/>
      <c r="H1896" s="16"/>
      <c r="I1896" s="16"/>
      <c r="J1896" s="16"/>
      <c r="K1896" s="16"/>
      <c r="L1896" s="16"/>
      <c r="M1896" s="18" t="str">
        <f aca="false">IF(OR(C1896="",D1896=""),"",IF(MOD(COUNTIFS($C$2:C1896,C1896,$D$2:D1896,D1896)*7,10)&lt;3,"teste","treino"))</f>
        <v/>
      </c>
      <c r="N1896" s="16"/>
      <c r="O1896" s="16"/>
      <c r="P1896" s="16"/>
      <c r="Q1896" s="17"/>
    </row>
    <row r="1897" customFormat="false" ht="15" hidden="false" customHeight="false" outlineLevel="0" collapsed="false">
      <c r="A1897" s="15" t="str">
        <f aca="false">IF(B1897="","",ROW()-1)</f>
        <v/>
      </c>
      <c r="B1897" s="16"/>
      <c r="C1897" s="16"/>
      <c r="D1897" s="16"/>
      <c r="E1897" s="16"/>
      <c r="F1897" s="17"/>
      <c r="G1897" s="16"/>
      <c r="H1897" s="16"/>
      <c r="I1897" s="16"/>
      <c r="J1897" s="16"/>
      <c r="K1897" s="16"/>
      <c r="L1897" s="16"/>
      <c r="M1897" s="18" t="str">
        <f aca="false">IF(OR(C1897="",D1897=""),"",IF(MOD(COUNTIFS($C$2:C1897,C1897,$D$2:D1897,D1897)*7,10)&lt;3,"teste","treino"))</f>
        <v/>
      </c>
      <c r="N1897" s="16"/>
      <c r="O1897" s="16"/>
      <c r="P1897" s="16"/>
      <c r="Q1897" s="17"/>
    </row>
    <row r="1898" customFormat="false" ht="15" hidden="false" customHeight="false" outlineLevel="0" collapsed="false">
      <c r="A1898" s="15" t="str">
        <f aca="false">IF(B1898="","",ROW()-1)</f>
        <v/>
      </c>
      <c r="B1898" s="16"/>
      <c r="C1898" s="16"/>
      <c r="D1898" s="16"/>
      <c r="E1898" s="16"/>
      <c r="F1898" s="17"/>
      <c r="G1898" s="16"/>
      <c r="H1898" s="16"/>
      <c r="I1898" s="16"/>
      <c r="J1898" s="16"/>
      <c r="K1898" s="16"/>
      <c r="L1898" s="16"/>
      <c r="M1898" s="18" t="str">
        <f aca="false">IF(OR(C1898="",D1898=""),"",IF(MOD(COUNTIFS($C$2:C1898,C1898,$D$2:D1898,D1898)*7,10)&lt;3,"teste","treino"))</f>
        <v/>
      </c>
      <c r="N1898" s="16"/>
      <c r="O1898" s="16"/>
      <c r="P1898" s="16"/>
      <c r="Q1898" s="17"/>
    </row>
    <row r="1899" customFormat="false" ht="15" hidden="false" customHeight="false" outlineLevel="0" collapsed="false">
      <c r="A1899" s="15" t="str">
        <f aca="false">IF(B1899="","",ROW()-1)</f>
        <v/>
      </c>
      <c r="B1899" s="16"/>
      <c r="C1899" s="16"/>
      <c r="D1899" s="16"/>
      <c r="E1899" s="16"/>
      <c r="F1899" s="17"/>
      <c r="G1899" s="16"/>
      <c r="H1899" s="16"/>
      <c r="I1899" s="16"/>
      <c r="J1899" s="16"/>
      <c r="K1899" s="16"/>
      <c r="L1899" s="16"/>
      <c r="M1899" s="18" t="str">
        <f aca="false">IF(OR(C1899="",D1899=""),"",IF(MOD(COUNTIFS($C$2:C1899,C1899,$D$2:D1899,D1899)*7,10)&lt;3,"teste","treino"))</f>
        <v/>
      </c>
      <c r="N1899" s="16"/>
      <c r="O1899" s="16"/>
      <c r="P1899" s="16"/>
      <c r="Q1899" s="17"/>
    </row>
    <row r="1900" customFormat="false" ht="15" hidden="false" customHeight="false" outlineLevel="0" collapsed="false">
      <c r="A1900" s="15" t="str">
        <f aca="false">IF(B1900="","",ROW()-1)</f>
        <v/>
      </c>
      <c r="B1900" s="16"/>
      <c r="C1900" s="16"/>
      <c r="D1900" s="16"/>
      <c r="E1900" s="16"/>
      <c r="F1900" s="17"/>
      <c r="G1900" s="16"/>
      <c r="H1900" s="16"/>
      <c r="I1900" s="16"/>
      <c r="J1900" s="16"/>
      <c r="K1900" s="16"/>
      <c r="L1900" s="16"/>
      <c r="M1900" s="18" t="str">
        <f aca="false">IF(OR(C1900="",D1900=""),"",IF(MOD(COUNTIFS($C$2:C1900,C1900,$D$2:D1900,D1900)*7,10)&lt;3,"teste","treino"))</f>
        <v/>
      </c>
      <c r="N1900" s="16"/>
      <c r="O1900" s="16"/>
      <c r="P1900" s="16"/>
      <c r="Q1900" s="17"/>
    </row>
    <row r="1901" customFormat="false" ht="15" hidden="false" customHeight="false" outlineLevel="0" collapsed="false">
      <c r="A1901" s="15" t="str">
        <f aca="false">IF(B1901="","",ROW()-1)</f>
        <v/>
      </c>
      <c r="B1901" s="16"/>
      <c r="C1901" s="16"/>
      <c r="D1901" s="16"/>
      <c r="E1901" s="16"/>
      <c r="F1901" s="17"/>
      <c r="G1901" s="16"/>
      <c r="H1901" s="16"/>
      <c r="I1901" s="16"/>
      <c r="J1901" s="16"/>
      <c r="K1901" s="16"/>
      <c r="L1901" s="16"/>
      <c r="M1901" s="18" t="str">
        <f aca="false">IF(OR(C1901="",D1901=""),"",IF(MOD(COUNTIFS($C$2:C1901,C1901,$D$2:D1901,D1901)*7,10)&lt;3,"teste","treino"))</f>
        <v/>
      </c>
      <c r="N1901" s="16"/>
      <c r="O1901" s="16"/>
      <c r="P1901" s="16"/>
      <c r="Q1901" s="17"/>
    </row>
    <row r="1902" customFormat="false" ht="15" hidden="false" customHeight="false" outlineLevel="0" collapsed="false">
      <c r="A1902" s="15" t="str">
        <f aca="false">IF(B1902="","",ROW()-1)</f>
        <v/>
      </c>
      <c r="B1902" s="16"/>
      <c r="C1902" s="16"/>
      <c r="D1902" s="16"/>
      <c r="E1902" s="16"/>
      <c r="F1902" s="17"/>
      <c r="G1902" s="16"/>
      <c r="H1902" s="16"/>
      <c r="I1902" s="16"/>
      <c r="J1902" s="16"/>
      <c r="K1902" s="16"/>
      <c r="L1902" s="16"/>
      <c r="M1902" s="18" t="str">
        <f aca="false">IF(OR(C1902="",D1902=""),"",IF(MOD(COUNTIFS($C$2:C1902,C1902,$D$2:D1902,D1902)*7,10)&lt;3,"teste","treino"))</f>
        <v/>
      </c>
      <c r="N1902" s="16"/>
      <c r="O1902" s="16"/>
      <c r="P1902" s="16"/>
      <c r="Q1902" s="17"/>
    </row>
    <row r="1903" customFormat="false" ht="15" hidden="false" customHeight="false" outlineLevel="0" collapsed="false">
      <c r="A1903" s="15" t="str">
        <f aca="false">IF(B1903="","",ROW()-1)</f>
        <v/>
      </c>
      <c r="B1903" s="16"/>
      <c r="C1903" s="16"/>
      <c r="D1903" s="16"/>
      <c r="E1903" s="16"/>
      <c r="F1903" s="17"/>
      <c r="G1903" s="16"/>
      <c r="H1903" s="16"/>
      <c r="I1903" s="16"/>
      <c r="J1903" s="16"/>
      <c r="K1903" s="16"/>
      <c r="L1903" s="16"/>
      <c r="M1903" s="18" t="str">
        <f aca="false">IF(OR(C1903="",D1903=""),"",IF(MOD(COUNTIFS($C$2:C1903,C1903,$D$2:D1903,D1903)*7,10)&lt;3,"teste","treino"))</f>
        <v/>
      </c>
      <c r="N1903" s="16"/>
      <c r="O1903" s="16"/>
      <c r="P1903" s="16"/>
      <c r="Q1903" s="17"/>
    </row>
    <row r="1904" customFormat="false" ht="15" hidden="false" customHeight="false" outlineLevel="0" collapsed="false">
      <c r="A1904" s="15" t="str">
        <f aca="false">IF(B1904="","",ROW()-1)</f>
        <v/>
      </c>
      <c r="B1904" s="16"/>
      <c r="C1904" s="16"/>
      <c r="D1904" s="16"/>
      <c r="E1904" s="16"/>
      <c r="F1904" s="17"/>
      <c r="G1904" s="16"/>
      <c r="H1904" s="16"/>
      <c r="I1904" s="16"/>
      <c r="J1904" s="16"/>
      <c r="K1904" s="16"/>
      <c r="L1904" s="16"/>
      <c r="M1904" s="18" t="str">
        <f aca="false">IF(OR(C1904="",D1904=""),"",IF(MOD(COUNTIFS($C$2:C1904,C1904,$D$2:D1904,D1904)*7,10)&lt;3,"teste","treino"))</f>
        <v/>
      </c>
      <c r="N1904" s="16"/>
      <c r="O1904" s="16"/>
      <c r="P1904" s="16"/>
      <c r="Q1904" s="17"/>
    </row>
    <row r="1905" customFormat="false" ht="15" hidden="false" customHeight="false" outlineLevel="0" collapsed="false">
      <c r="A1905" s="15" t="str">
        <f aca="false">IF(B1905="","",ROW()-1)</f>
        <v/>
      </c>
      <c r="B1905" s="16"/>
      <c r="C1905" s="16"/>
      <c r="D1905" s="16"/>
      <c r="E1905" s="16"/>
      <c r="F1905" s="17"/>
      <c r="G1905" s="16"/>
      <c r="H1905" s="16"/>
      <c r="I1905" s="16"/>
      <c r="J1905" s="16"/>
      <c r="K1905" s="16"/>
      <c r="L1905" s="16"/>
      <c r="M1905" s="18" t="str">
        <f aca="false">IF(OR(C1905="",D1905=""),"",IF(MOD(COUNTIFS($C$2:C1905,C1905,$D$2:D1905,D1905)*7,10)&lt;3,"teste","treino"))</f>
        <v/>
      </c>
      <c r="N1905" s="16"/>
      <c r="O1905" s="16"/>
      <c r="P1905" s="16"/>
      <c r="Q1905" s="17"/>
    </row>
    <row r="1906" customFormat="false" ht="15" hidden="false" customHeight="false" outlineLevel="0" collapsed="false">
      <c r="A1906" s="15" t="str">
        <f aca="false">IF(B1906="","",ROW()-1)</f>
        <v/>
      </c>
      <c r="B1906" s="16"/>
      <c r="C1906" s="16"/>
      <c r="D1906" s="16"/>
      <c r="E1906" s="16"/>
      <c r="F1906" s="17"/>
      <c r="G1906" s="16"/>
      <c r="H1906" s="16"/>
      <c r="I1906" s="16"/>
      <c r="J1906" s="16"/>
      <c r="K1906" s="16"/>
      <c r="L1906" s="16"/>
      <c r="M1906" s="18" t="str">
        <f aca="false">IF(OR(C1906="",D1906=""),"",IF(MOD(COUNTIFS($C$2:C1906,C1906,$D$2:D1906,D1906)*7,10)&lt;3,"teste","treino"))</f>
        <v/>
      </c>
      <c r="N1906" s="16"/>
      <c r="O1906" s="16"/>
      <c r="P1906" s="16"/>
      <c r="Q1906" s="17"/>
    </row>
    <row r="1907" customFormat="false" ht="15" hidden="false" customHeight="false" outlineLevel="0" collapsed="false">
      <c r="A1907" s="15" t="str">
        <f aca="false">IF(B1907="","",ROW()-1)</f>
        <v/>
      </c>
      <c r="B1907" s="16"/>
      <c r="C1907" s="16"/>
      <c r="D1907" s="16"/>
      <c r="E1907" s="16"/>
      <c r="F1907" s="17"/>
      <c r="G1907" s="16"/>
      <c r="H1907" s="16"/>
      <c r="I1907" s="16"/>
      <c r="J1907" s="16"/>
      <c r="K1907" s="16"/>
      <c r="L1907" s="16"/>
      <c r="M1907" s="18" t="str">
        <f aca="false">IF(OR(C1907="",D1907=""),"",IF(MOD(COUNTIFS($C$2:C1907,C1907,$D$2:D1907,D1907)*7,10)&lt;3,"teste","treino"))</f>
        <v/>
      </c>
      <c r="N1907" s="16"/>
      <c r="O1907" s="16"/>
      <c r="P1907" s="16"/>
      <c r="Q1907" s="17"/>
    </row>
    <row r="1908" customFormat="false" ht="15" hidden="false" customHeight="false" outlineLevel="0" collapsed="false">
      <c r="A1908" s="15" t="str">
        <f aca="false">IF(B1908="","",ROW()-1)</f>
        <v/>
      </c>
      <c r="B1908" s="16"/>
      <c r="C1908" s="16"/>
      <c r="D1908" s="16"/>
      <c r="E1908" s="16"/>
      <c r="F1908" s="17"/>
      <c r="G1908" s="16"/>
      <c r="H1908" s="16"/>
      <c r="I1908" s="16"/>
      <c r="J1908" s="16"/>
      <c r="K1908" s="16"/>
      <c r="L1908" s="16"/>
      <c r="M1908" s="18" t="str">
        <f aca="false">IF(OR(C1908="",D1908=""),"",IF(MOD(COUNTIFS($C$2:C1908,C1908,$D$2:D1908,D1908)*7,10)&lt;3,"teste","treino"))</f>
        <v/>
      </c>
      <c r="N1908" s="16"/>
      <c r="O1908" s="16"/>
      <c r="P1908" s="16"/>
      <c r="Q1908" s="17"/>
    </row>
    <row r="1909" customFormat="false" ht="15" hidden="false" customHeight="false" outlineLevel="0" collapsed="false">
      <c r="A1909" s="15" t="str">
        <f aca="false">IF(B1909="","",ROW()-1)</f>
        <v/>
      </c>
      <c r="B1909" s="16"/>
      <c r="C1909" s="16"/>
      <c r="D1909" s="16"/>
      <c r="E1909" s="16"/>
      <c r="F1909" s="17"/>
      <c r="G1909" s="16"/>
      <c r="H1909" s="16"/>
      <c r="I1909" s="16"/>
      <c r="J1909" s="16"/>
      <c r="K1909" s="16"/>
      <c r="L1909" s="16"/>
      <c r="M1909" s="18" t="str">
        <f aca="false">IF(OR(C1909="",D1909=""),"",IF(MOD(COUNTIFS($C$2:C1909,C1909,$D$2:D1909,D1909)*7,10)&lt;3,"teste","treino"))</f>
        <v/>
      </c>
      <c r="N1909" s="16"/>
      <c r="O1909" s="16"/>
      <c r="P1909" s="16"/>
      <c r="Q1909" s="17"/>
    </row>
    <row r="1910" customFormat="false" ht="15" hidden="false" customHeight="false" outlineLevel="0" collapsed="false">
      <c r="A1910" s="15" t="str">
        <f aca="false">IF(B1910="","",ROW()-1)</f>
        <v/>
      </c>
      <c r="B1910" s="16"/>
      <c r="C1910" s="16"/>
      <c r="D1910" s="16"/>
      <c r="E1910" s="16"/>
      <c r="F1910" s="17"/>
      <c r="G1910" s="16"/>
      <c r="H1910" s="16"/>
      <c r="I1910" s="16"/>
      <c r="J1910" s="16"/>
      <c r="K1910" s="16"/>
      <c r="L1910" s="16"/>
      <c r="M1910" s="18" t="str">
        <f aca="false">IF(OR(C1910="",D1910=""),"",IF(MOD(COUNTIFS($C$2:C1910,C1910,$D$2:D1910,D1910)*7,10)&lt;3,"teste","treino"))</f>
        <v/>
      </c>
      <c r="N1910" s="16"/>
      <c r="O1910" s="16"/>
      <c r="P1910" s="16"/>
      <c r="Q1910" s="17"/>
    </row>
    <row r="1911" customFormat="false" ht="15" hidden="false" customHeight="false" outlineLevel="0" collapsed="false">
      <c r="A1911" s="15" t="str">
        <f aca="false">IF(B1911="","",ROW()-1)</f>
        <v/>
      </c>
      <c r="B1911" s="16"/>
      <c r="C1911" s="16"/>
      <c r="D1911" s="16"/>
      <c r="E1911" s="16"/>
      <c r="F1911" s="17"/>
      <c r="G1911" s="16"/>
      <c r="H1911" s="16"/>
      <c r="I1911" s="16"/>
      <c r="J1911" s="16"/>
      <c r="K1911" s="16"/>
      <c r="L1911" s="16"/>
      <c r="M1911" s="18" t="str">
        <f aca="false">IF(OR(C1911="",D1911=""),"",IF(MOD(COUNTIFS($C$2:C1911,C1911,$D$2:D1911,D1911)*7,10)&lt;3,"teste","treino"))</f>
        <v/>
      </c>
      <c r="N1911" s="16"/>
      <c r="O1911" s="16"/>
      <c r="P1911" s="16"/>
      <c r="Q1911" s="17"/>
    </row>
    <row r="1912" customFormat="false" ht="15" hidden="false" customHeight="false" outlineLevel="0" collapsed="false">
      <c r="A1912" s="15" t="str">
        <f aca="false">IF(B1912="","",ROW()-1)</f>
        <v/>
      </c>
      <c r="B1912" s="16"/>
      <c r="C1912" s="16"/>
      <c r="D1912" s="16"/>
      <c r="E1912" s="16"/>
      <c r="F1912" s="17"/>
      <c r="G1912" s="16"/>
      <c r="H1912" s="16"/>
      <c r="I1912" s="16"/>
      <c r="J1912" s="16"/>
      <c r="K1912" s="16"/>
      <c r="L1912" s="16"/>
      <c r="M1912" s="18" t="str">
        <f aca="false">IF(OR(C1912="",D1912=""),"",IF(MOD(COUNTIFS($C$2:C1912,C1912,$D$2:D1912,D1912)*7,10)&lt;3,"teste","treino"))</f>
        <v/>
      </c>
      <c r="N1912" s="16"/>
      <c r="O1912" s="16"/>
      <c r="P1912" s="16"/>
      <c r="Q1912" s="17"/>
    </row>
    <row r="1913" customFormat="false" ht="15" hidden="false" customHeight="false" outlineLevel="0" collapsed="false">
      <c r="A1913" s="15" t="str">
        <f aca="false">IF(B1913="","",ROW()-1)</f>
        <v/>
      </c>
      <c r="B1913" s="16"/>
      <c r="C1913" s="16"/>
      <c r="D1913" s="16"/>
      <c r="E1913" s="16"/>
      <c r="F1913" s="17"/>
      <c r="G1913" s="16"/>
      <c r="H1913" s="16"/>
      <c r="I1913" s="16"/>
      <c r="J1913" s="16"/>
      <c r="K1913" s="16"/>
      <c r="L1913" s="16"/>
      <c r="M1913" s="18" t="str">
        <f aca="false">IF(OR(C1913="",D1913=""),"",IF(MOD(COUNTIFS($C$2:C1913,C1913,$D$2:D1913,D1913)*7,10)&lt;3,"teste","treino"))</f>
        <v/>
      </c>
      <c r="N1913" s="16"/>
      <c r="O1913" s="16"/>
      <c r="P1913" s="16"/>
      <c r="Q1913" s="17"/>
    </row>
    <row r="1914" customFormat="false" ht="15" hidden="false" customHeight="false" outlineLevel="0" collapsed="false">
      <c r="A1914" s="15" t="str">
        <f aca="false">IF(B1914="","",ROW()-1)</f>
        <v/>
      </c>
      <c r="B1914" s="16"/>
      <c r="C1914" s="16"/>
      <c r="D1914" s="16"/>
      <c r="E1914" s="16"/>
      <c r="F1914" s="17"/>
      <c r="G1914" s="16"/>
      <c r="H1914" s="16"/>
      <c r="I1914" s="16"/>
      <c r="J1914" s="16"/>
      <c r="K1914" s="16"/>
      <c r="L1914" s="16"/>
      <c r="M1914" s="18" t="str">
        <f aca="false">IF(OR(C1914="",D1914=""),"",IF(MOD(COUNTIFS($C$2:C1914,C1914,$D$2:D1914,D1914)*7,10)&lt;3,"teste","treino"))</f>
        <v/>
      </c>
      <c r="N1914" s="16"/>
      <c r="O1914" s="16"/>
      <c r="P1914" s="16"/>
      <c r="Q1914" s="17"/>
    </row>
    <row r="1915" customFormat="false" ht="15" hidden="false" customHeight="false" outlineLevel="0" collapsed="false">
      <c r="A1915" s="15" t="str">
        <f aca="false">IF(B1915="","",ROW()-1)</f>
        <v/>
      </c>
      <c r="B1915" s="16"/>
      <c r="C1915" s="16"/>
      <c r="D1915" s="16"/>
      <c r="E1915" s="16"/>
      <c r="F1915" s="17"/>
      <c r="G1915" s="16"/>
      <c r="H1915" s="16"/>
      <c r="I1915" s="16"/>
      <c r="J1915" s="16"/>
      <c r="K1915" s="16"/>
      <c r="L1915" s="16"/>
      <c r="M1915" s="18" t="str">
        <f aca="false">IF(OR(C1915="",D1915=""),"",IF(MOD(COUNTIFS($C$2:C1915,C1915,$D$2:D1915,D1915)*7,10)&lt;3,"teste","treino"))</f>
        <v/>
      </c>
      <c r="N1915" s="16"/>
      <c r="O1915" s="16"/>
      <c r="P1915" s="16"/>
      <c r="Q1915" s="17"/>
    </row>
    <row r="1916" customFormat="false" ht="15" hidden="false" customHeight="false" outlineLevel="0" collapsed="false">
      <c r="A1916" s="15" t="str">
        <f aca="false">IF(B1916="","",ROW()-1)</f>
        <v/>
      </c>
      <c r="B1916" s="16"/>
      <c r="C1916" s="16"/>
      <c r="D1916" s="16"/>
      <c r="E1916" s="16"/>
      <c r="F1916" s="17"/>
      <c r="G1916" s="16"/>
      <c r="H1916" s="16"/>
      <c r="I1916" s="16"/>
      <c r="J1916" s="16"/>
      <c r="K1916" s="16"/>
      <c r="L1916" s="16"/>
      <c r="M1916" s="18" t="str">
        <f aca="false">IF(OR(C1916="",D1916=""),"",IF(MOD(COUNTIFS($C$2:C1916,C1916,$D$2:D1916,D1916)*7,10)&lt;3,"teste","treino"))</f>
        <v/>
      </c>
      <c r="N1916" s="16"/>
      <c r="O1916" s="16"/>
      <c r="P1916" s="16"/>
      <c r="Q1916" s="17"/>
    </row>
    <row r="1917" customFormat="false" ht="15" hidden="false" customHeight="false" outlineLevel="0" collapsed="false">
      <c r="A1917" s="15" t="str">
        <f aca="false">IF(B1917="","",ROW()-1)</f>
        <v/>
      </c>
      <c r="B1917" s="16"/>
      <c r="C1917" s="16"/>
      <c r="D1917" s="16"/>
      <c r="E1917" s="16"/>
      <c r="F1917" s="17"/>
      <c r="G1917" s="16"/>
      <c r="H1917" s="16"/>
      <c r="I1917" s="16"/>
      <c r="J1917" s="16"/>
      <c r="K1917" s="16"/>
      <c r="L1917" s="16"/>
      <c r="M1917" s="18" t="str">
        <f aca="false">IF(OR(C1917="",D1917=""),"",IF(MOD(COUNTIFS($C$2:C1917,C1917,$D$2:D1917,D1917)*7,10)&lt;3,"teste","treino"))</f>
        <v/>
      </c>
      <c r="N1917" s="16"/>
      <c r="O1917" s="16"/>
      <c r="P1917" s="16"/>
      <c r="Q1917" s="17"/>
    </row>
    <row r="1918" customFormat="false" ht="15" hidden="false" customHeight="false" outlineLevel="0" collapsed="false">
      <c r="A1918" s="15" t="str">
        <f aca="false">IF(B1918="","",ROW()-1)</f>
        <v/>
      </c>
      <c r="B1918" s="16"/>
      <c r="C1918" s="16"/>
      <c r="D1918" s="16"/>
      <c r="E1918" s="16"/>
      <c r="F1918" s="17"/>
      <c r="G1918" s="16"/>
      <c r="H1918" s="16"/>
      <c r="I1918" s="16"/>
      <c r="J1918" s="16"/>
      <c r="K1918" s="16"/>
      <c r="L1918" s="16"/>
      <c r="M1918" s="18" t="str">
        <f aca="false">IF(OR(C1918="",D1918=""),"",IF(MOD(COUNTIFS($C$2:C1918,C1918,$D$2:D1918,D1918)*7,10)&lt;3,"teste","treino"))</f>
        <v/>
      </c>
      <c r="N1918" s="16"/>
      <c r="O1918" s="16"/>
      <c r="P1918" s="16"/>
      <c r="Q1918" s="17"/>
    </row>
    <row r="1919" customFormat="false" ht="15" hidden="false" customHeight="false" outlineLevel="0" collapsed="false">
      <c r="A1919" s="15" t="str">
        <f aca="false">IF(B1919="","",ROW()-1)</f>
        <v/>
      </c>
      <c r="B1919" s="16"/>
      <c r="C1919" s="16"/>
      <c r="D1919" s="16"/>
      <c r="E1919" s="16"/>
      <c r="F1919" s="17"/>
      <c r="G1919" s="16"/>
      <c r="H1919" s="16"/>
      <c r="I1919" s="16"/>
      <c r="J1919" s="16"/>
      <c r="K1919" s="16"/>
      <c r="L1919" s="16"/>
      <c r="M1919" s="18" t="str">
        <f aca="false">IF(OR(C1919="",D1919=""),"",IF(MOD(COUNTIFS($C$2:C1919,C1919,$D$2:D1919,D1919)*7,10)&lt;3,"teste","treino"))</f>
        <v/>
      </c>
      <c r="N1919" s="16"/>
      <c r="O1919" s="16"/>
      <c r="P1919" s="16"/>
      <c r="Q1919" s="17"/>
    </row>
    <row r="1920" customFormat="false" ht="15" hidden="false" customHeight="false" outlineLevel="0" collapsed="false">
      <c r="A1920" s="15" t="str">
        <f aca="false">IF(B1920="","",ROW()-1)</f>
        <v/>
      </c>
      <c r="B1920" s="16"/>
      <c r="C1920" s="16"/>
      <c r="D1920" s="16"/>
      <c r="E1920" s="16"/>
      <c r="F1920" s="17"/>
      <c r="G1920" s="16"/>
      <c r="H1920" s="16"/>
      <c r="I1920" s="16"/>
      <c r="J1920" s="16"/>
      <c r="K1920" s="16"/>
      <c r="L1920" s="16"/>
      <c r="M1920" s="18" t="str">
        <f aca="false">IF(OR(C1920="",D1920=""),"",IF(MOD(COUNTIFS($C$2:C1920,C1920,$D$2:D1920,D1920)*7,10)&lt;3,"teste","treino"))</f>
        <v/>
      </c>
      <c r="N1920" s="16"/>
      <c r="O1920" s="16"/>
      <c r="P1920" s="16"/>
      <c r="Q1920" s="17"/>
    </row>
    <row r="1921" customFormat="false" ht="15" hidden="false" customHeight="false" outlineLevel="0" collapsed="false">
      <c r="A1921" s="15" t="str">
        <f aca="false">IF(B1921="","",ROW()-1)</f>
        <v/>
      </c>
      <c r="B1921" s="16"/>
      <c r="C1921" s="16"/>
      <c r="D1921" s="16"/>
      <c r="E1921" s="16"/>
      <c r="F1921" s="17"/>
      <c r="G1921" s="16"/>
      <c r="H1921" s="16"/>
      <c r="I1921" s="16"/>
      <c r="J1921" s="16"/>
      <c r="K1921" s="16"/>
      <c r="L1921" s="16"/>
      <c r="M1921" s="18" t="str">
        <f aca="false">IF(OR(C1921="",D1921=""),"",IF(MOD(COUNTIFS($C$2:C1921,C1921,$D$2:D1921,D1921)*7,10)&lt;3,"teste","treino"))</f>
        <v/>
      </c>
      <c r="N1921" s="16"/>
      <c r="O1921" s="16"/>
      <c r="P1921" s="16"/>
      <c r="Q1921" s="17"/>
    </row>
    <row r="1922" customFormat="false" ht="15" hidden="false" customHeight="false" outlineLevel="0" collapsed="false">
      <c r="A1922" s="15" t="str">
        <f aca="false">IF(B1922="","",ROW()-1)</f>
        <v/>
      </c>
      <c r="B1922" s="16"/>
      <c r="C1922" s="16"/>
      <c r="D1922" s="16"/>
      <c r="E1922" s="16"/>
      <c r="F1922" s="17"/>
      <c r="G1922" s="16"/>
      <c r="H1922" s="16"/>
      <c r="I1922" s="16"/>
      <c r="J1922" s="16"/>
      <c r="K1922" s="16"/>
      <c r="L1922" s="16"/>
      <c r="M1922" s="18" t="str">
        <f aca="false">IF(OR(C1922="",D1922=""),"",IF(MOD(COUNTIFS($C$2:C1922,C1922,$D$2:D1922,D1922)*7,10)&lt;3,"teste","treino"))</f>
        <v/>
      </c>
      <c r="N1922" s="16"/>
      <c r="O1922" s="16"/>
      <c r="P1922" s="16"/>
      <c r="Q1922" s="17"/>
    </row>
    <row r="1923" customFormat="false" ht="15" hidden="false" customHeight="false" outlineLevel="0" collapsed="false">
      <c r="A1923" s="15" t="str">
        <f aca="false">IF(B1923="","",ROW()-1)</f>
        <v/>
      </c>
      <c r="B1923" s="16"/>
      <c r="C1923" s="16"/>
      <c r="D1923" s="16"/>
      <c r="E1923" s="16"/>
      <c r="F1923" s="17"/>
      <c r="G1923" s="16"/>
      <c r="H1923" s="16"/>
      <c r="I1923" s="16"/>
      <c r="J1923" s="16"/>
      <c r="K1923" s="16"/>
      <c r="L1923" s="16"/>
      <c r="M1923" s="18" t="str">
        <f aca="false">IF(OR(C1923="",D1923=""),"",IF(MOD(COUNTIFS($C$2:C1923,C1923,$D$2:D1923,D1923)*7,10)&lt;3,"teste","treino"))</f>
        <v/>
      </c>
      <c r="N1923" s="16"/>
      <c r="O1923" s="16"/>
      <c r="P1923" s="16"/>
      <c r="Q1923" s="17"/>
    </row>
    <row r="1924" customFormat="false" ht="15" hidden="false" customHeight="false" outlineLevel="0" collapsed="false">
      <c r="A1924" s="15" t="str">
        <f aca="false">IF(B1924="","",ROW()-1)</f>
        <v/>
      </c>
      <c r="B1924" s="16"/>
      <c r="C1924" s="16"/>
      <c r="D1924" s="16"/>
      <c r="E1924" s="16"/>
      <c r="F1924" s="17"/>
      <c r="G1924" s="16"/>
      <c r="H1924" s="16"/>
      <c r="I1924" s="16"/>
      <c r="J1924" s="16"/>
      <c r="K1924" s="16"/>
      <c r="L1924" s="16"/>
      <c r="M1924" s="18" t="str">
        <f aca="false">IF(OR(C1924="",D1924=""),"",IF(MOD(COUNTIFS($C$2:C1924,C1924,$D$2:D1924,D1924)*7,10)&lt;3,"teste","treino"))</f>
        <v/>
      </c>
      <c r="N1924" s="16"/>
      <c r="O1924" s="16"/>
      <c r="P1924" s="16"/>
      <c r="Q1924" s="17"/>
    </row>
    <row r="1925" customFormat="false" ht="15" hidden="false" customHeight="false" outlineLevel="0" collapsed="false">
      <c r="A1925" s="15" t="str">
        <f aca="false">IF(B1925="","",ROW()-1)</f>
        <v/>
      </c>
      <c r="B1925" s="16"/>
      <c r="C1925" s="16"/>
      <c r="D1925" s="16"/>
      <c r="E1925" s="16"/>
      <c r="F1925" s="17"/>
      <c r="G1925" s="16"/>
      <c r="H1925" s="16"/>
      <c r="I1925" s="16"/>
      <c r="J1925" s="16"/>
      <c r="K1925" s="16"/>
      <c r="L1925" s="16"/>
      <c r="M1925" s="18" t="str">
        <f aca="false">IF(OR(C1925="",D1925=""),"",IF(MOD(COUNTIFS($C$2:C1925,C1925,$D$2:D1925,D1925)*7,10)&lt;3,"teste","treino"))</f>
        <v/>
      </c>
      <c r="N1925" s="16"/>
      <c r="O1925" s="16"/>
      <c r="P1925" s="16"/>
      <c r="Q1925" s="17"/>
    </row>
    <row r="1926" customFormat="false" ht="15" hidden="false" customHeight="false" outlineLevel="0" collapsed="false">
      <c r="A1926" s="15" t="str">
        <f aca="false">IF(B1926="","",ROW()-1)</f>
        <v/>
      </c>
      <c r="B1926" s="16"/>
      <c r="C1926" s="16"/>
      <c r="D1926" s="16"/>
      <c r="E1926" s="16"/>
      <c r="F1926" s="17"/>
      <c r="G1926" s="16"/>
      <c r="H1926" s="16"/>
      <c r="I1926" s="16"/>
      <c r="J1926" s="16"/>
      <c r="K1926" s="16"/>
      <c r="L1926" s="16"/>
      <c r="M1926" s="18" t="str">
        <f aca="false">IF(OR(C1926="",D1926=""),"",IF(MOD(COUNTIFS($C$2:C1926,C1926,$D$2:D1926,D1926)*7,10)&lt;3,"teste","treino"))</f>
        <v/>
      </c>
      <c r="N1926" s="16"/>
      <c r="O1926" s="16"/>
      <c r="P1926" s="16"/>
      <c r="Q1926" s="17"/>
    </row>
    <row r="1927" customFormat="false" ht="15" hidden="false" customHeight="false" outlineLevel="0" collapsed="false">
      <c r="A1927" s="15" t="str">
        <f aca="false">IF(B1927="","",ROW()-1)</f>
        <v/>
      </c>
      <c r="B1927" s="16"/>
      <c r="C1927" s="16"/>
      <c r="D1927" s="16"/>
      <c r="E1927" s="16"/>
      <c r="F1927" s="17"/>
      <c r="G1927" s="16"/>
      <c r="H1927" s="16"/>
      <c r="I1927" s="16"/>
      <c r="J1927" s="16"/>
      <c r="K1927" s="16"/>
      <c r="L1927" s="16"/>
      <c r="M1927" s="18" t="str">
        <f aca="false">IF(OR(C1927="",D1927=""),"",IF(MOD(COUNTIFS($C$2:C1927,C1927,$D$2:D1927,D1927)*7,10)&lt;3,"teste","treino"))</f>
        <v/>
      </c>
      <c r="N1927" s="16"/>
      <c r="O1927" s="16"/>
      <c r="P1927" s="16"/>
      <c r="Q1927" s="17"/>
    </row>
    <row r="1928" customFormat="false" ht="15" hidden="false" customHeight="false" outlineLevel="0" collapsed="false">
      <c r="A1928" s="15" t="str">
        <f aca="false">IF(B1928="","",ROW()-1)</f>
        <v/>
      </c>
      <c r="B1928" s="16"/>
      <c r="C1928" s="16"/>
      <c r="D1928" s="16"/>
      <c r="E1928" s="16"/>
      <c r="F1928" s="17"/>
      <c r="G1928" s="16"/>
      <c r="H1928" s="16"/>
      <c r="I1928" s="16"/>
      <c r="J1928" s="16"/>
      <c r="K1928" s="16"/>
      <c r="L1928" s="16"/>
      <c r="M1928" s="18" t="str">
        <f aca="false">IF(OR(C1928="",D1928=""),"",IF(MOD(COUNTIFS($C$2:C1928,C1928,$D$2:D1928,D1928)*7,10)&lt;3,"teste","treino"))</f>
        <v/>
      </c>
      <c r="N1928" s="16"/>
      <c r="O1928" s="16"/>
      <c r="P1928" s="16"/>
      <c r="Q1928" s="17"/>
    </row>
    <row r="1929" customFormat="false" ht="15" hidden="false" customHeight="false" outlineLevel="0" collapsed="false">
      <c r="A1929" s="15" t="str">
        <f aca="false">IF(B1929="","",ROW()-1)</f>
        <v/>
      </c>
      <c r="B1929" s="16"/>
      <c r="C1929" s="16"/>
      <c r="D1929" s="16"/>
      <c r="E1929" s="16"/>
      <c r="F1929" s="17"/>
      <c r="G1929" s="16"/>
      <c r="H1929" s="16"/>
      <c r="I1929" s="16"/>
      <c r="J1929" s="16"/>
      <c r="K1929" s="16"/>
      <c r="L1929" s="16"/>
      <c r="M1929" s="18" t="str">
        <f aca="false">IF(OR(C1929="",D1929=""),"",IF(MOD(COUNTIFS($C$2:C1929,C1929,$D$2:D1929,D1929)*7,10)&lt;3,"teste","treino"))</f>
        <v/>
      </c>
      <c r="N1929" s="16"/>
      <c r="O1929" s="16"/>
      <c r="P1929" s="16"/>
      <c r="Q1929" s="17"/>
    </row>
    <row r="1930" customFormat="false" ht="15" hidden="false" customHeight="false" outlineLevel="0" collapsed="false">
      <c r="A1930" s="15" t="str">
        <f aca="false">IF(B1930="","",ROW()-1)</f>
        <v/>
      </c>
      <c r="B1930" s="16"/>
      <c r="C1930" s="16"/>
      <c r="D1930" s="16"/>
      <c r="E1930" s="16"/>
      <c r="F1930" s="17"/>
      <c r="G1930" s="16"/>
      <c r="H1930" s="16"/>
      <c r="I1930" s="16"/>
      <c r="J1930" s="16"/>
      <c r="K1930" s="16"/>
      <c r="L1930" s="16"/>
      <c r="M1930" s="18" t="str">
        <f aca="false">IF(OR(C1930="",D1930=""),"",IF(MOD(COUNTIFS($C$2:C1930,C1930,$D$2:D1930,D1930)*7,10)&lt;3,"teste","treino"))</f>
        <v/>
      </c>
      <c r="N1930" s="16"/>
      <c r="O1930" s="16"/>
      <c r="P1930" s="16"/>
      <c r="Q1930" s="17"/>
    </row>
    <row r="1931" customFormat="false" ht="15" hidden="false" customHeight="false" outlineLevel="0" collapsed="false">
      <c r="A1931" s="15" t="str">
        <f aca="false">IF(B1931="","",ROW()-1)</f>
        <v/>
      </c>
      <c r="B1931" s="16"/>
      <c r="C1931" s="16"/>
      <c r="D1931" s="16"/>
      <c r="E1931" s="16"/>
      <c r="F1931" s="17"/>
      <c r="G1931" s="16"/>
      <c r="H1931" s="16"/>
      <c r="I1931" s="16"/>
      <c r="J1931" s="16"/>
      <c r="K1931" s="16"/>
      <c r="L1931" s="16"/>
      <c r="M1931" s="18" t="str">
        <f aca="false">IF(OR(C1931="",D1931=""),"",IF(MOD(COUNTIFS($C$2:C1931,C1931,$D$2:D1931,D1931)*7,10)&lt;3,"teste","treino"))</f>
        <v/>
      </c>
      <c r="N1931" s="16"/>
      <c r="O1931" s="16"/>
      <c r="P1931" s="16"/>
      <c r="Q1931" s="17"/>
    </row>
    <row r="1932" customFormat="false" ht="15" hidden="false" customHeight="false" outlineLevel="0" collapsed="false">
      <c r="A1932" s="15" t="str">
        <f aca="false">IF(B1932="","",ROW()-1)</f>
        <v/>
      </c>
      <c r="B1932" s="16"/>
      <c r="C1932" s="16"/>
      <c r="D1932" s="16"/>
      <c r="E1932" s="16"/>
      <c r="F1932" s="17"/>
      <c r="G1932" s="16"/>
      <c r="H1932" s="16"/>
      <c r="I1932" s="16"/>
      <c r="J1932" s="16"/>
      <c r="K1932" s="16"/>
      <c r="L1932" s="16"/>
      <c r="M1932" s="18" t="str">
        <f aca="false">IF(OR(C1932="",D1932=""),"",IF(MOD(COUNTIFS($C$2:C1932,C1932,$D$2:D1932,D1932)*7,10)&lt;3,"teste","treino"))</f>
        <v/>
      </c>
      <c r="N1932" s="16"/>
      <c r="O1932" s="16"/>
      <c r="P1932" s="16"/>
      <c r="Q1932" s="17"/>
    </row>
    <row r="1933" customFormat="false" ht="15" hidden="false" customHeight="false" outlineLevel="0" collapsed="false">
      <c r="A1933" s="15" t="str">
        <f aca="false">IF(B1933="","",ROW()-1)</f>
        <v/>
      </c>
      <c r="B1933" s="16"/>
      <c r="C1933" s="16"/>
      <c r="D1933" s="16"/>
      <c r="E1933" s="16"/>
      <c r="F1933" s="17"/>
      <c r="G1933" s="16"/>
      <c r="H1933" s="16"/>
      <c r="I1933" s="16"/>
      <c r="J1933" s="16"/>
      <c r="K1933" s="16"/>
      <c r="L1933" s="16"/>
      <c r="M1933" s="18" t="str">
        <f aca="false">IF(OR(C1933="",D1933=""),"",IF(MOD(COUNTIFS($C$2:C1933,C1933,$D$2:D1933,D1933)*7,10)&lt;3,"teste","treino"))</f>
        <v/>
      </c>
      <c r="N1933" s="16"/>
      <c r="O1933" s="16"/>
      <c r="P1933" s="16"/>
      <c r="Q1933" s="17"/>
    </row>
    <row r="1934" customFormat="false" ht="15" hidden="false" customHeight="false" outlineLevel="0" collapsed="false">
      <c r="A1934" s="15" t="str">
        <f aca="false">IF(B1934="","",ROW()-1)</f>
        <v/>
      </c>
      <c r="B1934" s="16"/>
      <c r="C1934" s="16"/>
      <c r="D1934" s="16"/>
      <c r="E1934" s="16"/>
      <c r="F1934" s="17"/>
      <c r="G1934" s="16"/>
      <c r="H1934" s="16"/>
      <c r="I1934" s="16"/>
      <c r="J1934" s="16"/>
      <c r="K1934" s="16"/>
      <c r="L1934" s="16"/>
      <c r="M1934" s="18" t="str">
        <f aca="false">IF(OR(C1934="",D1934=""),"",IF(MOD(COUNTIFS($C$2:C1934,C1934,$D$2:D1934,D1934)*7,10)&lt;3,"teste","treino"))</f>
        <v/>
      </c>
      <c r="N1934" s="16"/>
      <c r="O1934" s="16"/>
      <c r="P1934" s="16"/>
      <c r="Q1934" s="17"/>
    </row>
    <row r="1935" customFormat="false" ht="15" hidden="false" customHeight="false" outlineLevel="0" collapsed="false">
      <c r="A1935" s="15" t="str">
        <f aca="false">IF(B1935="","",ROW()-1)</f>
        <v/>
      </c>
      <c r="B1935" s="16"/>
      <c r="C1935" s="16"/>
      <c r="D1935" s="16"/>
      <c r="E1935" s="16"/>
      <c r="F1935" s="17"/>
      <c r="G1935" s="16"/>
      <c r="H1935" s="16"/>
      <c r="I1935" s="16"/>
      <c r="J1935" s="16"/>
      <c r="K1935" s="16"/>
      <c r="L1935" s="16"/>
      <c r="M1935" s="18" t="str">
        <f aca="false">IF(OR(C1935="",D1935=""),"",IF(MOD(COUNTIFS($C$2:C1935,C1935,$D$2:D1935,D1935)*7,10)&lt;3,"teste","treino"))</f>
        <v/>
      </c>
      <c r="N1935" s="16"/>
      <c r="O1935" s="16"/>
      <c r="P1935" s="16"/>
      <c r="Q1935" s="17"/>
    </row>
    <row r="1936" customFormat="false" ht="15" hidden="false" customHeight="false" outlineLevel="0" collapsed="false">
      <c r="A1936" s="15" t="str">
        <f aca="false">IF(B1936="","",ROW()-1)</f>
        <v/>
      </c>
      <c r="B1936" s="16"/>
      <c r="C1936" s="16"/>
      <c r="D1936" s="16"/>
      <c r="E1936" s="16"/>
      <c r="F1936" s="17"/>
      <c r="G1936" s="16"/>
      <c r="H1936" s="16"/>
      <c r="I1936" s="16"/>
      <c r="J1936" s="16"/>
      <c r="K1936" s="16"/>
      <c r="L1936" s="16"/>
      <c r="M1936" s="18" t="str">
        <f aca="false">IF(OR(C1936="",D1936=""),"",IF(MOD(COUNTIFS($C$2:C1936,C1936,$D$2:D1936,D1936)*7,10)&lt;3,"teste","treino"))</f>
        <v/>
      </c>
      <c r="N1936" s="16"/>
      <c r="O1936" s="16"/>
      <c r="P1936" s="16"/>
      <c r="Q1936" s="17"/>
    </row>
    <row r="1937" customFormat="false" ht="15" hidden="false" customHeight="false" outlineLevel="0" collapsed="false">
      <c r="A1937" s="15" t="str">
        <f aca="false">IF(B1937="","",ROW()-1)</f>
        <v/>
      </c>
      <c r="B1937" s="16"/>
      <c r="C1937" s="16"/>
      <c r="D1937" s="16"/>
      <c r="E1937" s="16"/>
      <c r="F1937" s="17"/>
      <c r="G1937" s="16"/>
      <c r="H1937" s="16"/>
      <c r="I1937" s="16"/>
      <c r="J1937" s="16"/>
      <c r="K1937" s="16"/>
      <c r="L1937" s="16"/>
      <c r="M1937" s="18" t="str">
        <f aca="false">IF(OR(C1937="",D1937=""),"",IF(MOD(COUNTIFS($C$2:C1937,C1937,$D$2:D1937,D1937)*7,10)&lt;3,"teste","treino"))</f>
        <v/>
      </c>
      <c r="N1937" s="16"/>
      <c r="O1937" s="16"/>
      <c r="P1937" s="16"/>
      <c r="Q1937" s="17"/>
    </row>
    <row r="1938" customFormat="false" ht="15" hidden="false" customHeight="false" outlineLevel="0" collapsed="false">
      <c r="A1938" s="15" t="str">
        <f aca="false">IF(B1938="","",ROW()-1)</f>
        <v/>
      </c>
      <c r="B1938" s="16"/>
      <c r="C1938" s="16"/>
      <c r="D1938" s="16"/>
      <c r="E1938" s="16"/>
      <c r="F1938" s="17"/>
      <c r="G1938" s="16"/>
      <c r="H1938" s="16"/>
      <c r="I1938" s="16"/>
      <c r="J1938" s="16"/>
      <c r="K1938" s="16"/>
      <c r="L1938" s="16"/>
      <c r="M1938" s="18" t="str">
        <f aca="false">IF(OR(C1938="",D1938=""),"",IF(MOD(COUNTIFS($C$2:C1938,C1938,$D$2:D1938,D1938)*7,10)&lt;3,"teste","treino"))</f>
        <v/>
      </c>
      <c r="N1938" s="16"/>
      <c r="O1938" s="16"/>
      <c r="P1938" s="16"/>
      <c r="Q1938" s="17"/>
    </row>
    <row r="1939" customFormat="false" ht="15" hidden="false" customHeight="false" outlineLevel="0" collapsed="false">
      <c r="A1939" s="15" t="str">
        <f aca="false">IF(B1939="","",ROW()-1)</f>
        <v/>
      </c>
      <c r="B1939" s="16"/>
      <c r="C1939" s="16"/>
      <c r="D1939" s="16"/>
      <c r="E1939" s="16"/>
      <c r="F1939" s="17"/>
      <c r="G1939" s="16"/>
      <c r="H1939" s="16"/>
      <c r="I1939" s="16"/>
      <c r="J1939" s="16"/>
      <c r="K1939" s="16"/>
      <c r="L1939" s="16"/>
      <c r="M1939" s="18" t="str">
        <f aca="false">IF(OR(C1939="",D1939=""),"",IF(MOD(COUNTIFS($C$2:C1939,C1939,$D$2:D1939,D1939)*7,10)&lt;3,"teste","treino"))</f>
        <v/>
      </c>
      <c r="N1939" s="16"/>
      <c r="O1939" s="16"/>
      <c r="P1939" s="16"/>
      <c r="Q1939" s="17"/>
    </row>
    <row r="1940" customFormat="false" ht="15" hidden="false" customHeight="false" outlineLevel="0" collapsed="false">
      <c r="A1940" s="15" t="str">
        <f aca="false">IF(B1940="","",ROW()-1)</f>
        <v/>
      </c>
      <c r="B1940" s="16"/>
      <c r="C1940" s="16"/>
      <c r="D1940" s="16"/>
      <c r="E1940" s="16"/>
      <c r="F1940" s="17"/>
      <c r="G1940" s="16"/>
      <c r="H1940" s="16"/>
      <c r="I1940" s="16"/>
      <c r="J1940" s="16"/>
      <c r="K1940" s="16"/>
      <c r="L1940" s="16"/>
      <c r="M1940" s="18" t="str">
        <f aca="false">IF(OR(C1940="",D1940=""),"",IF(MOD(COUNTIFS($C$2:C1940,C1940,$D$2:D1940,D1940)*7,10)&lt;3,"teste","treino"))</f>
        <v/>
      </c>
      <c r="N1940" s="16"/>
      <c r="O1940" s="16"/>
      <c r="P1940" s="16"/>
      <c r="Q1940" s="17"/>
    </row>
    <row r="1941" customFormat="false" ht="15" hidden="false" customHeight="false" outlineLevel="0" collapsed="false">
      <c r="A1941" s="15" t="str">
        <f aca="false">IF(B1941="","",ROW()-1)</f>
        <v/>
      </c>
      <c r="B1941" s="16"/>
      <c r="C1941" s="16"/>
      <c r="D1941" s="16"/>
      <c r="E1941" s="16"/>
      <c r="F1941" s="17"/>
      <c r="G1941" s="16"/>
      <c r="H1941" s="16"/>
      <c r="I1941" s="16"/>
      <c r="J1941" s="16"/>
      <c r="K1941" s="16"/>
      <c r="L1941" s="16"/>
      <c r="M1941" s="18" t="str">
        <f aca="false">IF(OR(C1941="",D1941=""),"",IF(MOD(COUNTIFS($C$2:C1941,C1941,$D$2:D1941,D1941)*7,10)&lt;3,"teste","treino"))</f>
        <v/>
      </c>
      <c r="N1941" s="16"/>
      <c r="O1941" s="16"/>
      <c r="P1941" s="16"/>
      <c r="Q1941" s="17"/>
    </row>
    <row r="1942" customFormat="false" ht="15" hidden="false" customHeight="false" outlineLevel="0" collapsed="false">
      <c r="A1942" s="15" t="str">
        <f aca="false">IF(B1942="","",ROW()-1)</f>
        <v/>
      </c>
      <c r="B1942" s="16"/>
      <c r="C1942" s="16"/>
      <c r="D1942" s="16"/>
      <c r="E1942" s="16"/>
      <c r="F1942" s="17"/>
      <c r="G1942" s="16"/>
      <c r="H1942" s="16"/>
      <c r="I1942" s="16"/>
      <c r="J1942" s="16"/>
      <c r="K1942" s="16"/>
      <c r="L1942" s="16"/>
      <c r="M1942" s="18" t="str">
        <f aca="false">IF(OR(C1942="",D1942=""),"",IF(MOD(COUNTIFS($C$2:C1942,C1942,$D$2:D1942,D1942)*7,10)&lt;3,"teste","treino"))</f>
        <v/>
      </c>
      <c r="N1942" s="16"/>
      <c r="O1942" s="16"/>
      <c r="P1942" s="16"/>
      <c r="Q1942" s="17"/>
    </row>
    <row r="1943" customFormat="false" ht="15" hidden="false" customHeight="false" outlineLevel="0" collapsed="false">
      <c r="A1943" s="15" t="str">
        <f aca="false">IF(B1943="","",ROW()-1)</f>
        <v/>
      </c>
      <c r="B1943" s="16"/>
      <c r="C1943" s="16"/>
      <c r="D1943" s="16"/>
      <c r="E1943" s="16"/>
      <c r="F1943" s="17"/>
      <c r="G1943" s="16"/>
      <c r="H1943" s="16"/>
      <c r="I1943" s="16"/>
      <c r="J1943" s="16"/>
      <c r="K1943" s="16"/>
      <c r="L1943" s="16"/>
      <c r="M1943" s="18" t="str">
        <f aca="false">IF(OR(C1943="",D1943=""),"",IF(MOD(COUNTIFS($C$2:C1943,C1943,$D$2:D1943,D1943)*7,10)&lt;3,"teste","treino"))</f>
        <v/>
      </c>
      <c r="N1943" s="16"/>
      <c r="O1943" s="16"/>
      <c r="P1943" s="16"/>
      <c r="Q1943" s="17"/>
    </row>
    <row r="1944" customFormat="false" ht="15" hidden="false" customHeight="false" outlineLevel="0" collapsed="false">
      <c r="A1944" s="15" t="str">
        <f aca="false">IF(B1944="","",ROW()-1)</f>
        <v/>
      </c>
      <c r="B1944" s="16"/>
      <c r="C1944" s="16"/>
      <c r="D1944" s="16"/>
      <c r="E1944" s="16"/>
      <c r="F1944" s="17"/>
      <c r="G1944" s="16"/>
      <c r="H1944" s="16"/>
      <c r="I1944" s="16"/>
      <c r="J1944" s="16"/>
      <c r="K1944" s="16"/>
      <c r="L1944" s="16"/>
      <c r="M1944" s="18" t="str">
        <f aca="false">IF(OR(C1944="",D1944=""),"",IF(MOD(COUNTIFS($C$2:C1944,C1944,$D$2:D1944,D1944)*7,10)&lt;3,"teste","treino"))</f>
        <v/>
      </c>
      <c r="N1944" s="16"/>
      <c r="O1944" s="16"/>
      <c r="P1944" s="16"/>
      <c r="Q1944" s="17"/>
    </row>
    <row r="1945" customFormat="false" ht="15" hidden="false" customHeight="false" outlineLevel="0" collapsed="false">
      <c r="A1945" s="15" t="str">
        <f aca="false">IF(B1945="","",ROW()-1)</f>
        <v/>
      </c>
      <c r="B1945" s="16"/>
      <c r="C1945" s="16"/>
      <c r="D1945" s="16"/>
      <c r="E1945" s="16"/>
      <c r="F1945" s="17"/>
      <c r="G1945" s="16"/>
      <c r="H1945" s="16"/>
      <c r="I1945" s="16"/>
      <c r="J1945" s="16"/>
      <c r="K1945" s="16"/>
      <c r="L1945" s="16"/>
      <c r="M1945" s="18" t="str">
        <f aca="false">IF(OR(C1945="",D1945=""),"",IF(MOD(COUNTIFS($C$2:C1945,C1945,$D$2:D1945,D1945)*7,10)&lt;3,"teste","treino"))</f>
        <v/>
      </c>
      <c r="N1945" s="16"/>
      <c r="O1945" s="16"/>
      <c r="P1945" s="16"/>
      <c r="Q1945" s="17"/>
    </row>
    <row r="1946" customFormat="false" ht="15" hidden="false" customHeight="false" outlineLevel="0" collapsed="false">
      <c r="A1946" s="15" t="str">
        <f aca="false">IF(B1946="","",ROW()-1)</f>
        <v/>
      </c>
      <c r="B1946" s="16"/>
      <c r="C1946" s="16"/>
      <c r="D1946" s="16"/>
      <c r="E1946" s="16"/>
      <c r="F1946" s="17"/>
      <c r="G1946" s="16"/>
      <c r="H1946" s="16"/>
      <c r="I1946" s="16"/>
      <c r="J1946" s="16"/>
      <c r="K1946" s="16"/>
      <c r="L1946" s="16"/>
      <c r="M1946" s="18" t="str">
        <f aca="false">IF(OR(C1946="",D1946=""),"",IF(MOD(COUNTIFS($C$2:C1946,C1946,$D$2:D1946,D1946)*7,10)&lt;3,"teste","treino"))</f>
        <v/>
      </c>
      <c r="N1946" s="16"/>
      <c r="O1946" s="16"/>
      <c r="P1946" s="16"/>
      <c r="Q1946" s="17"/>
    </row>
    <row r="1947" customFormat="false" ht="15" hidden="false" customHeight="false" outlineLevel="0" collapsed="false">
      <c r="A1947" s="15" t="str">
        <f aca="false">IF(B1947="","",ROW()-1)</f>
        <v/>
      </c>
      <c r="B1947" s="16"/>
      <c r="C1947" s="16"/>
      <c r="D1947" s="16"/>
      <c r="E1947" s="16"/>
      <c r="F1947" s="17"/>
      <c r="G1947" s="16"/>
      <c r="H1947" s="16"/>
      <c r="I1947" s="16"/>
      <c r="J1947" s="16"/>
      <c r="K1947" s="16"/>
      <c r="L1947" s="16"/>
      <c r="M1947" s="18" t="str">
        <f aca="false">IF(OR(C1947="",D1947=""),"",IF(MOD(COUNTIFS($C$2:C1947,C1947,$D$2:D1947,D1947)*7,10)&lt;3,"teste","treino"))</f>
        <v/>
      </c>
      <c r="N1947" s="16"/>
      <c r="O1947" s="16"/>
      <c r="P1947" s="16"/>
      <c r="Q1947" s="17"/>
    </row>
    <row r="1948" customFormat="false" ht="15" hidden="false" customHeight="false" outlineLevel="0" collapsed="false">
      <c r="A1948" s="15" t="str">
        <f aca="false">IF(B1948="","",ROW()-1)</f>
        <v/>
      </c>
      <c r="B1948" s="16"/>
      <c r="C1948" s="16"/>
      <c r="D1948" s="16"/>
      <c r="E1948" s="16"/>
      <c r="F1948" s="17"/>
      <c r="G1948" s="16"/>
      <c r="H1948" s="16"/>
      <c r="I1948" s="16"/>
      <c r="J1948" s="16"/>
      <c r="K1948" s="16"/>
      <c r="L1948" s="16"/>
      <c r="M1948" s="18" t="str">
        <f aca="false">IF(OR(C1948="",D1948=""),"",IF(MOD(COUNTIFS($C$2:C1948,C1948,$D$2:D1948,D1948)*7,10)&lt;3,"teste","treino"))</f>
        <v/>
      </c>
      <c r="N1948" s="16"/>
      <c r="O1948" s="16"/>
      <c r="P1948" s="16"/>
      <c r="Q1948" s="17"/>
    </row>
    <row r="1949" customFormat="false" ht="15" hidden="false" customHeight="false" outlineLevel="0" collapsed="false">
      <c r="A1949" s="15" t="str">
        <f aca="false">IF(B1949="","",ROW()-1)</f>
        <v/>
      </c>
      <c r="B1949" s="16"/>
      <c r="C1949" s="16"/>
      <c r="D1949" s="16"/>
      <c r="E1949" s="16"/>
      <c r="F1949" s="17"/>
      <c r="G1949" s="16"/>
      <c r="H1949" s="16"/>
      <c r="I1949" s="16"/>
      <c r="J1949" s="16"/>
      <c r="K1949" s="16"/>
      <c r="L1949" s="16"/>
      <c r="M1949" s="18" t="str">
        <f aca="false">IF(OR(C1949="",D1949=""),"",IF(MOD(COUNTIFS($C$2:C1949,C1949,$D$2:D1949,D1949)*7,10)&lt;3,"teste","treino"))</f>
        <v/>
      </c>
      <c r="N1949" s="16"/>
      <c r="O1949" s="16"/>
      <c r="P1949" s="16"/>
      <c r="Q1949" s="17"/>
    </row>
    <row r="1950" customFormat="false" ht="15" hidden="false" customHeight="false" outlineLevel="0" collapsed="false">
      <c r="A1950" s="15" t="str">
        <f aca="false">IF(B1950="","",ROW()-1)</f>
        <v/>
      </c>
      <c r="B1950" s="16"/>
      <c r="C1950" s="16"/>
      <c r="D1950" s="16"/>
      <c r="E1950" s="16"/>
      <c r="F1950" s="17"/>
      <c r="G1950" s="16"/>
      <c r="H1950" s="16"/>
      <c r="I1950" s="16"/>
      <c r="J1950" s="16"/>
      <c r="K1950" s="16"/>
      <c r="L1950" s="16"/>
      <c r="M1950" s="18" t="str">
        <f aca="false">IF(OR(C1950="",D1950=""),"",IF(MOD(COUNTIFS($C$2:C1950,C1950,$D$2:D1950,D1950)*7,10)&lt;3,"teste","treino"))</f>
        <v/>
      </c>
      <c r="N1950" s="16"/>
      <c r="O1950" s="16"/>
      <c r="P1950" s="16"/>
      <c r="Q1950" s="17"/>
    </row>
    <row r="1951" customFormat="false" ht="15" hidden="false" customHeight="false" outlineLevel="0" collapsed="false">
      <c r="A1951" s="15" t="str">
        <f aca="false">IF(B1951="","",ROW()-1)</f>
        <v/>
      </c>
      <c r="B1951" s="16"/>
      <c r="C1951" s="16"/>
      <c r="D1951" s="16"/>
      <c r="E1951" s="16"/>
      <c r="F1951" s="17"/>
      <c r="G1951" s="16"/>
      <c r="H1951" s="16"/>
      <c r="I1951" s="16"/>
      <c r="J1951" s="16"/>
      <c r="K1951" s="16"/>
      <c r="L1951" s="16"/>
      <c r="M1951" s="18" t="str">
        <f aca="false">IF(OR(C1951="",D1951=""),"",IF(MOD(COUNTIFS($C$2:C1951,C1951,$D$2:D1951,D1951)*7,10)&lt;3,"teste","treino"))</f>
        <v/>
      </c>
      <c r="N1951" s="16"/>
      <c r="O1951" s="16"/>
      <c r="P1951" s="16"/>
      <c r="Q1951" s="17"/>
    </row>
    <row r="1952" customFormat="false" ht="15" hidden="false" customHeight="false" outlineLevel="0" collapsed="false">
      <c r="A1952" s="15" t="str">
        <f aca="false">IF(B1952="","",ROW()-1)</f>
        <v/>
      </c>
      <c r="B1952" s="16"/>
      <c r="C1952" s="16"/>
      <c r="D1952" s="16"/>
      <c r="E1952" s="16"/>
      <c r="F1952" s="17"/>
      <c r="G1952" s="16"/>
      <c r="H1952" s="16"/>
      <c r="I1952" s="16"/>
      <c r="J1952" s="16"/>
      <c r="K1952" s="16"/>
      <c r="L1952" s="16"/>
      <c r="M1952" s="18" t="str">
        <f aca="false">IF(OR(C1952="",D1952=""),"",IF(MOD(COUNTIFS($C$2:C1952,C1952,$D$2:D1952,D1952)*7,10)&lt;3,"teste","treino"))</f>
        <v/>
      </c>
      <c r="N1952" s="16"/>
      <c r="O1952" s="16"/>
      <c r="P1952" s="16"/>
      <c r="Q1952" s="17"/>
    </row>
    <row r="1953" customFormat="false" ht="15" hidden="false" customHeight="false" outlineLevel="0" collapsed="false">
      <c r="A1953" s="15" t="str">
        <f aca="false">IF(B1953="","",ROW()-1)</f>
        <v/>
      </c>
      <c r="B1953" s="16"/>
      <c r="C1953" s="16"/>
      <c r="D1953" s="16"/>
      <c r="E1953" s="16"/>
      <c r="F1953" s="17"/>
      <c r="G1953" s="16"/>
      <c r="H1953" s="16"/>
      <c r="I1953" s="16"/>
      <c r="J1953" s="16"/>
      <c r="K1953" s="16"/>
      <c r="L1953" s="16"/>
      <c r="M1953" s="18" t="str">
        <f aca="false">IF(OR(C1953="",D1953=""),"",IF(MOD(COUNTIFS($C$2:C1953,C1953,$D$2:D1953,D1953)*7,10)&lt;3,"teste","treino"))</f>
        <v/>
      </c>
      <c r="N1953" s="16"/>
      <c r="O1953" s="16"/>
      <c r="P1953" s="16"/>
      <c r="Q1953" s="17"/>
    </row>
    <row r="1954" customFormat="false" ht="15" hidden="false" customHeight="false" outlineLevel="0" collapsed="false">
      <c r="A1954" s="15" t="str">
        <f aca="false">IF(B1954="","",ROW()-1)</f>
        <v/>
      </c>
      <c r="B1954" s="16"/>
      <c r="C1954" s="16"/>
      <c r="D1954" s="16"/>
      <c r="E1954" s="16"/>
      <c r="F1954" s="17"/>
      <c r="G1954" s="16"/>
      <c r="H1954" s="16"/>
      <c r="I1954" s="16"/>
      <c r="J1954" s="16"/>
      <c r="K1954" s="16"/>
      <c r="L1954" s="16"/>
      <c r="M1954" s="18" t="str">
        <f aca="false">IF(OR(C1954="",D1954=""),"",IF(MOD(COUNTIFS($C$2:C1954,C1954,$D$2:D1954,D1954)*7,10)&lt;3,"teste","treino"))</f>
        <v/>
      </c>
      <c r="N1954" s="16"/>
      <c r="O1954" s="16"/>
      <c r="P1954" s="16"/>
      <c r="Q1954" s="17"/>
    </row>
    <row r="1955" customFormat="false" ht="15" hidden="false" customHeight="false" outlineLevel="0" collapsed="false">
      <c r="A1955" s="15" t="str">
        <f aca="false">IF(B1955="","",ROW()-1)</f>
        <v/>
      </c>
      <c r="B1955" s="16"/>
      <c r="C1955" s="16"/>
      <c r="D1955" s="16"/>
      <c r="E1955" s="16"/>
      <c r="F1955" s="17"/>
      <c r="G1955" s="16"/>
      <c r="H1955" s="16"/>
      <c r="I1955" s="16"/>
      <c r="J1955" s="16"/>
      <c r="K1955" s="16"/>
      <c r="L1955" s="16"/>
      <c r="M1955" s="18" t="str">
        <f aca="false">IF(OR(C1955="",D1955=""),"",IF(MOD(COUNTIFS($C$2:C1955,C1955,$D$2:D1955,D1955)*7,10)&lt;3,"teste","treino"))</f>
        <v/>
      </c>
      <c r="N1955" s="16"/>
      <c r="O1955" s="16"/>
      <c r="P1955" s="16"/>
      <c r="Q1955" s="17"/>
    </row>
    <row r="1956" customFormat="false" ht="15" hidden="false" customHeight="false" outlineLevel="0" collapsed="false">
      <c r="A1956" s="15" t="str">
        <f aca="false">IF(B1956="","",ROW()-1)</f>
        <v/>
      </c>
      <c r="B1956" s="16"/>
      <c r="C1956" s="16"/>
      <c r="D1956" s="16"/>
      <c r="E1956" s="16"/>
      <c r="F1956" s="17"/>
      <c r="G1956" s="16"/>
      <c r="H1956" s="16"/>
      <c r="I1956" s="16"/>
      <c r="J1956" s="16"/>
      <c r="K1956" s="16"/>
      <c r="L1956" s="16"/>
      <c r="M1956" s="18" t="str">
        <f aca="false">IF(OR(C1956="",D1956=""),"",IF(MOD(COUNTIFS($C$2:C1956,C1956,$D$2:D1956,D1956)*7,10)&lt;3,"teste","treino"))</f>
        <v/>
      </c>
      <c r="N1956" s="16"/>
      <c r="O1956" s="16"/>
      <c r="P1956" s="16"/>
      <c r="Q1956" s="17"/>
    </row>
    <row r="1957" customFormat="false" ht="15" hidden="false" customHeight="false" outlineLevel="0" collapsed="false">
      <c r="A1957" s="15" t="str">
        <f aca="false">IF(B1957="","",ROW()-1)</f>
        <v/>
      </c>
      <c r="B1957" s="16"/>
      <c r="C1957" s="16"/>
      <c r="D1957" s="16"/>
      <c r="E1957" s="16"/>
      <c r="F1957" s="17"/>
      <c r="G1957" s="16"/>
      <c r="H1957" s="16"/>
      <c r="I1957" s="16"/>
      <c r="J1957" s="16"/>
      <c r="K1957" s="16"/>
      <c r="L1957" s="16"/>
      <c r="M1957" s="18" t="str">
        <f aca="false">IF(OR(C1957="",D1957=""),"",IF(MOD(COUNTIFS($C$2:C1957,C1957,$D$2:D1957,D1957)*7,10)&lt;3,"teste","treino"))</f>
        <v/>
      </c>
      <c r="N1957" s="16"/>
      <c r="O1957" s="16"/>
      <c r="P1957" s="16"/>
      <c r="Q1957" s="17"/>
    </row>
    <row r="1958" customFormat="false" ht="15" hidden="false" customHeight="false" outlineLevel="0" collapsed="false">
      <c r="A1958" s="15" t="str">
        <f aca="false">IF(B1958="","",ROW()-1)</f>
        <v/>
      </c>
      <c r="B1958" s="16"/>
      <c r="C1958" s="16"/>
      <c r="D1958" s="16"/>
      <c r="E1958" s="16"/>
      <c r="F1958" s="17"/>
      <c r="G1958" s="16"/>
      <c r="H1958" s="16"/>
      <c r="I1958" s="16"/>
      <c r="J1958" s="16"/>
      <c r="K1958" s="16"/>
      <c r="L1958" s="16"/>
      <c r="M1958" s="18" t="str">
        <f aca="false">IF(OR(C1958="",D1958=""),"",IF(MOD(COUNTIFS($C$2:C1958,C1958,$D$2:D1958,D1958)*7,10)&lt;3,"teste","treino"))</f>
        <v/>
      </c>
      <c r="N1958" s="16"/>
      <c r="O1958" s="16"/>
      <c r="P1958" s="16"/>
      <c r="Q1958" s="17"/>
    </row>
    <row r="1959" customFormat="false" ht="15" hidden="false" customHeight="false" outlineLevel="0" collapsed="false">
      <c r="A1959" s="15" t="str">
        <f aca="false">IF(B1959="","",ROW()-1)</f>
        <v/>
      </c>
      <c r="B1959" s="16"/>
      <c r="C1959" s="16"/>
      <c r="D1959" s="16"/>
      <c r="E1959" s="16"/>
      <c r="F1959" s="17"/>
      <c r="G1959" s="16"/>
      <c r="H1959" s="16"/>
      <c r="I1959" s="16"/>
      <c r="J1959" s="16"/>
      <c r="K1959" s="16"/>
      <c r="L1959" s="16"/>
      <c r="M1959" s="18" t="str">
        <f aca="false">IF(OR(C1959="",D1959=""),"",IF(MOD(COUNTIFS($C$2:C1959,C1959,$D$2:D1959,D1959)*7,10)&lt;3,"teste","treino"))</f>
        <v/>
      </c>
      <c r="N1959" s="16"/>
      <c r="O1959" s="16"/>
      <c r="P1959" s="16"/>
      <c r="Q1959" s="17"/>
    </row>
    <row r="1960" customFormat="false" ht="15" hidden="false" customHeight="false" outlineLevel="0" collapsed="false">
      <c r="A1960" s="15" t="str">
        <f aca="false">IF(B1960="","",ROW()-1)</f>
        <v/>
      </c>
      <c r="B1960" s="16"/>
      <c r="C1960" s="16"/>
      <c r="D1960" s="16"/>
      <c r="E1960" s="16"/>
      <c r="F1960" s="17"/>
      <c r="G1960" s="16"/>
      <c r="H1960" s="16"/>
      <c r="I1960" s="16"/>
      <c r="J1960" s="16"/>
      <c r="K1960" s="16"/>
      <c r="L1960" s="16"/>
      <c r="M1960" s="18" t="str">
        <f aca="false">IF(OR(C1960="",D1960=""),"",IF(MOD(COUNTIFS($C$2:C1960,C1960,$D$2:D1960,D1960)*7,10)&lt;3,"teste","treino"))</f>
        <v/>
      </c>
      <c r="N1960" s="16"/>
      <c r="O1960" s="16"/>
      <c r="P1960" s="16"/>
      <c r="Q1960" s="17"/>
    </row>
    <row r="1961" customFormat="false" ht="15" hidden="false" customHeight="false" outlineLevel="0" collapsed="false">
      <c r="A1961" s="15" t="str">
        <f aca="false">IF(B1961="","",ROW()-1)</f>
        <v/>
      </c>
      <c r="B1961" s="16"/>
      <c r="C1961" s="16"/>
      <c r="D1961" s="16"/>
      <c r="E1961" s="16"/>
      <c r="F1961" s="17"/>
      <c r="G1961" s="16"/>
      <c r="H1961" s="16"/>
      <c r="I1961" s="16"/>
      <c r="J1961" s="16"/>
      <c r="K1961" s="16"/>
      <c r="L1961" s="16"/>
      <c r="M1961" s="18" t="str">
        <f aca="false">IF(OR(C1961="",D1961=""),"",IF(MOD(COUNTIFS($C$2:C1961,C1961,$D$2:D1961,D1961)*7,10)&lt;3,"teste","treino"))</f>
        <v/>
      </c>
      <c r="N1961" s="16"/>
      <c r="O1961" s="16"/>
      <c r="P1961" s="16"/>
      <c r="Q1961" s="17"/>
    </row>
    <row r="1962" customFormat="false" ht="15" hidden="false" customHeight="false" outlineLevel="0" collapsed="false">
      <c r="A1962" s="15" t="str">
        <f aca="false">IF(B1962="","",ROW()-1)</f>
        <v/>
      </c>
      <c r="B1962" s="16"/>
      <c r="C1962" s="16"/>
      <c r="D1962" s="16"/>
      <c r="E1962" s="16"/>
      <c r="F1962" s="17"/>
      <c r="G1962" s="16"/>
      <c r="H1962" s="16"/>
      <c r="I1962" s="16"/>
      <c r="J1962" s="16"/>
      <c r="K1962" s="16"/>
      <c r="L1962" s="16"/>
      <c r="M1962" s="18" t="str">
        <f aca="false">IF(OR(C1962="",D1962=""),"",IF(MOD(COUNTIFS($C$2:C1962,C1962,$D$2:D1962,D1962)*7,10)&lt;3,"teste","treino"))</f>
        <v/>
      </c>
      <c r="N1962" s="16"/>
      <c r="O1962" s="16"/>
      <c r="P1962" s="16"/>
      <c r="Q1962" s="17"/>
    </row>
    <row r="1963" customFormat="false" ht="15" hidden="false" customHeight="false" outlineLevel="0" collapsed="false">
      <c r="A1963" s="15" t="str">
        <f aca="false">IF(B1963="","",ROW()-1)</f>
        <v/>
      </c>
      <c r="B1963" s="16"/>
      <c r="C1963" s="16"/>
      <c r="D1963" s="16"/>
      <c r="E1963" s="16"/>
      <c r="F1963" s="17"/>
      <c r="G1963" s="16"/>
      <c r="H1963" s="16"/>
      <c r="I1963" s="16"/>
      <c r="J1963" s="16"/>
      <c r="K1963" s="16"/>
      <c r="L1963" s="16"/>
      <c r="M1963" s="18" t="str">
        <f aca="false">IF(OR(C1963="",D1963=""),"",IF(MOD(COUNTIFS($C$2:C1963,C1963,$D$2:D1963,D1963)*7,10)&lt;3,"teste","treino"))</f>
        <v/>
      </c>
      <c r="N1963" s="16"/>
      <c r="O1963" s="16"/>
      <c r="P1963" s="16"/>
      <c r="Q1963" s="17"/>
    </row>
    <row r="1964" customFormat="false" ht="15" hidden="false" customHeight="false" outlineLevel="0" collapsed="false">
      <c r="A1964" s="15" t="str">
        <f aca="false">IF(B1964="","",ROW()-1)</f>
        <v/>
      </c>
      <c r="B1964" s="16"/>
      <c r="C1964" s="16"/>
      <c r="D1964" s="16"/>
      <c r="E1964" s="16"/>
      <c r="F1964" s="17"/>
      <c r="G1964" s="16"/>
      <c r="H1964" s="16"/>
      <c r="I1964" s="16"/>
      <c r="J1964" s="16"/>
      <c r="K1964" s="16"/>
      <c r="L1964" s="16"/>
      <c r="M1964" s="18" t="str">
        <f aca="false">IF(OR(C1964="",D1964=""),"",IF(MOD(COUNTIFS($C$2:C1964,C1964,$D$2:D1964,D1964)*7,10)&lt;3,"teste","treino"))</f>
        <v/>
      </c>
      <c r="N1964" s="16"/>
      <c r="O1964" s="16"/>
      <c r="P1964" s="16"/>
      <c r="Q1964" s="17"/>
    </row>
    <row r="1965" customFormat="false" ht="15" hidden="false" customHeight="false" outlineLevel="0" collapsed="false">
      <c r="A1965" s="15" t="str">
        <f aca="false">IF(B1965="","",ROW()-1)</f>
        <v/>
      </c>
      <c r="B1965" s="16"/>
      <c r="C1965" s="16"/>
      <c r="D1965" s="16"/>
      <c r="E1965" s="16"/>
      <c r="F1965" s="17"/>
      <c r="G1965" s="16"/>
      <c r="H1965" s="16"/>
      <c r="I1965" s="16"/>
      <c r="J1965" s="16"/>
      <c r="K1965" s="16"/>
      <c r="L1965" s="16"/>
      <c r="M1965" s="18" t="str">
        <f aca="false">IF(OR(C1965="",D1965=""),"",IF(MOD(COUNTIFS($C$2:C1965,C1965,$D$2:D1965,D1965)*7,10)&lt;3,"teste","treino"))</f>
        <v/>
      </c>
      <c r="N1965" s="16"/>
      <c r="O1965" s="16"/>
      <c r="P1965" s="16"/>
      <c r="Q1965" s="17"/>
    </row>
    <row r="1966" customFormat="false" ht="15" hidden="false" customHeight="false" outlineLevel="0" collapsed="false">
      <c r="A1966" s="15" t="str">
        <f aca="false">IF(B1966="","",ROW()-1)</f>
        <v/>
      </c>
      <c r="B1966" s="16"/>
      <c r="C1966" s="16"/>
      <c r="D1966" s="16"/>
      <c r="E1966" s="16"/>
      <c r="F1966" s="17"/>
      <c r="G1966" s="16"/>
      <c r="H1966" s="16"/>
      <c r="I1966" s="16"/>
      <c r="J1966" s="16"/>
      <c r="K1966" s="16"/>
      <c r="L1966" s="16"/>
      <c r="M1966" s="18" t="str">
        <f aca="false">IF(OR(C1966="",D1966=""),"",IF(MOD(COUNTIFS($C$2:C1966,C1966,$D$2:D1966,D1966)*7,10)&lt;3,"teste","treino"))</f>
        <v/>
      </c>
      <c r="N1966" s="16"/>
      <c r="O1966" s="16"/>
      <c r="P1966" s="16"/>
      <c r="Q1966" s="17"/>
    </row>
    <row r="1967" customFormat="false" ht="15" hidden="false" customHeight="false" outlineLevel="0" collapsed="false">
      <c r="A1967" s="15" t="str">
        <f aca="false">IF(B1967="","",ROW()-1)</f>
        <v/>
      </c>
      <c r="B1967" s="16"/>
      <c r="C1967" s="16"/>
      <c r="D1967" s="16"/>
      <c r="E1967" s="16"/>
      <c r="F1967" s="17"/>
      <c r="G1967" s="16"/>
      <c r="H1967" s="16"/>
      <c r="I1967" s="16"/>
      <c r="J1967" s="16"/>
      <c r="K1967" s="16"/>
      <c r="L1967" s="16"/>
      <c r="M1967" s="18" t="str">
        <f aca="false">IF(OR(C1967="",D1967=""),"",IF(MOD(COUNTIFS($C$2:C1967,C1967,$D$2:D1967,D1967)*7,10)&lt;3,"teste","treino"))</f>
        <v/>
      </c>
      <c r="N1967" s="16"/>
      <c r="O1967" s="16"/>
      <c r="P1967" s="16"/>
      <c r="Q1967" s="17"/>
    </row>
    <row r="1968" customFormat="false" ht="15" hidden="false" customHeight="false" outlineLevel="0" collapsed="false">
      <c r="A1968" s="15" t="str">
        <f aca="false">IF(B1968="","",ROW()-1)</f>
        <v/>
      </c>
      <c r="B1968" s="16"/>
      <c r="C1968" s="16"/>
      <c r="D1968" s="16"/>
      <c r="E1968" s="16"/>
      <c r="F1968" s="17"/>
      <c r="G1968" s="16"/>
      <c r="H1968" s="16"/>
      <c r="I1968" s="16"/>
      <c r="J1968" s="16"/>
      <c r="K1968" s="16"/>
      <c r="L1968" s="16"/>
      <c r="M1968" s="18" t="str">
        <f aca="false">IF(OR(C1968="",D1968=""),"",IF(MOD(COUNTIFS($C$2:C1968,C1968,$D$2:D1968,D1968)*7,10)&lt;3,"teste","treino"))</f>
        <v/>
      </c>
      <c r="N1968" s="16"/>
      <c r="O1968" s="16"/>
      <c r="P1968" s="16"/>
      <c r="Q1968" s="17"/>
    </row>
    <row r="1969" customFormat="false" ht="15" hidden="false" customHeight="false" outlineLevel="0" collapsed="false">
      <c r="A1969" s="15" t="str">
        <f aca="false">IF(B1969="","",ROW()-1)</f>
        <v/>
      </c>
      <c r="B1969" s="16"/>
      <c r="C1969" s="16"/>
      <c r="D1969" s="16"/>
      <c r="E1969" s="16"/>
      <c r="F1969" s="17"/>
      <c r="G1969" s="16"/>
      <c r="H1969" s="16"/>
      <c r="I1969" s="16"/>
      <c r="J1969" s="16"/>
      <c r="K1969" s="16"/>
      <c r="L1969" s="16"/>
      <c r="M1969" s="18" t="str">
        <f aca="false">IF(OR(C1969="",D1969=""),"",IF(MOD(COUNTIFS($C$2:C1969,C1969,$D$2:D1969,D1969)*7,10)&lt;3,"teste","treino"))</f>
        <v/>
      </c>
      <c r="N1969" s="16"/>
      <c r="O1969" s="16"/>
      <c r="P1969" s="16"/>
      <c r="Q1969" s="17"/>
    </row>
    <row r="1970" customFormat="false" ht="15" hidden="false" customHeight="false" outlineLevel="0" collapsed="false">
      <c r="A1970" s="15" t="str">
        <f aca="false">IF(B1970="","",ROW()-1)</f>
        <v/>
      </c>
      <c r="B1970" s="16"/>
      <c r="C1970" s="16"/>
      <c r="D1970" s="16"/>
      <c r="E1970" s="16"/>
      <c r="F1970" s="17"/>
      <c r="G1970" s="16"/>
      <c r="H1970" s="16"/>
      <c r="I1970" s="16"/>
      <c r="J1970" s="16"/>
      <c r="K1970" s="16"/>
      <c r="L1970" s="16"/>
      <c r="M1970" s="18" t="str">
        <f aca="false">IF(OR(C1970="",D1970=""),"",IF(MOD(COUNTIFS($C$2:C1970,C1970,$D$2:D1970,D1970)*7,10)&lt;3,"teste","treino"))</f>
        <v/>
      </c>
      <c r="N1970" s="16"/>
      <c r="O1970" s="16"/>
      <c r="P1970" s="16"/>
      <c r="Q1970" s="17"/>
    </row>
    <row r="1971" customFormat="false" ht="15" hidden="false" customHeight="false" outlineLevel="0" collapsed="false">
      <c r="A1971" s="15" t="str">
        <f aca="false">IF(B1971="","",ROW()-1)</f>
        <v/>
      </c>
      <c r="B1971" s="16"/>
      <c r="C1971" s="16"/>
      <c r="D1971" s="16"/>
      <c r="E1971" s="16"/>
      <c r="F1971" s="17"/>
      <c r="G1971" s="16"/>
      <c r="H1971" s="16"/>
      <c r="I1971" s="16"/>
      <c r="J1971" s="16"/>
      <c r="K1971" s="16"/>
      <c r="L1971" s="16"/>
      <c r="M1971" s="18" t="str">
        <f aca="false">IF(OR(C1971="",D1971=""),"",IF(MOD(COUNTIFS($C$2:C1971,C1971,$D$2:D1971,D1971)*7,10)&lt;3,"teste","treino"))</f>
        <v/>
      </c>
      <c r="N1971" s="16"/>
      <c r="O1971" s="16"/>
      <c r="P1971" s="16"/>
      <c r="Q1971" s="17"/>
    </row>
    <row r="1972" customFormat="false" ht="15" hidden="false" customHeight="false" outlineLevel="0" collapsed="false">
      <c r="A1972" s="15" t="str">
        <f aca="false">IF(B1972="","",ROW()-1)</f>
        <v/>
      </c>
      <c r="B1972" s="16"/>
      <c r="C1972" s="16"/>
      <c r="D1972" s="16"/>
      <c r="E1972" s="16"/>
      <c r="F1972" s="17"/>
      <c r="G1972" s="16"/>
      <c r="H1972" s="16"/>
      <c r="I1972" s="16"/>
      <c r="J1972" s="16"/>
      <c r="K1972" s="16"/>
      <c r="L1972" s="16"/>
      <c r="M1972" s="18" t="str">
        <f aca="false">IF(OR(C1972="",D1972=""),"",IF(MOD(COUNTIFS($C$2:C1972,C1972,$D$2:D1972,D1972)*7,10)&lt;3,"teste","treino"))</f>
        <v/>
      </c>
      <c r="N1972" s="16"/>
      <c r="O1972" s="16"/>
      <c r="P1972" s="16"/>
      <c r="Q1972" s="17"/>
    </row>
    <row r="1973" customFormat="false" ht="15" hidden="false" customHeight="false" outlineLevel="0" collapsed="false">
      <c r="A1973" s="15" t="str">
        <f aca="false">IF(B1973="","",ROW()-1)</f>
        <v/>
      </c>
      <c r="B1973" s="16"/>
      <c r="C1973" s="16"/>
      <c r="D1973" s="16"/>
      <c r="E1973" s="16"/>
      <c r="F1973" s="17"/>
      <c r="G1973" s="16"/>
      <c r="H1973" s="16"/>
      <c r="I1973" s="16"/>
      <c r="J1973" s="16"/>
      <c r="K1973" s="16"/>
      <c r="L1973" s="16"/>
      <c r="M1973" s="18" t="str">
        <f aca="false">IF(OR(C1973="",D1973=""),"",IF(MOD(COUNTIFS($C$2:C1973,C1973,$D$2:D1973,D1973)*7,10)&lt;3,"teste","treino"))</f>
        <v/>
      </c>
      <c r="N1973" s="16"/>
      <c r="O1973" s="16"/>
      <c r="P1973" s="16"/>
      <c r="Q1973" s="17"/>
    </row>
    <row r="1974" customFormat="false" ht="15" hidden="false" customHeight="false" outlineLevel="0" collapsed="false">
      <c r="A1974" s="15" t="str">
        <f aca="false">IF(B1974="","",ROW()-1)</f>
        <v/>
      </c>
      <c r="B1974" s="16"/>
      <c r="C1974" s="16"/>
      <c r="D1974" s="16"/>
      <c r="E1974" s="16"/>
      <c r="F1974" s="17"/>
      <c r="G1974" s="16"/>
      <c r="H1974" s="16"/>
      <c r="I1974" s="16"/>
      <c r="J1974" s="16"/>
      <c r="K1974" s="16"/>
      <c r="L1974" s="16"/>
      <c r="M1974" s="18" t="str">
        <f aca="false">IF(OR(C1974="",D1974=""),"",IF(MOD(COUNTIFS($C$2:C1974,C1974,$D$2:D1974,D1974)*7,10)&lt;3,"teste","treino"))</f>
        <v/>
      </c>
      <c r="N1974" s="16"/>
      <c r="O1974" s="16"/>
      <c r="P1974" s="16"/>
      <c r="Q1974" s="17"/>
    </row>
    <row r="1975" customFormat="false" ht="15" hidden="false" customHeight="false" outlineLevel="0" collapsed="false">
      <c r="A1975" s="15" t="str">
        <f aca="false">IF(B1975="","",ROW()-1)</f>
        <v/>
      </c>
      <c r="B1975" s="16"/>
      <c r="C1975" s="16"/>
      <c r="D1975" s="16"/>
      <c r="E1975" s="16"/>
      <c r="F1975" s="17"/>
      <c r="G1975" s="16"/>
      <c r="H1975" s="16"/>
      <c r="I1975" s="16"/>
      <c r="J1975" s="16"/>
      <c r="K1975" s="16"/>
      <c r="L1975" s="16"/>
      <c r="M1975" s="18" t="str">
        <f aca="false">IF(OR(C1975="",D1975=""),"",IF(MOD(COUNTIFS($C$2:C1975,C1975,$D$2:D1975,D1975)*7,10)&lt;3,"teste","treino"))</f>
        <v/>
      </c>
      <c r="N1975" s="16"/>
      <c r="O1975" s="16"/>
      <c r="P1975" s="16"/>
      <c r="Q1975" s="17"/>
    </row>
    <row r="1976" customFormat="false" ht="15" hidden="false" customHeight="false" outlineLevel="0" collapsed="false">
      <c r="A1976" s="15" t="str">
        <f aca="false">IF(B1976="","",ROW()-1)</f>
        <v/>
      </c>
      <c r="B1976" s="16"/>
      <c r="C1976" s="16"/>
      <c r="D1976" s="16"/>
      <c r="E1976" s="16"/>
      <c r="F1976" s="17"/>
      <c r="G1976" s="16"/>
      <c r="H1976" s="16"/>
      <c r="I1976" s="16"/>
      <c r="J1976" s="16"/>
      <c r="K1976" s="16"/>
      <c r="L1976" s="16"/>
      <c r="M1976" s="18" t="str">
        <f aca="false">IF(OR(C1976="",D1976=""),"",IF(MOD(COUNTIFS($C$2:C1976,C1976,$D$2:D1976,D1976)*7,10)&lt;3,"teste","treino"))</f>
        <v/>
      </c>
      <c r="N1976" s="16"/>
      <c r="O1976" s="16"/>
      <c r="P1976" s="16"/>
      <c r="Q1976" s="17"/>
    </row>
    <row r="1977" customFormat="false" ht="15" hidden="false" customHeight="false" outlineLevel="0" collapsed="false">
      <c r="A1977" s="15" t="str">
        <f aca="false">IF(B1977="","",ROW()-1)</f>
        <v/>
      </c>
      <c r="B1977" s="16"/>
      <c r="C1977" s="16"/>
      <c r="D1977" s="16"/>
      <c r="E1977" s="16"/>
      <c r="F1977" s="17"/>
      <c r="G1977" s="16"/>
      <c r="H1977" s="16"/>
      <c r="I1977" s="16"/>
      <c r="J1977" s="16"/>
      <c r="K1977" s="16"/>
      <c r="L1977" s="16"/>
      <c r="M1977" s="18" t="str">
        <f aca="false">IF(OR(C1977="",D1977=""),"",IF(MOD(COUNTIFS($C$2:C1977,C1977,$D$2:D1977,D1977)*7,10)&lt;3,"teste","treino"))</f>
        <v/>
      </c>
      <c r="N1977" s="16"/>
      <c r="O1977" s="16"/>
      <c r="P1977" s="16"/>
      <c r="Q1977" s="17"/>
    </row>
    <row r="1978" customFormat="false" ht="15" hidden="false" customHeight="false" outlineLevel="0" collapsed="false">
      <c r="A1978" s="15" t="str">
        <f aca="false">IF(B1978="","",ROW()-1)</f>
        <v/>
      </c>
      <c r="B1978" s="16"/>
      <c r="C1978" s="16"/>
      <c r="D1978" s="16"/>
      <c r="E1978" s="16"/>
      <c r="F1978" s="17"/>
      <c r="G1978" s="16"/>
      <c r="H1978" s="16"/>
      <c r="I1978" s="16"/>
      <c r="J1978" s="16"/>
      <c r="K1978" s="16"/>
      <c r="L1978" s="16"/>
      <c r="M1978" s="18" t="str">
        <f aca="false">IF(OR(C1978="",D1978=""),"",IF(MOD(COUNTIFS($C$2:C1978,C1978,$D$2:D1978,D1978)*7,10)&lt;3,"teste","treino"))</f>
        <v/>
      </c>
      <c r="N1978" s="16"/>
      <c r="O1978" s="16"/>
      <c r="P1978" s="16"/>
      <c r="Q1978" s="17"/>
    </row>
    <row r="1979" customFormat="false" ht="15" hidden="false" customHeight="false" outlineLevel="0" collapsed="false">
      <c r="A1979" s="15" t="str">
        <f aca="false">IF(B1979="","",ROW()-1)</f>
        <v/>
      </c>
      <c r="B1979" s="16"/>
      <c r="C1979" s="16"/>
      <c r="D1979" s="16"/>
      <c r="E1979" s="16"/>
      <c r="F1979" s="17"/>
      <c r="G1979" s="16"/>
      <c r="H1979" s="16"/>
      <c r="I1979" s="16"/>
      <c r="J1979" s="16"/>
      <c r="K1979" s="16"/>
      <c r="L1979" s="16"/>
      <c r="M1979" s="18" t="str">
        <f aca="false">IF(OR(C1979="",D1979=""),"",IF(MOD(COUNTIFS($C$2:C1979,C1979,$D$2:D1979,D1979)*7,10)&lt;3,"teste","treino"))</f>
        <v/>
      </c>
      <c r="N1979" s="16"/>
      <c r="O1979" s="16"/>
      <c r="P1979" s="16"/>
      <c r="Q1979" s="17"/>
    </row>
    <row r="1980" customFormat="false" ht="15" hidden="false" customHeight="false" outlineLevel="0" collapsed="false">
      <c r="A1980" s="15" t="str">
        <f aca="false">IF(B1980="","",ROW()-1)</f>
        <v/>
      </c>
      <c r="B1980" s="16"/>
      <c r="C1980" s="16"/>
      <c r="D1980" s="16"/>
      <c r="E1980" s="16"/>
      <c r="F1980" s="17"/>
      <c r="G1980" s="16"/>
      <c r="H1980" s="16"/>
      <c r="I1980" s="16"/>
      <c r="J1980" s="16"/>
      <c r="K1980" s="16"/>
      <c r="L1980" s="16"/>
      <c r="M1980" s="18" t="str">
        <f aca="false">IF(OR(C1980="",D1980=""),"",IF(MOD(COUNTIFS($C$2:C1980,C1980,$D$2:D1980,D1980)*7,10)&lt;3,"teste","treino"))</f>
        <v/>
      </c>
      <c r="N1980" s="16"/>
      <c r="O1980" s="16"/>
      <c r="P1980" s="16"/>
      <c r="Q1980" s="17"/>
    </row>
    <row r="1981" customFormat="false" ht="15" hidden="false" customHeight="false" outlineLevel="0" collapsed="false">
      <c r="A1981" s="15" t="str">
        <f aca="false">IF(B1981="","",ROW()-1)</f>
        <v/>
      </c>
      <c r="B1981" s="16"/>
      <c r="C1981" s="16"/>
      <c r="D1981" s="16"/>
      <c r="E1981" s="16"/>
      <c r="F1981" s="17"/>
      <c r="G1981" s="16"/>
      <c r="H1981" s="16"/>
      <c r="I1981" s="16"/>
      <c r="J1981" s="16"/>
      <c r="K1981" s="16"/>
      <c r="L1981" s="16"/>
      <c r="M1981" s="18" t="str">
        <f aca="false">IF(OR(C1981="",D1981=""),"",IF(MOD(COUNTIFS($C$2:C1981,C1981,$D$2:D1981,D1981)*7,10)&lt;3,"teste","treino"))</f>
        <v/>
      </c>
      <c r="N1981" s="16"/>
      <c r="O1981" s="16"/>
      <c r="P1981" s="16"/>
      <c r="Q1981" s="17"/>
    </row>
    <row r="1982" customFormat="false" ht="15" hidden="false" customHeight="false" outlineLevel="0" collapsed="false">
      <c r="A1982" s="15" t="str">
        <f aca="false">IF(B1982="","",ROW()-1)</f>
        <v/>
      </c>
      <c r="B1982" s="16"/>
      <c r="C1982" s="16"/>
      <c r="D1982" s="16"/>
      <c r="E1982" s="16"/>
      <c r="F1982" s="17"/>
      <c r="G1982" s="16"/>
      <c r="H1982" s="16"/>
      <c r="I1982" s="16"/>
      <c r="J1982" s="16"/>
      <c r="K1982" s="16"/>
      <c r="L1982" s="16"/>
      <c r="M1982" s="18" t="str">
        <f aca="false">IF(OR(C1982="",D1982=""),"",IF(MOD(COUNTIFS($C$2:C1982,C1982,$D$2:D1982,D1982)*7,10)&lt;3,"teste","treino"))</f>
        <v/>
      </c>
      <c r="N1982" s="16"/>
      <c r="O1982" s="16"/>
      <c r="P1982" s="16"/>
      <c r="Q1982" s="17"/>
    </row>
    <row r="1983" customFormat="false" ht="15" hidden="false" customHeight="false" outlineLevel="0" collapsed="false">
      <c r="A1983" s="15" t="str">
        <f aca="false">IF(B1983="","",ROW()-1)</f>
        <v/>
      </c>
      <c r="B1983" s="16"/>
      <c r="C1983" s="16"/>
      <c r="D1983" s="16"/>
      <c r="E1983" s="16"/>
      <c r="F1983" s="17"/>
      <c r="G1983" s="16"/>
      <c r="H1983" s="16"/>
      <c r="I1983" s="16"/>
      <c r="J1983" s="16"/>
      <c r="K1983" s="16"/>
      <c r="L1983" s="16"/>
      <c r="M1983" s="18" t="str">
        <f aca="false">IF(OR(C1983="",D1983=""),"",IF(MOD(COUNTIFS($C$2:C1983,C1983,$D$2:D1983,D1983)*7,10)&lt;3,"teste","treino"))</f>
        <v/>
      </c>
      <c r="N1983" s="16"/>
      <c r="O1983" s="16"/>
      <c r="P1983" s="16"/>
      <c r="Q1983" s="17"/>
    </row>
    <row r="1984" customFormat="false" ht="15" hidden="false" customHeight="false" outlineLevel="0" collapsed="false">
      <c r="A1984" s="15" t="str">
        <f aca="false">IF(B1984="","",ROW()-1)</f>
        <v/>
      </c>
      <c r="B1984" s="16"/>
      <c r="C1984" s="16"/>
      <c r="D1984" s="16"/>
      <c r="E1984" s="16"/>
      <c r="F1984" s="17"/>
      <c r="G1984" s="16"/>
      <c r="H1984" s="16"/>
      <c r="I1984" s="16"/>
      <c r="J1984" s="16"/>
      <c r="K1984" s="16"/>
      <c r="L1984" s="16"/>
      <c r="M1984" s="18" t="str">
        <f aca="false">IF(OR(C1984="",D1984=""),"",IF(MOD(COUNTIFS($C$2:C1984,C1984,$D$2:D1984,D1984)*7,10)&lt;3,"teste","treino"))</f>
        <v/>
      </c>
      <c r="N1984" s="16"/>
      <c r="O1984" s="16"/>
      <c r="P1984" s="16"/>
      <c r="Q1984" s="17"/>
    </row>
    <row r="1985" customFormat="false" ht="15" hidden="false" customHeight="false" outlineLevel="0" collapsed="false">
      <c r="A1985" s="15" t="str">
        <f aca="false">IF(B1985="","",ROW()-1)</f>
        <v/>
      </c>
      <c r="B1985" s="16"/>
      <c r="C1985" s="16"/>
      <c r="D1985" s="16"/>
      <c r="E1985" s="16"/>
      <c r="F1985" s="17"/>
      <c r="G1985" s="16"/>
      <c r="H1985" s="16"/>
      <c r="I1985" s="16"/>
      <c r="J1985" s="16"/>
      <c r="K1985" s="16"/>
      <c r="L1985" s="16"/>
      <c r="M1985" s="18" t="str">
        <f aca="false">IF(OR(C1985="",D1985=""),"",IF(MOD(COUNTIFS($C$2:C1985,C1985,$D$2:D1985,D1985)*7,10)&lt;3,"teste","treino"))</f>
        <v/>
      </c>
      <c r="N1985" s="16"/>
      <c r="O1985" s="16"/>
      <c r="P1985" s="16"/>
      <c r="Q1985" s="17"/>
    </row>
    <row r="1986" customFormat="false" ht="15" hidden="false" customHeight="false" outlineLevel="0" collapsed="false">
      <c r="A1986" s="15" t="str">
        <f aca="false">IF(B1986="","",ROW()-1)</f>
        <v/>
      </c>
      <c r="B1986" s="16"/>
      <c r="C1986" s="16"/>
      <c r="D1986" s="16"/>
      <c r="E1986" s="16"/>
      <c r="F1986" s="17"/>
      <c r="G1986" s="16"/>
      <c r="H1986" s="16"/>
      <c r="I1986" s="16"/>
      <c r="J1986" s="16"/>
      <c r="K1986" s="16"/>
      <c r="L1986" s="16"/>
      <c r="M1986" s="18" t="str">
        <f aca="false">IF(OR(C1986="",D1986=""),"",IF(MOD(COUNTIFS($C$2:C1986,C1986,$D$2:D1986,D1986)*7,10)&lt;3,"teste","treino"))</f>
        <v/>
      </c>
      <c r="N1986" s="16"/>
      <c r="O1986" s="16"/>
      <c r="P1986" s="16"/>
      <c r="Q1986" s="17"/>
    </row>
    <row r="1987" customFormat="false" ht="15" hidden="false" customHeight="false" outlineLevel="0" collapsed="false">
      <c r="A1987" s="15" t="str">
        <f aca="false">IF(B1987="","",ROW()-1)</f>
        <v/>
      </c>
      <c r="B1987" s="16"/>
      <c r="C1987" s="16"/>
      <c r="D1987" s="16"/>
      <c r="E1987" s="16"/>
      <c r="F1987" s="17"/>
      <c r="G1987" s="16"/>
      <c r="H1987" s="16"/>
      <c r="I1987" s="16"/>
      <c r="J1987" s="16"/>
      <c r="K1987" s="16"/>
      <c r="L1987" s="16"/>
      <c r="M1987" s="18" t="str">
        <f aca="false">IF(OR(C1987="",D1987=""),"",IF(MOD(COUNTIFS($C$2:C1987,C1987,$D$2:D1987,D1987)*7,10)&lt;3,"teste","treino"))</f>
        <v/>
      </c>
      <c r="N1987" s="16"/>
      <c r="O1987" s="16"/>
      <c r="P1987" s="16"/>
      <c r="Q1987" s="17"/>
    </row>
    <row r="1988" customFormat="false" ht="15" hidden="false" customHeight="false" outlineLevel="0" collapsed="false">
      <c r="A1988" s="15" t="str">
        <f aca="false">IF(B1988="","",ROW()-1)</f>
        <v/>
      </c>
      <c r="B1988" s="16"/>
      <c r="C1988" s="16"/>
      <c r="D1988" s="16"/>
      <c r="E1988" s="16"/>
      <c r="F1988" s="17"/>
      <c r="G1988" s="16"/>
      <c r="H1988" s="16"/>
      <c r="I1988" s="16"/>
      <c r="J1988" s="16"/>
      <c r="K1988" s="16"/>
      <c r="L1988" s="16"/>
      <c r="M1988" s="18" t="str">
        <f aca="false">IF(OR(C1988="",D1988=""),"",IF(MOD(COUNTIFS($C$2:C1988,C1988,$D$2:D1988,D1988)*7,10)&lt;3,"teste","treino"))</f>
        <v/>
      </c>
      <c r="N1988" s="16"/>
      <c r="O1988" s="16"/>
      <c r="P1988" s="16"/>
      <c r="Q1988" s="17"/>
    </row>
    <row r="1989" customFormat="false" ht="15" hidden="false" customHeight="false" outlineLevel="0" collapsed="false">
      <c r="A1989" s="15" t="str">
        <f aca="false">IF(B1989="","",ROW()-1)</f>
        <v/>
      </c>
      <c r="B1989" s="16"/>
      <c r="C1989" s="16"/>
      <c r="D1989" s="16"/>
      <c r="E1989" s="16"/>
      <c r="F1989" s="17"/>
      <c r="G1989" s="16"/>
      <c r="H1989" s="16"/>
      <c r="I1989" s="16"/>
      <c r="J1989" s="16"/>
      <c r="K1989" s="16"/>
      <c r="L1989" s="16"/>
      <c r="M1989" s="18" t="str">
        <f aca="false">IF(OR(C1989="",D1989=""),"",IF(MOD(COUNTIFS($C$2:C1989,C1989,$D$2:D1989,D1989)*7,10)&lt;3,"teste","treino"))</f>
        <v/>
      </c>
      <c r="N1989" s="16"/>
      <c r="O1989" s="16"/>
      <c r="P1989" s="16"/>
      <c r="Q1989" s="17"/>
    </row>
    <row r="1990" customFormat="false" ht="15" hidden="false" customHeight="false" outlineLevel="0" collapsed="false">
      <c r="A1990" s="15" t="str">
        <f aca="false">IF(B1990="","",ROW()-1)</f>
        <v/>
      </c>
      <c r="B1990" s="16"/>
      <c r="C1990" s="16"/>
      <c r="D1990" s="16"/>
      <c r="E1990" s="16"/>
      <c r="F1990" s="17"/>
      <c r="G1990" s="16"/>
      <c r="H1990" s="16"/>
      <c r="I1990" s="16"/>
      <c r="J1990" s="16"/>
      <c r="K1990" s="16"/>
      <c r="L1990" s="16"/>
      <c r="M1990" s="18" t="str">
        <f aca="false">IF(OR(C1990="",D1990=""),"",IF(MOD(COUNTIFS($C$2:C1990,C1990,$D$2:D1990,D1990)*7,10)&lt;3,"teste","treino"))</f>
        <v/>
      </c>
      <c r="N1990" s="16"/>
      <c r="O1990" s="16"/>
      <c r="P1990" s="16"/>
      <c r="Q1990" s="17"/>
    </row>
    <row r="1991" customFormat="false" ht="15" hidden="false" customHeight="false" outlineLevel="0" collapsed="false">
      <c r="A1991" s="15" t="str">
        <f aca="false">IF(B1991="","",ROW()-1)</f>
        <v/>
      </c>
      <c r="B1991" s="16"/>
      <c r="C1991" s="16"/>
      <c r="D1991" s="16"/>
      <c r="E1991" s="16"/>
      <c r="F1991" s="17"/>
      <c r="G1991" s="16"/>
      <c r="H1991" s="16"/>
      <c r="I1991" s="16"/>
      <c r="J1991" s="16"/>
      <c r="K1991" s="16"/>
      <c r="L1991" s="16"/>
      <c r="M1991" s="18" t="str">
        <f aca="false">IF(OR(C1991="",D1991=""),"",IF(MOD(COUNTIFS($C$2:C1991,C1991,$D$2:D1991,D1991)*7,10)&lt;3,"teste","treino"))</f>
        <v/>
      </c>
      <c r="N1991" s="16"/>
      <c r="O1991" s="16"/>
      <c r="P1991" s="16"/>
      <c r="Q1991" s="17"/>
    </row>
    <row r="1992" customFormat="false" ht="15" hidden="false" customHeight="false" outlineLevel="0" collapsed="false">
      <c r="A1992" s="15" t="str">
        <f aca="false">IF(B1992="","",ROW()-1)</f>
        <v/>
      </c>
      <c r="B1992" s="16"/>
      <c r="C1992" s="16"/>
      <c r="D1992" s="16"/>
      <c r="E1992" s="16"/>
      <c r="F1992" s="17"/>
      <c r="G1992" s="16"/>
      <c r="H1992" s="16"/>
      <c r="I1992" s="16"/>
      <c r="J1992" s="16"/>
      <c r="K1992" s="16"/>
      <c r="L1992" s="16"/>
      <c r="M1992" s="18" t="str">
        <f aca="false">IF(OR(C1992="",D1992=""),"",IF(MOD(COUNTIFS($C$2:C1992,C1992,$D$2:D1992,D1992)*7,10)&lt;3,"teste","treino"))</f>
        <v/>
      </c>
      <c r="N1992" s="16"/>
      <c r="O1992" s="16"/>
      <c r="P1992" s="16"/>
      <c r="Q1992" s="17"/>
    </row>
    <row r="1993" customFormat="false" ht="15" hidden="false" customHeight="false" outlineLevel="0" collapsed="false">
      <c r="A1993" s="15" t="str">
        <f aca="false">IF(B1993="","",ROW()-1)</f>
        <v/>
      </c>
      <c r="B1993" s="16"/>
      <c r="C1993" s="16"/>
      <c r="D1993" s="16"/>
      <c r="E1993" s="16"/>
      <c r="F1993" s="17"/>
      <c r="G1993" s="16"/>
      <c r="H1993" s="16"/>
      <c r="I1993" s="16"/>
      <c r="J1993" s="16"/>
      <c r="K1993" s="16"/>
      <c r="L1993" s="16"/>
      <c r="M1993" s="18" t="str">
        <f aca="false">IF(OR(C1993="",D1993=""),"",IF(MOD(COUNTIFS($C$2:C1993,C1993,$D$2:D1993,D1993)*7,10)&lt;3,"teste","treino"))</f>
        <v/>
      </c>
      <c r="N1993" s="16"/>
      <c r="O1993" s="16"/>
      <c r="P1993" s="16"/>
      <c r="Q1993" s="17"/>
    </row>
    <row r="1994" customFormat="false" ht="15" hidden="false" customHeight="false" outlineLevel="0" collapsed="false">
      <c r="A1994" s="15" t="str">
        <f aca="false">IF(B1994="","",ROW()-1)</f>
        <v/>
      </c>
      <c r="B1994" s="16"/>
      <c r="C1994" s="16"/>
      <c r="D1994" s="16"/>
      <c r="E1994" s="16"/>
      <c r="F1994" s="17"/>
      <c r="G1994" s="16"/>
      <c r="H1994" s="16"/>
      <c r="I1994" s="16"/>
      <c r="J1994" s="16"/>
      <c r="K1994" s="16"/>
      <c r="L1994" s="16"/>
      <c r="M1994" s="18" t="str">
        <f aca="false">IF(OR(C1994="",D1994=""),"",IF(MOD(COUNTIFS($C$2:C1994,C1994,$D$2:D1994,D1994)*7,10)&lt;3,"teste","treino"))</f>
        <v/>
      </c>
      <c r="N1994" s="16"/>
      <c r="O1994" s="16"/>
      <c r="P1994" s="16"/>
      <c r="Q1994" s="17"/>
    </row>
    <row r="1995" customFormat="false" ht="15" hidden="false" customHeight="false" outlineLevel="0" collapsed="false">
      <c r="A1995" s="15" t="str">
        <f aca="false">IF(B1995="","",ROW()-1)</f>
        <v/>
      </c>
      <c r="B1995" s="16"/>
      <c r="C1995" s="16"/>
      <c r="D1995" s="16"/>
      <c r="E1995" s="16"/>
      <c r="F1995" s="17"/>
      <c r="G1995" s="16"/>
      <c r="H1995" s="16"/>
      <c r="I1995" s="16"/>
      <c r="J1995" s="16"/>
      <c r="K1995" s="16"/>
      <c r="L1995" s="16"/>
      <c r="M1995" s="18" t="str">
        <f aca="false">IF(OR(C1995="",D1995=""),"",IF(MOD(COUNTIFS($C$2:C1995,C1995,$D$2:D1995,D1995)*7,10)&lt;3,"teste","treino"))</f>
        <v/>
      </c>
      <c r="N1995" s="16"/>
      <c r="O1995" s="16"/>
      <c r="P1995" s="16"/>
      <c r="Q1995" s="17"/>
    </row>
    <row r="1996" customFormat="false" ht="15" hidden="false" customHeight="false" outlineLevel="0" collapsed="false">
      <c r="A1996" s="15" t="str">
        <f aca="false">IF(B1996="","",ROW()-1)</f>
        <v/>
      </c>
      <c r="B1996" s="16"/>
      <c r="C1996" s="16"/>
      <c r="D1996" s="16"/>
      <c r="E1996" s="16"/>
      <c r="F1996" s="17"/>
      <c r="G1996" s="16"/>
      <c r="H1996" s="16"/>
      <c r="I1996" s="16"/>
      <c r="J1996" s="16"/>
      <c r="K1996" s="16"/>
      <c r="L1996" s="16"/>
      <c r="M1996" s="18" t="str">
        <f aca="false">IF(OR(C1996="",D1996=""),"",IF(MOD(COUNTIFS($C$2:C1996,C1996,$D$2:D1996,D1996)*7,10)&lt;3,"teste","treino"))</f>
        <v/>
      </c>
      <c r="N1996" s="16"/>
      <c r="O1996" s="16"/>
      <c r="P1996" s="16"/>
      <c r="Q1996" s="17"/>
    </row>
    <row r="1997" customFormat="false" ht="15" hidden="false" customHeight="false" outlineLevel="0" collapsed="false">
      <c r="A1997" s="15" t="str">
        <f aca="false">IF(B1997="","",ROW()-1)</f>
        <v/>
      </c>
      <c r="B1997" s="16"/>
      <c r="C1997" s="16"/>
      <c r="D1997" s="16"/>
      <c r="E1997" s="16"/>
      <c r="F1997" s="17"/>
      <c r="G1997" s="16"/>
      <c r="H1997" s="16"/>
      <c r="I1997" s="16"/>
      <c r="J1997" s="16"/>
      <c r="K1997" s="16"/>
      <c r="L1997" s="16"/>
      <c r="M1997" s="18" t="str">
        <f aca="false">IF(OR(C1997="",D1997=""),"",IF(MOD(COUNTIFS($C$2:C1997,C1997,$D$2:D1997,D1997)*7,10)&lt;3,"teste","treino"))</f>
        <v/>
      </c>
      <c r="N1997" s="16"/>
      <c r="O1997" s="16"/>
      <c r="P1997" s="16"/>
      <c r="Q1997" s="17"/>
    </row>
    <row r="1998" customFormat="false" ht="15" hidden="false" customHeight="false" outlineLevel="0" collapsed="false">
      <c r="A1998" s="15" t="str">
        <f aca="false">IF(B1998="","",ROW()-1)</f>
        <v/>
      </c>
      <c r="B1998" s="16"/>
      <c r="C1998" s="16"/>
      <c r="D1998" s="16"/>
      <c r="E1998" s="16"/>
      <c r="F1998" s="17"/>
      <c r="G1998" s="16"/>
      <c r="H1998" s="16"/>
      <c r="I1998" s="16"/>
      <c r="J1998" s="16"/>
      <c r="K1998" s="16"/>
      <c r="L1998" s="16"/>
      <c r="M1998" s="18" t="str">
        <f aca="false">IF(OR(C1998="",D1998=""),"",IF(MOD(COUNTIFS($C$2:C1998,C1998,$D$2:D1998,D1998)*7,10)&lt;3,"teste","treino"))</f>
        <v/>
      </c>
      <c r="N1998" s="16"/>
      <c r="O1998" s="16"/>
      <c r="P1998" s="16"/>
      <c r="Q1998" s="17"/>
    </row>
    <row r="1999" customFormat="false" ht="15" hidden="false" customHeight="false" outlineLevel="0" collapsed="false">
      <c r="A1999" s="15" t="str">
        <f aca="false">IF(B1999="","",ROW()-1)</f>
        <v/>
      </c>
      <c r="B1999" s="16"/>
      <c r="C1999" s="16"/>
      <c r="D1999" s="16"/>
      <c r="E1999" s="16"/>
      <c r="F1999" s="17"/>
      <c r="G1999" s="16"/>
      <c r="H1999" s="16"/>
      <c r="I1999" s="16"/>
      <c r="J1999" s="16"/>
      <c r="K1999" s="16"/>
      <c r="L1999" s="16"/>
      <c r="M1999" s="18" t="str">
        <f aca="false">IF(OR(C1999="",D1999=""),"",IF(MOD(COUNTIFS($C$2:C1999,C1999,$D$2:D1999,D1999)*7,10)&lt;3,"teste","treino"))</f>
        <v/>
      </c>
      <c r="N1999" s="16"/>
      <c r="O1999" s="16"/>
      <c r="P1999" s="16"/>
      <c r="Q1999" s="17"/>
    </row>
    <row r="2000" customFormat="false" ht="15" hidden="false" customHeight="false" outlineLevel="0" collapsed="false">
      <c r="A2000" s="15" t="str">
        <f aca="false">IF(B2000="","",ROW()-1)</f>
        <v/>
      </c>
      <c r="B2000" s="16"/>
      <c r="C2000" s="16"/>
      <c r="D2000" s="16"/>
      <c r="E2000" s="16"/>
      <c r="F2000" s="17"/>
      <c r="G2000" s="16"/>
      <c r="H2000" s="16"/>
      <c r="I2000" s="16"/>
      <c r="J2000" s="16"/>
      <c r="K2000" s="16"/>
      <c r="L2000" s="16"/>
      <c r="M2000" s="18" t="str">
        <f aca="false">IF(OR(C2000="",D2000=""),"",IF(MOD(COUNTIFS($C$2:C2000,C2000,$D$2:D2000,D2000)*7,10)&lt;3,"teste","treino"))</f>
        <v/>
      </c>
      <c r="N2000" s="16"/>
      <c r="O2000" s="16"/>
      <c r="P2000" s="16"/>
      <c r="Q2000" s="17"/>
    </row>
    <row r="2001" customFormat="false" ht="15" hidden="false" customHeight="false" outlineLevel="0" collapsed="false">
      <c r="A2001" s="15" t="str">
        <f aca="false">IF(B2001="","",ROW()-1)</f>
        <v/>
      </c>
      <c r="B2001" s="16"/>
      <c r="C2001" s="16"/>
      <c r="D2001" s="16"/>
      <c r="E2001" s="16"/>
      <c r="F2001" s="17"/>
      <c r="G2001" s="16"/>
      <c r="H2001" s="16"/>
      <c r="I2001" s="16"/>
      <c r="J2001" s="16"/>
      <c r="K2001" s="16"/>
      <c r="L2001" s="16"/>
      <c r="M2001" s="18" t="str">
        <f aca="false">IF(OR(C2001="",D2001=""),"",IF(MOD(COUNTIFS($C$2:C2001,C2001,$D$2:D2001,D2001)*7,10)&lt;3,"teste","treino"))</f>
        <v/>
      </c>
      <c r="N2001" s="16"/>
      <c r="O2001" s="16"/>
      <c r="P2001" s="16"/>
      <c r="Q2001" s="17"/>
    </row>
    <row r="2002" customFormat="false" ht="15" hidden="false" customHeight="false" outlineLevel="0" collapsed="false">
      <c r="A2002" s="15" t="str">
        <f aca="false">IF(B2002="","",ROW()-1)</f>
        <v/>
      </c>
      <c r="B2002" s="16"/>
      <c r="C2002" s="16"/>
      <c r="D2002" s="16"/>
      <c r="E2002" s="16"/>
      <c r="F2002" s="17"/>
      <c r="G2002" s="16"/>
      <c r="H2002" s="16"/>
      <c r="I2002" s="16"/>
      <c r="J2002" s="16"/>
      <c r="K2002" s="16"/>
      <c r="L2002" s="16"/>
      <c r="M2002" s="18" t="str">
        <f aca="false">IF(OR(C2002="",D2002=""),"",IF(MOD(COUNTIFS($C$2:C2002,C2002,$D$2:D2002,D2002)*7,10)&lt;3,"teste","treino"))</f>
        <v/>
      </c>
      <c r="N2002" s="16"/>
      <c r="O2002" s="16"/>
      <c r="P2002" s="16"/>
      <c r="Q2002" s="17"/>
    </row>
    <row r="2003" customFormat="false" ht="15" hidden="false" customHeight="false" outlineLevel="0" collapsed="false">
      <c r="A2003" s="15" t="str">
        <f aca="false">IF(B2003="","",ROW()-1)</f>
        <v/>
      </c>
      <c r="B2003" s="16"/>
      <c r="C2003" s="16"/>
      <c r="D2003" s="16"/>
      <c r="E2003" s="16"/>
      <c r="F2003" s="17"/>
      <c r="G2003" s="16"/>
      <c r="H2003" s="16"/>
      <c r="I2003" s="16"/>
      <c r="J2003" s="16"/>
      <c r="K2003" s="16"/>
      <c r="L2003" s="16"/>
      <c r="M2003" s="18" t="str">
        <f aca="false">IF(OR(C2003="",D2003=""),"",IF(MOD(COUNTIFS($C$2:C2003,C2003,$D$2:D2003,D2003)*7,10)&lt;3,"teste","treino"))</f>
        <v/>
      </c>
      <c r="N2003" s="16"/>
      <c r="O2003" s="16"/>
      <c r="P2003" s="16"/>
      <c r="Q2003" s="17"/>
    </row>
    <row r="2004" customFormat="false" ht="15" hidden="false" customHeight="false" outlineLevel="0" collapsed="false">
      <c r="A2004" s="15" t="str">
        <f aca="false">IF(B2004="","",ROW()-1)</f>
        <v/>
      </c>
      <c r="B2004" s="16"/>
      <c r="C2004" s="16"/>
      <c r="D2004" s="16"/>
      <c r="E2004" s="16"/>
      <c r="F2004" s="17"/>
      <c r="G2004" s="16"/>
      <c r="H2004" s="16"/>
      <c r="I2004" s="16"/>
      <c r="J2004" s="16"/>
      <c r="K2004" s="16"/>
      <c r="L2004" s="16"/>
      <c r="M2004" s="18" t="str">
        <f aca="false">IF(OR(C2004="",D2004=""),"",IF(MOD(COUNTIFS($C$2:C2004,C2004,$D$2:D2004,D2004)*7,10)&lt;3,"teste","treino"))</f>
        <v/>
      </c>
      <c r="N2004" s="16"/>
      <c r="O2004" s="16"/>
      <c r="P2004" s="16"/>
      <c r="Q2004" s="17"/>
    </row>
    <row r="2005" customFormat="false" ht="15" hidden="false" customHeight="false" outlineLevel="0" collapsed="false">
      <c r="A2005" s="15" t="str">
        <f aca="false">IF(B2005="","",ROW()-1)</f>
        <v/>
      </c>
      <c r="B2005" s="16"/>
      <c r="C2005" s="16"/>
      <c r="D2005" s="16"/>
      <c r="E2005" s="16"/>
      <c r="F2005" s="17"/>
      <c r="G2005" s="16"/>
      <c r="H2005" s="16"/>
      <c r="I2005" s="16"/>
      <c r="J2005" s="16"/>
      <c r="K2005" s="16"/>
      <c r="L2005" s="16"/>
      <c r="M2005" s="18" t="str">
        <f aca="false">IF(OR(C2005="",D2005=""),"",IF(MOD(COUNTIFS($C$2:C2005,C2005,$D$2:D2005,D2005)*7,10)&lt;3,"teste","treino"))</f>
        <v/>
      </c>
      <c r="N2005" s="16"/>
      <c r="O2005" s="16"/>
      <c r="P2005" s="16"/>
      <c r="Q2005" s="17"/>
    </row>
    <row r="2006" customFormat="false" ht="15" hidden="false" customHeight="false" outlineLevel="0" collapsed="false">
      <c r="A2006" s="15" t="str">
        <f aca="false">IF(B2006="","",ROW()-1)</f>
        <v/>
      </c>
      <c r="B2006" s="16"/>
      <c r="C2006" s="16"/>
      <c r="D2006" s="16"/>
      <c r="E2006" s="16"/>
      <c r="F2006" s="17"/>
      <c r="G2006" s="16"/>
      <c r="H2006" s="16"/>
      <c r="I2006" s="16"/>
      <c r="J2006" s="16"/>
      <c r="K2006" s="16"/>
      <c r="L2006" s="16"/>
      <c r="M2006" s="18" t="str">
        <f aca="false">IF(OR(C2006="",D2006=""),"",IF(MOD(COUNTIFS($C$2:C2006,C2006,$D$2:D2006,D2006)*7,10)&lt;3,"teste","treino"))</f>
        <v/>
      </c>
      <c r="N2006" s="16"/>
      <c r="O2006" s="16"/>
      <c r="P2006" s="16"/>
      <c r="Q2006" s="17"/>
    </row>
    <row r="2007" customFormat="false" ht="15" hidden="false" customHeight="false" outlineLevel="0" collapsed="false">
      <c r="A2007" s="15" t="str">
        <f aca="false">IF(B2007="","",ROW()-1)</f>
        <v/>
      </c>
      <c r="B2007" s="16"/>
      <c r="C2007" s="16"/>
      <c r="D2007" s="16"/>
      <c r="E2007" s="16"/>
      <c r="F2007" s="17"/>
      <c r="G2007" s="16"/>
      <c r="H2007" s="16"/>
      <c r="I2007" s="16"/>
      <c r="J2007" s="16"/>
      <c r="K2007" s="16"/>
      <c r="L2007" s="16"/>
      <c r="M2007" s="18" t="str">
        <f aca="false">IF(OR(C2007="",D2007=""),"",IF(MOD(COUNTIFS($C$2:C2007,C2007,$D$2:D2007,D2007)*7,10)&lt;3,"teste","treino"))</f>
        <v/>
      </c>
      <c r="N2007" s="16"/>
      <c r="O2007" s="16"/>
      <c r="P2007" s="16"/>
      <c r="Q2007" s="17"/>
    </row>
    <row r="2008" customFormat="false" ht="15" hidden="false" customHeight="false" outlineLevel="0" collapsed="false">
      <c r="A2008" s="15" t="str">
        <f aca="false">IF(B2008="","",ROW()-1)</f>
        <v/>
      </c>
      <c r="B2008" s="16"/>
      <c r="C2008" s="16"/>
      <c r="D2008" s="16"/>
      <c r="E2008" s="16"/>
      <c r="F2008" s="17"/>
      <c r="G2008" s="16"/>
      <c r="H2008" s="16"/>
      <c r="I2008" s="16"/>
      <c r="J2008" s="16"/>
      <c r="K2008" s="16"/>
      <c r="L2008" s="16"/>
      <c r="M2008" s="18" t="str">
        <f aca="false">IF(OR(C2008="",D2008=""),"",IF(MOD(COUNTIFS($C$2:C2008,C2008,$D$2:D2008,D2008)*7,10)&lt;3,"teste","treino"))</f>
        <v/>
      </c>
      <c r="N2008" s="16"/>
      <c r="O2008" s="16"/>
      <c r="P2008" s="16"/>
      <c r="Q2008" s="17"/>
    </row>
    <row r="2009" customFormat="false" ht="15" hidden="false" customHeight="false" outlineLevel="0" collapsed="false">
      <c r="A2009" s="15" t="str">
        <f aca="false">IF(B2009="","",ROW()-1)</f>
        <v/>
      </c>
      <c r="B2009" s="16"/>
      <c r="C2009" s="16"/>
      <c r="D2009" s="16"/>
      <c r="E2009" s="16"/>
      <c r="F2009" s="17"/>
      <c r="G2009" s="16"/>
      <c r="H2009" s="16"/>
      <c r="I2009" s="16"/>
      <c r="J2009" s="16"/>
      <c r="K2009" s="16"/>
      <c r="L2009" s="16"/>
      <c r="M2009" s="18" t="str">
        <f aca="false">IF(OR(C2009="",D2009=""),"",IF(MOD(COUNTIFS($C$2:C2009,C2009,$D$2:D2009,D2009)*7,10)&lt;3,"teste","treino"))</f>
        <v/>
      </c>
      <c r="N2009" s="16"/>
      <c r="O2009" s="16"/>
      <c r="P2009" s="16"/>
      <c r="Q2009" s="17"/>
    </row>
    <row r="2010" customFormat="false" ht="15" hidden="false" customHeight="false" outlineLevel="0" collapsed="false">
      <c r="A2010" s="15" t="str">
        <f aca="false">IF(B2010="","",ROW()-1)</f>
        <v/>
      </c>
      <c r="B2010" s="16"/>
      <c r="C2010" s="16"/>
      <c r="D2010" s="16"/>
      <c r="E2010" s="16"/>
      <c r="F2010" s="17"/>
      <c r="G2010" s="16"/>
      <c r="H2010" s="16"/>
      <c r="I2010" s="16"/>
      <c r="J2010" s="16"/>
      <c r="K2010" s="16"/>
      <c r="L2010" s="16"/>
      <c r="M2010" s="18" t="str">
        <f aca="false">IF(OR(C2010="",D2010=""),"",IF(MOD(COUNTIFS($C$2:C2010,C2010,$D$2:D2010,D2010)*7,10)&lt;3,"teste","treino"))</f>
        <v/>
      </c>
      <c r="N2010" s="16"/>
      <c r="O2010" s="16"/>
      <c r="P2010" s="16"/>
      <c r="Q2010" s="17"/>
    </row>
    <row r="2011" customFormat="false" ht="15" hidden="false" customHeight="false" outlineLevel="0" collapsed="false">
      <c r="A2011" s="15" t="str">
        <f aca="false">IF(B2011="","",ROW()-1)</f>
        <v/>
      </c>
      <c r="B2011" s="16"/>
      <c r="C2011" s="16"/>
      <c r="D2011" s="16"/>
      <c r="E2011" s="16"/>
      <c r="F2011" s="17"/>
      <c r="G2011" s="16"/>
      <c r="H2011" s="16"/>
      <c r="I2011" s="16"/>
      <c r="J2011" s="16"/>
      <c r="K2011" s="16"/>
      <c r="L2011" s="16"/>
      <c r="M2011" s="18" t="str">
        <f aca="false">IF(OR(C2011="",D2011=""),"",IF(MOD(COUNTIFS($C$2:C2011,C2011,$D$2:D2011,D2011)*7,10)&lt;3,"teste","treino"))</f>
        <v/>
      </c>
      <c r="N2011" s="16"/>
      <c r="O2011" s="16"/>
      <c r="P2011" s="16"/>
      <c r="Q2011" s="17"/>
    </row>
    <row r="2012" customFormat="false" ht="15" hidden="false" customHeight="false" outlineLevel="0" collapsed="false">
      <c r="A2012" s="15" t="str">
        <f aca="false">IF(B2012="","",ROW()-1)</f>
        <v/>
      </c>
      <c r="B2012" s="16"/>
      <c r="C2012" s="16"/>
      <c r="D2012" s="16"/>
      <c r="E2012" s="16"/>
      <c r="F2012" s="17"/>
      <c r="G2012" s="16"/>
      <c r="H2012" s="16"/>
      <c r="I2012" s="16"/>
      <c r="J2012" s="16"/>
      <c r="K2012" s="16"/>
      <c r="L2012" s="16"/>
      <c r="M2012" s="18" t="str">
        <f aca="false">IF(OR(C2012="",D2012=""),"",IF(MOD(COUNTIFS($C$2:C2012,C2012,$D$2:D2012,D2012)*7,10)&lt;3,"teste","treino"))</f>
        <v/>
      </c>
      <c r="N2012" s="16"/>
      <c r="O2012" s="16"/>
      <c r="P2012" s="16"/>
      <c r="Q2012" s="17"/>
    </row>
    <row r="2013" customFormat="false" ht="15" hidden="false" customHeight="false" outlineLevel="0" collapsed="false">
      <c r="A2013" s="15" t="str">
        <f aca="false">IF(B2013="","",ROW()-1)</f>
        <v/>
      </c>
      <c r="B2013" s="16"/>
      <c r="C2013" s="16"/>
      <c r="D2013" s="16"/>
      <c r="E2013" s="16"/>
      <c r="F2013" s="17"/>
      <c r="G2013" s="16"/>
      <c r="H2013" s="16"/>
      <c r="I2013" s="16"/>
      <c r="J2013" s="16"/>
      <c r="K2013" s="16"/>
      <c r="L2013" s="16"/>
      <c r="M2013" s="18" t="str">
        <f aca="false">IF(OR(C2013="",D2013=""),"",IF(MOD(COUNTIFS($C$2:C2013,C2013,$D$2:D2013,D2013)*7,10)&lt;3,"teste","treino"))</f>
        <v/>
      </c>
      <c r="N2013" s="16"/>
      <c r="O2013" s="16"/>
      <c r="P2013" s="16"/>
      <c r="Q2013" s="17"/>
    </row>
    <row r="2014" customFormat="false" ht="15" hidden="false" customHeight="false" outlineLevel="0" collapsed="false">
      <c r="A2014" s="15" t="str">
        <f aca="false">IF(B2014="","",ROW()-1)</f>
        <v/>
      </c>
      <c r="B2014" s="16"/>
      <c r="C2014" s="16"/>
      <c r="D2014" s="16"/>
      <c r="E2014" s="16"/>
      <c r="F2014" s="17"/>
      <c r="G2014" s="16"/>
      <c r="H2014" s="16"/>
      <c r="I2014" s="16"/>
      <c r="J2014" s="16"/>
      <c r="K2014" s="16"/>
      <c r="L2014" s="16"/>
      <c r="M2014" s="18" t="str">
        <f aca="false">IF(OR(C2014="",D2014=""),"",IF(MOD(COUNTIFS($C$2:C2014,C2014,$D$2:D2014,D2014)*7,10)&lt;3,"teste","treino"))</f>
        <v/>
      </c>
      <c r="N2014" s="16"/>
      <c r="O2014" s="16"/>
      <c r="P2014" s="16"/>
      <c r="Q2014" s="17"/>
    </row>
    <row r="2015" customFormat="false" ht="15" hidden="false" customHeight="false" outlineLevel="0" collapsed="false">
      <c r="A2015" s="15" t="str">
        <f aca="false">IF(B2015="","",ROW()-1)</f>
        <v/>
      </c>
      <c r="B2015" s="16"/>
      <c r="C2015" s="16"/>
      <c r="D2015" s="16"/>
      <c r="E2015" s="16"/>
      <c r="F2015" s="17"/>
      <c r="G2015" s="16"/>
      <c r="H2015" s="16"/>
      <c r="I2015" s="16"/>
      <c r="J2015" s="16"/>
      <c r="K2015" s="16"/>
      <c r="L2015" s="16"/>
      <c r="M2015" s="18" t="str">
        <f aca="false">IF(OR(C2015="",D2015=""),"",IF(MOD(COUNTIFS($C$2:C2015,C2015,$D$2:D2015,D2015)*7,10)&lt;3,"teste","treino"))</f>
        <v/>
      </c>
      <c r="N2015" s="16"/>
      <c r="O2015" s="16"/>
      <c r="P2015" s="16"/>
      <c r="Q2015" s="17"/>
    </row>
    <row r="2016" customFormat="false" ht="15" hidden="false" customHeight="false" outlineLevel="0" collapsed="false">
      <c r="A2016" s="15" t="str">
        <f aca="false">IF(B2016="","",ROW()-1)</f>
        <v/>
      </c>
      <c r="B2016" s="16"/>
      <c r="C2016" s="16"/>
      <c r="D2016" s="16"/>
      <c r="E2016" s="16"/>
      <c r="F2016" s="17"/>
      <c r="G2016" s="16"/>
      <c r="H2016" s="16"/>
      <c r="I2016" s="16"/>
      <c r="J2016" s="16"/>
      <c r="K2016" s="16"/>
      <c r="L2016" s="16"/>
      <c r="M2016" s="18" t="str">
        <f aca="false">IF(OR(C2016="",D2016=""),"",IF(MOD(COUNTIFS($C$2:C2016,C2016,$D$2:D2016,D2016)*7,10)&lt;3,"teste","treino"))</f>
        <v/>
      </c>
      <c r="N2016" s="16"/>
      <c r="O2016" s="16"/>
      <c r="P2016" s="16"/>
      <c r="Q2016" s="17"/>
    </row>
    <row r="2017" customFormat="false" ht="15" hidden="false" customHeight="false" outlineLevel="0" collapsed="false">
      <c r="A2017" s="15" t="str">
        <f aca="false">IF(B2017="","",ROW()-1)</f>
        <v/>
      </c>
      <c r="B2017" s="16"/>
      <c r="C2017" s="16"/>
      <c r="D2017" s="16"/>
      <c r="E2017" s="16"/>
      <c r="F2017" s="17"/>
      <c r="G2017" s="16"/>
      <c r="H2017" s="16"/>
      <c r="I2017" s="16"/>
      <c r="J2017" s="16"/>
      <c r="K2017" s="16"/>
      <c r="L2017" s="16"/>
      <c r="M2017" s="18" t="str">
        <f aca="false">IF(OR(C2017="",D2017=""),"",IF(MOD(COUNTIFS($C$2:C2017,C2017,$D$2:D2017,D2017)*7,10)&lt;3,"teste","treino"))</f>
        <v/>
      </c>
      <c r="N2017" s="16"/>
      <c r="O2017" s="16"/>
      <c r="P2017" s="16"/>
      <c r="Q2017" s="17"/>
    </row>
    <row r="2018" customFormat="false" ht="15" hidden="false" customHeight="false" outlineLevel="0" collapsed="false">
      <c r="A2018" s="15" t="str">
        <f aca="false">IF(B2018="","",ROW()-1)</f>
        <v/>
      </c>
      <c r="B2018" s="16"/>
      <c r="C2018" s="16"/>
      <c r="D2018" s="16"/>
      <c r="E2018" s="16"/>
      <c r="F2018" s="17"/>
      <c r="G2018" s="16"/>
      <c r="H2018" s="16"/>
      <c r="I2018" s="16"/>
      <c r="J2018" s="16"/>
      <c r="K2018" s="16"/>
      <c r="L2018" s="16"/>
      <c r="M2018" s="18" t="str">
        <f aca="false">IF(OR(C2018="",D2018=""),"",IF(MOD(COUNTIFS($C$2:C2018,C2018,$D$2:D2018,D2018)*7,10)&lt;3,"teste","treino"))</f>
        <v/>
      </c>
      <c r="N2018" s="16"/>
      <c r="O2018" s="16"/>
      <c r="P2018" s="16"/>
      <c r="Q2018" s="17"/>
    </row>
    <row r="2019" customFormat="false" ht="15" hidden="false" customHeight="false" outlineLevel="0" collapsed="false">
      <c r="A2019" s="15" t="str">
        <f aca="false">IF(B2019="","",ROW()-1)</f>
        <v/>
      </c>
      <c r="B2019" s="16"/>
      <c r="C2019" s="16"/>
      <c r="D2019" s="16"/>
      <c r="E2019" s="16"/>
      <c r="F2019" s="17"/>
      <c r="G2019" s="16"/>
      <c r="H2019" s="16"/>
      <c r="I2019" s="16"/>
      <c r="J2019" s="16"/>
      <c r="K2019" s="16"/>
      <c r="L2019" s="16"/>
      <c r="M2019" s="18" t="str">
        <f aca="false">IF(OR(C2019="",D2019=""),"",IF(MOD(COUNTIFS($C$2:C2019,C2019,$D$2:D2019,D2019)*7,10)&lt;3,"teste","treino"))</f>
        <v/>
      </c>
      <c r="N2019" s="16"/>
      <c r="O2019" s="16"/>
      <c r="P2019" s="16"/>
      <c r="Q2019" s="17"/>
    </row>
    <row r="2020" customFormat="false" ht="15" hidden="false" customHeight="false" outlineLevel="0" collapsed="false">
      <c r="A2020" s="15" t="str">
        <f aca="false">IF(B2020="","",ROW()-1)</f>
        <v/>
      </c>
      <c r="B2020" s="16"/>
      <c r="C2020" s="16"/>
      <c r="D2020" s="16"/>
      <c r="E2020" s="16"/>
      <c r="F2020" s="17"/>
      <c r="G2020" s="16"/>
      <c r="H2020" s="16"/>
      <c r="I2020" s="16"/>
      <c r="J2020" s="16"/>
      <c r="K2020" s="16"/>
      <c r="L2020" s="16"/>
      <c r="M2020" s="18" t="str">
        <f aca="false">IF(OR(C2020="",D2020=""),"",IF(MOD(COUNTIFS($C$2:C2020,C2020,$D$2:D2020,D2020)*7,10)&lt;3,"teste","treino"))</f>
        <v/>
      </c>
      <c r="N2020" s="16"/>
      <c r="O2020" s="16"/>
      <c r="P2020" s="16"/>
      <c r="Q2020" s="17"/>
    </row>
    <row r="2021" customFormat="false" ht="15" hidden="false" customHeight="false" outlineLevel="0" collapsed="false">
      <c r="A2021" s="15" t="str">
        <f aca="false">IF(B2021="","",ROW()-1)</f>
        <v/>
      </c>
      <c r="B2021" s="16"/>
      <c r="C2021" s="16"/>
      <c r="D2021" s="16"/>
      <c r="E2021" s="16"/>
      <c r="F2021" s="17"/>
      <c r="G2021" s="16"/>
      <c r="H2021" s="16"/>
      <c r="I2021" s="16"/>
      <c r="J2021" s="16"/>
      <c r="K2021" s="16"/>
      <c r="L2021" s="16"/>
      <c r="M2021" s="18" t="str">
        <f aca="false">IF(OR(C2021="",D2021=""),"",IF(MOD(COUNTIFS($C$2:C2021,C2021,$D$2:D2021,D2021)*7,10)&lt;3,"teste","treino"))</f>
        <v/>
      </c>
      <c r="N2021" s="16"/>
      <c r="O2021" s="16"/>
      <c r="P2021" s="16"/>
      <c r="Q2021" s="17"/>
    </row>
    <row r="2022" customFormat="false" ht="15" hidden="false" customHeight="false" outlineLevel="0" collapsed="false">
      <c r="A2022" s="15" t="str">
        <f aca="false">IF(B2022="","",ROW()-1)</f>
        <v/>
      </c>
      <c r="B2022" s="16"/>
      <c r="C2022" s="16"/>
      <c r="D2022" s="16"/>
      <c r="E2022" s="16"/>
      <c r="F2022" s="17"/>
      <c r="G2022" s="16"/>
      <c r="H2022" s="16"/>
      <c r="I2022" s="16"/>
      <c r="J2022" s="16"/>
      <c r="K2022" s="16"/>
      <c r="L2022" s="16"/>
      <c r="M2022" s="18" t="str">
        <f aca="false">IF(OR(C2022="",D2022=""),"",IF(MOD(COUNTIFS($C$2:C2022,C2022,$D$2:D2022,D2022)*7,10)&lt;3,"teste","treino"))</f>
        <v/>
      </c>
      <c r="N2022" s="16"/>
      <c r="O2022" s="16"/>
      <c r="P2022" s="16"/>
      <c r="Q2022" s="17"/>
    </row>
    <row r="2023" customFormat="false" ht="15" hidden="false" customHeight="false" outlineLevel="0" collapsed="false">
      <c r="A2023" s="15" t="str">
        <f aca="false">IF(B2023="","",ROW()-1)</f>
        <v/>
      </c>
      <c r="B2023" s="16"/>
      <c r="C2023" s="16"/>
      <c r="D2023" s="16"/>
      <c r="E2023" s="16"/>
      <c r="F2023" s="17"/>
      <c r="G2023" s="16"/>
      <c r="H2023" s="16"/>
      <c r="I2023" s="16"/>
      <c r="J2023" s="16"/>
      <c r="K2023" s="16"/>
      <c r="L2023" s="16"/>
      <c r="M2023" s="18" t="str">
        <f aca="false">IF(OR(C2023="",D2023=""),"",IF(MOD(COUNTIFS($C$2:C2023,C2023,$D$2:D2023,D2023)*7,10)&lt;3,"teste","treino"))</f>
        <v/>
      </c>
      <c r="N2023" s="16"/>
      <c r="O2023" s="16"/>
      <c r="P2023" s="16"/>
      <c r="Q2023" s="17"/>
    </row>
    <row r="2024" customFormat="false" ht="15" hidden="false" customHeight="false" outlineLevel="0" collapsed="false">
      <c r="A2024" s="15" t="str">
        <f aca="false">IF(B2024="","",ROW()-1)</f>
        <v/>
      </c>
      <c r="B2024" s="16"/>
      <c r="C2024" s="16"/>
      <c r="D2024" s="16"/>
      <c r="E2024" s="16"/>
      <c r="F2024" s="17"/>
      <c r="G2024" s="16"/>
      <c r="H2024" s="16"/>
      <c r="I2024" s="16"/>
      <c r="J2024" s="16"/>
      <c r="K2024" s="16"/>
      <c r="L2024" s="16"/>
      <c r="M2024" s="18" t="str">
        <f aca="false">IF(OR(C2024="",D2024=""),"",IF(MOD(COUNTIFS($C$2:C2024,C2024,$D$2:D2024,D2024)*7,10)&lt;3,"teste","treino"))</f>
        <v/>
      </c>
      <c r="N2024" s="16"/>
      <c r="O2024" s="16"/>
      <c r="P2024" s="16"/>
      <c r="Q2024" s="17"/>
    </row>
    <row r="2025" customFormat="false" ht="15" hidden="false" customHeight="false" outlineLevel="0" collapsed="false">
      <c r="A2025" s="15" t="str">
        <f aca="false">IF(B2025="","",ROW()-1)</f>
        <v/>
      </c>
      <c r="B2025" s="16"/>
      <c r="C2025" s="16"/>
      <c r="D2025" s="16"/>
      <c r="E2025" s="16"/>
      <c r="F2025" s="17"/>
      <c r="G2025" s="16"/>
      <c r="H2025" s="16"/>
      <c r="I2025" s="16"/>
      <c r="J2025" s="16"/>
      <c r="K2025" s="16"/>
      <c r="L2025" s="16"/>
      <c r="M2025" s="18" t="str">
        <f aca="false">IF(OR(C2025="",D2025=""),"",IF(MOD(COUNTIFS($C$2:C2025,C2025,$D$2:D2025,D2025)*7,10)&lt;3,"teste","treino"))</f>
        <v/>
      </c>
      <c r="N2025" s="16"/>
      <c r="O2025" s="16"/>
      <c r="P2025" s="16"/>
      <c r="Q2025" s="17"/>
    </row>
    <row r="2026" customFormat="false" ht="15" hidden="false" customHeight="false" outlineLevel="0" collapsed="false">
      <c r="A2026" s="15" t="str">
        <f aca="false">IF(B2026="","",ROW()-1)</f>
        <v/>
      </c>
      <c r="B2026" s="16"/>
      <c r="C2026" s="16"/>
      <c r="D2026" s="16"/>
      <c r="E2026" s="16"/>
      <c r="F2026" s="17"/>
      <c r="G2026" s="16"/>
      <c r="H2026" s="16"/>
      <c r="I2026" s="16"/>
      <c r="J2026" s="16"/>
      <c r="K2026" s="16"/>
      <c r="L2026" s="16"/>
      <c r="M2026" s="18" t="str">
        <f aca="false">IF(OR(C2026="",D2026=""),"",IF(MOD(COUNTIFS($C$2:C2026,C2026,$D$2:D2026,D2026)*7,10)&lt;3,"teste","treino"))</f>
        <v/>
      </c>
      <c r="N2026" s="16"/>
      <c r="O2026" s="16"/>
      <c r="P2026" s="16"/>
      <c r="Q2026" s="17"/>
    </row>
    <row r="2027" customFormat="false" ht="15" hidden="false" customHeight="false" outlineLevel="0" collapsed="false">
      <c r="A2027" s="15" t="str">
        <f aca="false">IF(B2027="","",ROW()-1)</f>
        <v/>
      </c>
      <c r="B2027" s="16"/>
      <c r="C2027" s="16"/>
      <c r="D2027" s="16"/>
      <c r="E2027" s="16"/>
      <c r="F2027" s="17"/>
      <c r="G2027" s="16"/>
      <c r="H2027" s="16"/>
      <c r="I2027" s="16"/>
      <c r="J2027" s="16"/>
      <c r="K2027" s="16"/>
      <c r="L2027" s="16"/>
      <c r="M2027" s="18" t="str">
        <f aca="false">IF(OR(C2027="",D2027=""),"",IF(MOD(COUNTIFS($C$2:C2027,C2027,$D$2:D2027,D2027)*7,10)&lt;3,"teste","treino"))</f>
        <v/>
      </c>
      <c r="N2027" s="16"/>
      <c r="O2027" s="16"/>
      <c r="P2027" s="16"/>
      <c r="Q2027" s="17"/>
    </row>
    <row r="2028" customFormat="false" ht="15" hidden="false" customHeight="false" outlineLevel="0" collapsed="false">
      <c r="A2028" s="15" t="str">
        <f aca="false">IF(B2028="","",ROW()-1)</f>
        <v/>
      </c>
      <c r="B2028" s="16"/>
      <c r="C2028" s="16"/>
      <c r="D2028" s="16"/>
      <c r="E2028" s="16"/>
      <c r="F2028" s="17"/>
      <c r="G2028" s="16"/>
      <c r="H2028" s="16"/>
      <c r="I2028" s="16"/>
      <c r="J2028" s="16"/>
      <c r="K2028" s="16"/>
      <c r="L2028" s="16"/>
      <c r="M2028" s="18" t="str">
        <f aca="false">IF(OR(C2028="",D2028=""),"",IF(MOD(COUNTIFS($C$2:C2028,C2028,$D$2:D2028,D2028)*7,10)&lt;3,"teste","treino"))</f>
        <v/>
      </c>
      <c r="N2028" s="16"/>
      <c r="O2028" s="16"/>
      <c r="P2028" s="16"/>
      <c r="Q2028" s="17"/>
    </row>
    <row r="2029" customFormat="false" ht="15" hidden="false" customHeight="false" outlineLevel="0" collapsed="false">
      <c r="A2029" s="15" t="str">
        <f aca="false">IF(B2029="","",ROW()-1)</f>
        <v/>
      </c>
      <c r="B2029" s="16"/>
      <c r="C2029" s="16"/>
      <c r="D2029" s="16"/>
      <c r="E2029" s="16"/>
      <c r="F2029" s="17"/>
      <c r="G2029" s="16"/>
      <c r="H2029" s="16"/>
      <c r="I2029" s="16"/>
      <c r="J2029" s="16"/>
      <c r="K2029" s="16"/>
      <c r="L2029" s="16"/>
      <c r="M2029" s="18" t="str">
        <f aca="false">IF(OR(C2029="",D2029=""),"",IF(MOD(COUNTIFS($C$2:C2029,C2029,$D$2:D2029,D2029)*7,10)&lt;3,"teste","treino"))</f>
        <v/>
      </c>
      <c r="N2029" s="16"/>
      <c r="O2029" s="16"/>
      <c r="P2029" s="16"/>
      <c r="Q2029" s="17"/>
    </row>
    <row r="2030" customFormat="false" ht="15" hidden="false" customHeight="false" outlineLevel="0" collapsed="false">
      <c r="A2030" s="15" t="str">
        <f aca="false">IF(B2030="","",ROW()-1)</f>
        <v/>
      </c>
      <c r="B2030" s="16"/>
      <c r="C2030" s="16"/>
      <c r="D2030" s="16"/>
      <c r="E2030" s="16"/>
      <c r="F2030" s="17"/>
      <c r="G2030" s="16"/>
      <c r="H2030" s="16"/>
      <c r="I2030" s="16"/>
      <c r="J2030" s="16"/>
      <c r="K2030" s="16"/>
      <c r="L2030" s="16"/>
      <c r="M2030" s="18" t="str">
        <f aca="false">IF(OR(C2030="",D2030=""),"",IF(MOD(COUNTIFS($C$2:C2030,C2030,$D$2:D2030,D2030)*7,10)&lt;3,"teste","treino"))</f>
        <v/>
      </c>
      <c r="N2030" s="16"/>
      <c r="O2030" s="16"/>
      <c r="P2030" s="16"/>
      <c r="Q2030" s="17"/>
    </row>
    <row r="2031" customFormat="false" ht="15" hidden="false" customHeight="false" outlineLevel="0" collapsed="false">
      <c r="A2031" s="15" t="str">
        <f aca="false">IF(B2031="","",ROW()-1)</f>
        <v/>
      </c>
      <c r="B2031" s="16"/>
      <c r="C2031" s="16"/>
      <c r="D2031" s="16"/>
      <c r="E2031" s="16"/>
      <c r="F2031" s="17"/>
      <c r="G2031" s="16"/>
      <c r="H2031" s="16"/>
      <c r="I2031" s="16"/>
      <c r="J2031" s="16"/>
      <c r="K2031" s="16"/>
      <c r="L2031" s="16"/>
      <c r="M2031" s="18" t="str">
        <f aca="false">IF(OR(C2031="",D2031=""),"",IF(MOD(COUNTIFS($C$2:C2031,C2031,$D$2:D2031,D2031)*7,10)&lt;3,"teste","treino"))</f>
        <v/>
      </c>
      <c r="N2031" s="16"/>
      <c r="O2031" s="16"/>
      <c r="P2031" s="16"/>
      <c r="Q2031" s="17"/>
    </row>
    <row r="2032" customFormat="false" ht="15" hidden="false" customHeight="false" outlineLevel="0" collapsed="false">
      <c r="A2032" s="15" t="str">
        <f aca="false">IF(B2032="","",ROW()-1)</f>
        <v/>
      </c>
      <c r="B2032" s="16"/>
      <c r="C2032" s="16"/>
      <c r="D2032" s="16"/>
      <c r="E2032" s="16"/>
      <c r="F2032" s="17"/>
      <c r="G2032" s="16"/>
      <c r="H2032" s="16"/>
      <c r="I2032" s="16"/>
      <c r="J2032" s="16"/>
      <c r="K2032" s="16"/>
      <c r="L2032" s="16"/>
      <c r="M2032" s="18" t="str">
        <f aca="false">IF(OR(C2032="",D2032=""),"",IF(MOD(COUNTIFS($C$2:C2032,C2032,$D$2:D2032,D2032)*7,10)&lt;3,"teste","treino"))</f>
        <v/>
      </c>
      <c r="N2032" s="16"/>
      <c r="O2032" s="16"/>
      <c r="P2032" s="16"/>
      <c r="Q2032" s="17"/>
    </row>
    <row r="2033" customFormat="false" ht="15" hidden="false" customHeight="false" outlineLevel="0" collapsed="false">
      <c r="A2033" s="15" t="str">
        <f aca="false">IF(B2033="","",ROW()-1)</f>
        <v/>
      </c>
      <c r="B2033" s="16"/>
      <c r="C2033" s="16"/>
      <c r="D2033" s="16"/>
      <c r="E2033" s="16"/>
      <c r="F2033" s="17"/>
      <c r="G2033" s="16"/>
      <c r="H2033" s="16"/>
      <c r="I2033" s="16"/>
      <c r="J2033" s="16"/>
      <c r="K2033" s="16"/>
      <c r="L2033" s="16"/>
      <c r="M2033" s="18" t="str">
        <f aca="false">IF(OR(C2033="",D2033=""),"",IF(MOD(COUNTIFS($C$2:C2033,C2033,$D$2:D2033,D2033)*7,10)&lt;3,"teste","treino"))</f>
        <v/>
      </c>
      <c r="N2033" s="16"/>
      <c r="O2033" s="16"/>
      <c r="P2033" s="16"/>
      <c r="Q2033" s="17"/>
    </row>
    <row r="2034" customFormat="false" ht="15" hidden="false" customHeight="false" outlineLevel="0" collapsed="false">
      <c r="A2034" s="15" t="str">
        <f aca="false">IF(B2034="","",ROW()-1)</f>
        <v/>
      </c>
      <c r="B2034" s="16"/>
      <c r="C2034" s="16"/>
      <c r="D2034" s="16"/>
      <c r="E2034" s="16"/>
      <c r="F2034" s="17"/>
      <c r="G2034" s="16"/>
      <c r="H2034" s="16"/>
      <c r="I2034" s="16"/>
      <c r="J2034" s="16"/>
      <c r="K2034" s="16"/>
      <c r="L2034" s="16"/>
      <c r="M2034" s="18" t="str">
        <f aca="false">IF(OR(C2034="",D2034=""),"",IF(MOD(COUNTIFS($C$2:C2034,C2034,$D$2:D2034,D2034)*7,10)&lt;3,"teste","treino"))</f>
        <v/>
      </c>
      <c r="N2034" s="16"/>
      <c r="O2034" s="16"/>
      <c r="P2034" s="16"/>
      <c r="Q2034" s="17"/>
    </row>
    <row r="2035" customFormat="false" ht="15" hidden="false" customHeight="false" outlineLevel="0" collapsed="false">
      <c r="A2035" s="15" t="str">
        <f aca="false">IF(B2035="","",ROW()-1)</f>
        <v/>
      </c>
      <c r="B2035" s="16"/>
      <c r="C2035" s="16"/>
      <c r="D2035" s="16"/>
      <c r="E2035" s="16"/>
      <c r="F2035" s="17"/>
      <c r="G2035" s="16"/>
      <c r="H2035" s="16"/>
      <c r="I2035" s="16"/>
      <c r="J2035" s="16"/>
      <c r="K2035" s="16"/>
      <c r="L2035" s="16"/>
      <c r="M2035" s="18" t="str">
        <f aca="false">IF(OR(C2035="",D2035=""),"",IF(MOD(COUNTIFS($C$2:C2035,C2035,$D$2:D2035,D2035)*7,10)&lt;3,"teste","treino"))</f>
        <v/>
      </c>
      <c r="N2035" s="16"/>
      <c r="O2035" s="16"/>
      <c r="P2035" s="16"/>
      <c r="Q2035" s="17"/>
    </row>
    <row r="2036" customFormat="false" ht="15" hidden="false" customHeight="false" outlineLevel="0" collapsed="false">
      <c r="A2036" s="15" t="str">
        <f aca="false">IF(B2036="","",ROW()-1)</f>
        <v/>
      </c>
      <c r="B2036" s="16"/>
      <c r="C2036" s="16"/>
      <c r="D2036" s="16"/>
      <c r="E2036" s="16"/>
      <c r="F2036" s="17"/>
      <c r="G2036" s="16"/>
      <c r="H2036" s="16"/>
      <c r="I2036" s="16"/>
      <c r="J2036" s="16"/>
      <c r="K2036" s="16"/>
      <c r="L2036" s="16"/>
      <c r="M2036" s="18" t="str">
        <f aca="false">IF(OR(C2036="",D2036=""),"",IF(MOD(COUNTIFS($C$2:C2036,C2036,$D$2:D2036,D2036)*7,10)&lt;3,"teste","treino"))</f>
        <v/>
      </c>
      <c r="N2036" s="16"/>
      <c r="O2036" s="16"/>
      <c r="P2036" s="16"/>
      <c r="Q2036" s="17"/>
    </row>
    <row r="2037" customFormat="false" ht="15" hidden="false" customHeight="false" outlineLevel="0" collapsed="false">
      <c r="A2037" s="15" t="str">
        <f aca="false">IF(B2037="","",ROW()-1)</f>
        <v/>
      </c>
      <c r="B2037" s="16"/>
      <c r="C2037" s="16"/>
      <c r="D2037" s="16"/>
      <c r="E2037" s="16"/>
      <c r="F2037" s="17"/>
      <c r="G2037" s="16"/>
      <c r="H2037" s="16"/>
      <c r="I2037" s="16"/>
      <c r="J2037" s="16"/>
      <c r="K2037" s="16"/>
      <c r="L2037" s="16"/>
      <c r="M2037" s="18" t="str">
        <f aca="false">IF(OR(C2037="",D2037=""),"",IF(MOD(COUNTIFS($C$2:C2037,C2037,$D$2:D2037,D2037)*7,10)&lt;3,"teste","treino"))</f>
        <v/>
      </c>
      <c r="N2037" s="16"/>
      <c r="O2037" s="16"/>
      <c r="P2037" s="16"/>
      <c r="Q2037" s="17"/>
    </row>
    <row r="2038" customFormat="false" ht="15" hidden="false" customHeight="false" outlineLevel="0" collapsed="false">
      <c r="A2038" s="15" t="str">
        <f aca="false">IF(B2038="","",ROW()-1)</f>
        <v/>
      </c>
      <c r="B2038" s="16"/>
      <c r="C2038" s="16"/>
      <c r="D2038" s="16"/>
      <c r="E2038" s="16"/>
      <c r="F2038" s="17"/>
      <c r="G2038" s="16"/>
      <c r="H2038" s="16"/>
      <c r="I2038" s="16"/>
      <c r="J2038" s="16"/>
      <c r="K2038" s="16"/>
      <c r="L2038" s="16"/>
      <c r="M2038" s="18" t="str">
        <f aca="false">IF(OR(C2038="",D2038=""),"",IF(MOD(COUNTIFS($C$2:C2038,C2038,$D$2:D2038,D2038)*7,10)&lt;3,"teste","treino"))</f>
        <v/>
      </c>
      <c r="N2038" s="16"/>
      <c r="O2038" s="16"/>
      <c r="P2038" s="16"/>
      <c r="Q2038" s="17"/>
    </row>
    <row r="2039" customFormat="false" ht="15" hidden="false" customHeight="false" outlineLevel="0" collapsed="false">
      <c r="A2039" s="15" t="str">
        <f aca="false">IF(B2039="","",ROW()-1)</f>
        <v/>
      </c>
      <c r="B2039" s="16"/>
      <c r="C2039" s="16"/>
      <c r="D2039" s="16"/>
      <c r="E2039" s="16"/>
      <c r="F2039" s="17"/>
      <c r="G2039" s="16"/>
      <c r="H2039" s="16"/>
      <c r="I2039" s="16"/>
      <c r="J2039" s="16"/>
      <c r="K2039" s="16"/>
      <c r="L2039" s="16"/>
      <c r="M2039" s="18" t="str">
        <f aca="false">IF(OR(C2039="",D2039=""),"",IF(MOD(COUNTIFS($C$2:C2039,C2039,$D$2:D2039,D2039)*7,10)&lt;3,"teste","treino"))</f>
        <v/>
      </c>
      <c r="N2039" s="16"/>
      <c r="O2039" s="16"/>
      <c r="P2039" s="16"/>
      <c r="Q2039" s="17"/>
    </row>
    <row r="2040" customFormat="false" ht="15" hidden="false" customHeight="false" outlineLevel="0" collapsed="false">
      <c r="A2040" s="15" t="str">
        <f aca="false">IF(B2040="","",ROW()-1)</f>
        <v/>
      </c>
      <c r="B2040" s="16"/>
      <c r="C2040" s="16"/>
      <c r="D2040" s="16"/>
      <c r="E2040" s="16"/>
      <c r="F2040" s="17"/>
      <c r="G2040" s="16"/>
      <c r="H2040" s="16"/>
      <c r="I2040" s="16"/>
      <c r="J2040" s="16"/>
      <c r="K2040" s="16"/>
      <c r="L2040" s="16"/>
      <c r="M2040" s="18" t="str">
        <f aca="false">IF(OR(C2040="",D2040=""),"",IF(MOD(COUNTIFS($C$2:C2040,C2040,$D$2:D2040,D2040)*7,10)&lt;3,"teste","treino"))</f>
        <v/>
      </c>
      <c r="N2040" s="16"/>
      <c r="O2040" s="16"/>
      <c r="P2040" s="16"/>
      <c r="Q2040" s="17"/>
    </row>
    <row r="2041" customFormat="false" ht="15" hidden="false" customHeight="false" outlineLevel="0" collapsed="false">
      <c r="A2041" s="15" t="str">
        <f aca="false">IF(B2041="","",ROW()-1)</f>
        <v/>
      </c>
      <c r="B2041" s="16"/>
      <c r="C2041" s="16"/>
      <c r="D2041" s="16"/>
      <c r="E2041" s="16"/>
      <c r="F2041" s="17"/>
      <c r="G2041" s="16"/>
      <c r="H2041" s="16"/>
      <c r="I2041" s="16"/>
      <c r="J2041" s="16"/>
      <c r="K2041" s="16"/>
      <c r="L2041" s="16"/>
      <c r="M2041" s="18" t="str">
        <f aca="false">IF(OR(C2041="",D2041=""),"",IF(MOD(COUNTIFS($C$2:C2041,C2041,$D$2:D2041,D2041)*7,10)&lt;3,"teste","treino"))</f>
        <v/>
      </c>
      <c r="N2041" s="16"/>
      <c r="O2041" s="16"/>
      <c r="P2041" s="16"/>
      <c r="Q2041" s="17"/>
    </row>
    <row r="2042" customFormat="false" ht="15" hidden="false" customHeight="false" outlineLevel="0" collapsed="false">
      <c r="A2042" s="15" t="str">
        <f aca="false">IF(B2042="","",ROW()-1)</f>
        <v/>
      </c>
      <c r="B2042" s="16"/>
      <c r="C2042" s="16"/>
      <c r="D2042" s="16"/>
      <c r="E2042" s="16"/>
      <c r="F2042" s="17"/>
      <c r="G2042" s="16"/>
      <c r="H2042" s="16"/>
      <c r="I2042" s="16"/>
      <c r="J2042" s="16"/>
      <c r="K2042" s="16"/>
      <c r="L2042" s="16"/>
      <c r="M2042" s="18" t="str">
        <f aca="false">IF(OR(C2042="",D2042=""),"",IF(MOD(COUNTIFS($C$2:C2042,C2042,$D$2:D2042,D2042)*7,10)&lt;3,"teste","treino"))</f>
        <v/>
      </c>
      <c r="N2042" s="16"/>
      <c r="O2042" s="16"/>
      <c r="P2042" s="16"/>
      <c r="Q2042" s="17"/>
    </row>
    <row r="2043" customFormat="false" ht="15" hidden="false" customHeight="false" outlineLevel="0" collapsed="false">
      <c r="A2043" s="15" t="str">
        <f aca="false">IF(B2043="","",ROW()-1)</f>
        <v/>
      </c>
      <c r="B2043" s="16"/>
      <c r="C2043" s="16"/>
      <c r="D2043" s="16"/>
      <c r="E2043" s="16"/>
      <c r="F2043" s="17"/>
      <c r="G2043" s="16"/>
      <c r="H2043" s="16"/>
      <c r="I2043" s="16"/>
      <c r="J2043" s="16"/>
      <c r="K2043" s="16"/>
      <c r="L2043" s="16"/>
      <c r="M2043" s="18" t="str">
        <f aca="false">IF(OR(C2043="",D2043=""),"",IF(MOD(COUNTIFS($C$2:C2043,C2043,$D$2:D2043,D2043)*7,10)&lt;3,"teste","treino"))</f>
        <v/>
      </c>
      <c r="N2043" s="16"/>
      <c r="O2043" s="16"/>
      <c r="P2043" s="16"/>
      <c r="Q2043" s="17"/>
    </row>
    <row r="2044" customFormat="false" ht="15" hidden="false" customHeight="false" outlineLevel="0" collapsed="false">
      <c r="A2044" s="15" t="str">
        <f aca="false">IF(B2044="","",ROW()-1)</f>
        <v/>
      </c>
      <c r="B2044" s="16"/>
      <c r="C2044" s="16"/>
      <c r="D2044" s="16"/>
      <c r="E2044" s="16"/>
      <c r="F2044" s="17"/>
      <c r="G2044" s="16"/>
      <c r="H2044" s="16"/>
      <c r="I2044" s="16"/>
      <c r="J2044" s="16"/>
      <c r="K2044" s="16"/>
      <c r="L2044" s="16"/>
      <c r="M2044" s="18" t="str">
        <f aca="false">IF(OR(C2044="",D2044=""),"",IF(MOD(COUNTIFS($C$2:C2044,C2044,$D$2:D2044,D2044)*7,10)&lt;3,"teste","treino"))</f>
        <v/>
      </c>
      <c r="N2044" s="16"/>
      <c r="O2044" s="16"/>
      <c r="P2044" s="16"/>
      <c r="Q2044" s="17"/>
    </row>
    <row r="2045" customFormat="false" ht="15" hidden="false" customHeight="false" outlineLevel="0" collapsed="false">
      <c r="A2045" s="15" t="str">
        <f aca="false">IF(B2045="","",ROW()-1)</f>
        <v/>
      </c>
      <c r="B2045" s="16"/>
      <c r="C2045" s="16"/>
      <c r="D2045" s="16"/>
      <c r="E2045" s="16"/>
      <c r="F2045" s="17"/>
      <c r="G2045" s="16"/>
      <c r="H2045" s="16"/>
      <c r="I2045" s="16"/>
      <c r="J2045" s="16"/>
      <c r="K2045" s="16"/>
      <c r="L2045" s="16"/>
      <c r="M2045" s="18" t="str">
        <f aca="false">IF(OR(C2045="",D2045=""),"",IF(MOD(COUNTIFS($C$2:C2045,C2045,$D$2:D2045,D2045)*7,10)&lt;3,"teste","treino"))</f>
        <v/>
      </c>
      <c r="N2045" s="16"/>
      <c r="O2045" s="16"/>
      <c r="P2045" s="16"/>
      <c r="Q2045" s="17"/>
    </row>
    <row r="2046" customFormat="false" ht="15" hidden="false" customHeight="false" outlineLevel="0" collapsed="false">
      <c r="A2046" s="15" t="str">
        <f aca="false">IF(B2046="","",ROW()-1)</f>
        <v/>
      </c>
      <c r="B2046" s="16"/>
      <c r="C2046" s="16"/>
      <c r="D2046" s="16"/>
      <c r="E2046" s="16"/>
      <c r="F2046" s="17"/>
      <c r="G2046" s="16"/>
      <c r="H2046" s="16"/>
      <c r="I2046" s="16"/>
      <c r="J2046" s="16"/>
      <c r="K2046" s="16"/>
      <c r="L2046" s="16"/>
      <c r="M2046" s="18" t="str">
        <f aca="false">IF(OR(C2046="",D2046=""),"",IF(MOD(COUNTIFS($C$2:C2046,C2046,$D$2:D2046,D2046)*7,10)&lt;3,"teste","treino"))</f>
        <v/>
      </c>
      <c r="N2046" s="16"/>
      <c r="O2046" s="16"/>
      <c r="P2046" s="16"/>
      <c r="Q2046" s="17"/>
    </row>
    <row r="2047" customFormat="false" ht="15" hidden="false" customHeight="false" outlineLevel="0" collapsed="false">
      <c r="A2047" s="15" t="str">
        <f aca="false">IF(B2047="","",ROW()-1)</f>
        <v/>
      </c>
      <c r="B2047" s="16"/>
      <c r="C2047" s="16"/>
      <c r="D2047" s="16"/>
      <c r="E2047" s="16"/>
      <c r="F2047" s="17"/>
      <c r="G2047" s="16"/>
      <c r="H2047" s="16"/>
      <c r="I2047" s="16"/>
      <c r="J2047" s="16"/>
      <c r="K2047" s="16"/>
      <c r="L2047" s="16"/>
      <c r="M2047" s="18" t="str">
        <f aca="false">IF(OR(C2047="",D2047=""),"",IF(MOD(COUNTIFS($C$2:C2047,C2047,$D$2:D2047,D2047)*7,10)&lt;3,"teste","treino"))</f>
        <v/>
      </c>
      <c r="N2047" s="16"/>
      <c r="O2047" s="16"/>
      <c r="P2047" s="16"/>
      <c r="Q2047" s="17"/>
    </row>
    <row r="2048" customFormat="false" ht="15" hidden="false" customHeight="false" outlineLevel="0" collapsed="false">
      <c r="A2048" s="15" t="str">
        <f aca="false">IF(B2048="","",ROW()-1)</f>
        <v/>
      </c>
      <c r="B2048" s="16"/>
      <c r="C2048" s="16"/>
      <c r="D2048" s="16"/>
      <c r="E2048" s="16"/>
      <c r="F2048" s="17"/>
      <c r="G2048" s="16"/>
      <c r="H2048" s="16"/>
      <c r="I2048" s="16"/>
      <c r="J2048" s="16"/>
      <c r="K2048" s="16"/>
      <c r="L2048" s="16"/>
      <c r="M2048" s="18" t="str">
        <f aca="false">IF(OR(C2048="",D2048=""),"",IF(MOD(COUNTIFS($C$2:C2048,C2048,$D$2:D2048,D2048)*7,10)&lt;3,"teste","treino"))</f>
        <v/>
      </c>
      <c r="N2048" s="16"/>
      <c r="O2048" s="16"/>
      <c r="P2048" s="16"/>
      <c r="Q2048" s="17"/>
    </row>
    <row r="2049" customFormat="false" ht="15" hidden="false" customHeight="false" outlineLevel="0" collapsed="false">
      <c r="A2049" s="15" t="str">
        <f aca="false">IF(B2049="","",ROW()-1)</f>
        <v/>
      </c>
      <c r="B2049" s="16"/>
      <c r="C2049" s="16"/>
      <c r="D2049" s="16"/>
      <c r="E2049" s="16"/>
      <c r="F2049" s="17"/>
      <c r="G2049" s="16"/>
      <c r="H2049" s="16"/>
      <c r="I2049" s="16"/>
      <c r="J2049" s="16"/>
      <c r="K2049" s="16"/>
      <c r="L2049" s="16"/>
      <c r="M2049" s="18" t="str">
        <f aca="false">IF(OR(C2049="",D2049=""),"",IF(MOD(COUNTIFS($C$2:C2049,C2049,$D$2:D2049,D2049)*7,10)&lt;3,"teste","treino"))</f>
        <v/>
      </c>
      <c r="N2049" s="16"/>
      <c r="O2049" s="16"/>
      <c r="P2049" s="16"/>
      <c r="Q2049" s="17"/>
    </row>
    <row r="2050" customFormat="false" ht="15" hidden="false" customHeight="false" outlineLevel="0" collapsed="false">
      <c r="A2050" s="15" t="str">
        <f aca="false">IF(B2050="","",ROW()-1)</f>
        <v/>
      </c>
      <c r="B2050" s="16"/>
      <c r="C2050" s="16"/>
      <c r="D2050" s="16"/>
      <c r="E2050" s="16"/>
      <c r="F2050" s="17"/>
      <c r="G2050" s="16"/>
      <c r="H2050" s="16"/>
      <c r="I2050" s="16"/>
      <c r="J2050" s="16"/>
      <c r="K2050" s="16"/>
      <c r="L2050" s="16"/>
      <c r="M2050" s="18" t="str">
        <f aca="false">IF(OR(C2050="",D2050=""),"",IF(MOD(COUNTIFS($C$2:C2050,C2050,$D$2:D2050,D2050)*7,10)&lt;3,"teste","treino"))</f>
        <v/>
      </c>
      <c r="N2050" s="16"/>
      <c r="O2050" s="16"/>
      <c r="P2050" s="16"/>
      <c r="Q2050" s="17"/>
    </row>
    <row r="2051" customFormat="false" ht="15" hidden="false" customHeight="false" outlineLevel="0" collapsed="false">
      <c r="A2051" s="15" t="str">
        <f aca="false">IF(B2051="","",ROW()-1)</f>
        <v/>
      </c>
      <c r="B2051" s="16"/>
      <c r="C2051" s="16"/>
      <c r="D2051" s="16"/>
      <c r="E2051" s="16"/>
      <c r="F2051" s="17"/>
      <c r="G2051" s="16"/>
      <c r="H2051" s="16"/>
      <c r="I2051" s="16"/>
      <c r="J2051" s="16"/>
      <c r="K2051" s="16"/>
      <c r="L2051" s="16"/>
      <c r="M2051" s="18" t="str">
        <f aca="false">IF(OR(C2051="",D2051=""),"",IF(MOD(COUNTIFS($C$2:C2051,C2051,$D$2:D2051,D2051)*7,10)&lt;3,"teste","treino"))</f>
        <v/>
      </c>
      <c r="N2051" s="16"/>
      <c r="O2051" s="16"/>
      <c r="P2051" s="16"/>
      <c r="Q2051" s="17"/>
    </row>
    <row r="2052" customFormat="false" ht="15" hidden="false" customHeight="false" outlineLevel="0" collapsed="false">
      <c r="A2052" s="15" t="str">
        <f aca="false">IF(B2052="","",ROW()-1)</f>
        <v/>
      </c>
      <c r="B2052" s="16"/>
      <c r="C2052" s="16"/>
      <c r="D2052" s="16"/>
      <c r="E2052" s="16"/>
      <c r="F2052" s="17"/>
      <c r="G2052" s="16"/>
      <c r="H2052" s="16"/>
      <c r="I2052" s="16"/>
      <c r="J2052" s="16"/>
      <c r="K2052" s="16"/>
      <c r="L2052" s="16"/>
      <c r="M2052" s="18" t="str">
        <f aca="false">IF(OR(C2052="",D2052=""),"",IF(MOD(COUNTIFS($C$2:C2052,C2052,$D$2:D2052,D2052)*7,10)&lt;3,"teste","treino"))</f>
        <v/>
      </c>
      <c r="N2052" s="16"/>
      <c r="O2052" s="16"/>
      <c r="P2052" s="16"/>
      <c r="Q2052" s="17"/>
    </row>
    <row r="2053" customFormat="false" ht="15" hidden="false" customHeight="false" outlineLevel="0" collapsed="false">
      <c r="A2053" s="15" t="str">
        <f aca="false">IF(B2053="","",ROW()-1)</f>
        <v/>
      </c>
      <c r="B2053" s="16"/>
      <c r="C2053" s="16"/>
      <c r="D2053" s="16"/>
      <c r="E2053" s="16"/>
      <c r="F2053" s="17"/>
      <c r="G2053" s="16"/>
      <c r="H2053" s="16"/>
      <c r="I2053" s="16"/>
      <c r="J2053" s="16"/>
      <c r="K2053" s="16"/>
      <c r="L2053" s="16"/>
      <c r="M2053" s="18" t="str">
        <f aca="false">IF(OR(C2053="",D2053=""),"",IF(MOD(COUNTIFS($C$2:C2053,C2053,$D$2:D2053,D2053)*7,10)&lt;3,"teste","treino"))</f>
        <v/>
      </c>
      <c r="N2053" s="16"/>
      <c r="O2053" s="16"/>
      <c r="P2053" s="16"/>
      <c r="Q2053" s="17"/>
    </row>
    <row r="2054" customFormat="false" ht="15" hidden="false" customHeight="false" outlineLevel="0" collapsed="false">
      <c r="A2054" s="15" t="str">
        <f aca="false">IF(B2054="","",ROW()-1)</f>
        <v/>
      </c>
      <c r="B2054" s="16"/>
      <c r="C2054" s="16"/>
      <c r="D2054" s="16"/>
      <c r="E2054" s="16"/>
      <c r="F2054" s="17"/>
      <c r="G2054" s="16"/>
      <c r="H2054" s="16"/>
      <c r="I2054" s="16"/>
      <c r="J2054" s="16"/>
      <c r="K2054" s="16"/>
      <c r="L2054" s="16"/>
      <c r="M2054" s="18" t="str">
        <f aca="false">IF(OR(C2054="",D2054=""),"",IF(MOD(COUNTIFS($C$2:C2054,C2054,$D$2:D2054,D2054)*7,10)&lt;3,"teste","treino"))</f>
        <v/>
      </c>
      <c r="N2054" s="16"/>
      <c r="O2054" s="16"/>
      <c r="P2054" s="16"/>
      <c r="Q2054" s="17"/>
    </row>
    <row r="2055" customFormat="false" ht="15" hidden="false" customHeight="false" outlineLevel="0" collapsed="false">
      <c r="A2055" s="15" t="str">
        <f aca="false">IF(B2055="","",ROW()-1)</f>
        <v/>
      </c>
      <c r="B2055" s="16"/>
      <c r="C2055" s="16"/>
      <c r="D2055" s="16"/>
      <c r="E2055" s="16"/>
      <c r="F2055" s="17"/>
      <c r="G2055" s="16"/>
      <c r="H2055" s="16"/>
      <c r="I2055" s="16"/>
      <c r="J2055" s="16"/>
      <c r="K2055" s="16"/>
      <c r="L2055" s="16"/>
      <c r="M2055" s="18" t="str">
        <f aca="false">IF(OR(C2055="",D2055=""),"",IF(MOD(COUNTIFS($C$2:C2055,C2055,$D$2:D2055,D2055)*7,10)&lt;3,"teste","treino"))</f>
        <v/>
      </c>
      <c r="N2055" s="16"/>
      <c r="O2055" s="16"/>
      <c r="P2055" s="16"/>
      <c r="Q2055" s="17"/>
    </row>
    <row r="2056" customFormat="false" ht="15" hidden="false" customHeight="false" outlineLevel="0" collapsed="false">
      <c r="A2056" s="15" t="str">
        <f aca="false">IF(B2056="","",ROW()-1)</f>
        <v/>
      </c>
      <c r="B2056" s="16"/>
      <c r="C2056" s="16"/>
      <c r="D2056" s="16"/>
      <c r="E2056" s="16"/>
      <c r="F2056" s="17"/>
      <c r="G2056" s="16"/>
      <c r="H2056" s="16"/>
      <c r="I2056" s="16"/>
      <c r="J2056" s="16"/>
      <c r="K2056" s="16"/>
      <c r="L2056" s="16"/>
      <c r="M2056" s="18" t="str">
        <f aca="false">IF(OR(C2056="",D2056=""),"",IF(MOD(COUNTIFS($C$2:C2056,C2056,$D$2:D2056,D2056)*7,10)&lt;3,"teste","treino"))</f>
        <v/>
      </c>
      <c r="N2056" s="16"/>
      <c r="O2056" s="16"/>
      <c r="P2056" s="16"/>
      <c r="Q2056" s="17"/>
    </row>
    <row r="2057" customFormat="false" ht="15" hidden="false" customHeight="false" outlineLevel="0" collapsed="false">
      <c r="A2057" s="15" t="str">
        <f aca="false">IF(B2057="","",ROW()-1)</f>
        <v/>
      </c>
      <c r="B2057" s="16"/>
      <c r="C2057" s="16"/>
      <c r="D2057" s="16"/>
      <c r="E2057" s="16"/>
      <c r="F2057" s="17"/>
      <c r="G2057" s="16"/>
      <c r="H2057" s="16"/>
      <c r="I2057" s="16"/>
      <c r="J2057" s="16"/>
      <c r="K2057" s="16"/>
      <c r="L2057" s="16"/>
      <c r="M2057" s="18" t="str">
        <f aca="false">IF(OR(C2057="",D2057=""),"",IF(MOD(COUNTIFS($C$2:C2057,C2057,$D$2:D2057,D2057)*7,10)&lt;3,"teste","treino"))</f>
        <v/>
      </c>
      <c r="N2057" s="16"/>
      <c r="O2057" s="16"/>
      <c r="P2057" s="16"/>
      <c r="Q2057" s="17"/>
    </row>
    <row r="2058" customFormat="false" ht="15" hidden="false" customHeight="false" outlineLevel="0" collapsed="false">
      <c r="A2058" s="15" t="str">
        <f aca="false">IF(B2058="","",ROW()-1)</f>
        <v/>
      </c>
      <c r="B2058" s="16"/>
      <c r="C2058" s="16"/>
      <c r="D2058" s="16"/>
      <c r="E2058" s="16"/>
      <c r="F2058" s="17"/>
      <c r="G2058" s="16"/>
      <c r="H2058" s="16"/>
      <c r="I2058" s="16"/>
      <c r="J2058" s="16"/>
      <c r="K2058" s="16"/>
      <c r="L2058" s="16"/>
      <c r="M2058" s="18" t="str">
        <f aca="false">IF(OR(C2058="",D2058=""),"",IF(MOD(COUNTIFS($C$2:C2058,C2058,$D$2:D2058,D2058)*7,10)&lt;3,"teste","treino"))</f>
        <v/>
      </c>
      <c r="N2058" s="16"/>
      <c r="O2058" s="16"/>
      <c r="P2058" s="16"/>
      <c r="Q2058" s="17"/>
    </row>
    <row r="2059" customFormat="false" ht="15" hidden="false" customHeight="false" outlineLevel="0" collapsed="false">
      <c r="A2059" s="15" t="str">
        <f aca="false">IF(B2059="","",ROW()-1)</f>
        <v/>
      </c>
      <c r="B2059" s="16"/>
      <c r="C2059" s="16"/>
      <c r="D2059" s="16"/>
      <c r="E2059" s="16"/>
      <c r="F2059" s="17"/>
      <c r="G2059" s="16"/>
      <c r="H2059" s="16"/>
      <c r="I2059" s="16"/>
      <c r="J2059" s="16"/>
      <c r="K2059" s="16"/>
      <c r="L2059" s="16"/>
      <c r="M2059" s="18" t="str">
        <f aca="false">IF(OR(C2059="",D2059=""),"",IF(MOD(COUNTIFS($C$2:C2059,C2059,$D$2:D2059,D2059)*7,10)&lt;3,"teste","treino"))</f>
        <v/>
      </c>
      <c r="N2059" s="16"/>
      <c r="O2059" s="16"/>
      <c r="P2059" s="16"/>
      <c r="Q2059" s="17"/>
    </row>
    <row r="2060" customFormat="false" ht="15" hidden="false" customHeight="false" outlineLevel="0" collapsed="false">
      <c r="A2060" s="15" t="str">
        <f aca="false">IF(B2060="","",ROW()-1)</f>
        <v/>
      </c>
      <c r="B2060" s="16"/>
      <c r="C2060" s="16"/>
      <c r="D2060" s="16"/>
      <c r="E2060" s="16"/>
      <c r="F2060" s="17"/>
      <c r="G2060" s="16"/>
      <c r="H2060" s="16"/>
      <c r="I2060" s="16"/>
      <c r="J2060" s="16"/>
      <c r="K2060" s="16"/>
      <c r="L2060" s="16"/>
      <c r="M2060" s="18" t="str">
        <f aca="false">IF(OR(C2060="",D2060=""),"",IF(MOD(COUNTIFS($C$2:C2060,C2060,$D$2:D2060,D2060)*7,10)&lt;3,"teste","treino"))</f>
        <v/>
      </c>
      <c r="N2060" s="16"/>
      <c r="O2060" s="16"/>
      <c r="P2060" s="16"/>
      <c r="Q2060" s="17"/>
    </row>
    <row r="2061" customFormat="false" ht="15" hidden="false" customHeight="false" outlineLevel="0" collapsed="false">
      <c r="A2061" s="15" t="str">
        <f aca="false">IF(B2061="","",ROW()-1)</f>
        <v/>
      </c>
      <c r="B2061" s="16"/>
      <c r="C2061" s="16"/>
      <c r="D2061" s="16"/>
      <c r="E2061" s="16"/>
      <c r="F2061" s="17"/>
      <c r="G2061" s="16"/>
      <c r="H2061" s="16"/>
      <c r="I2061" s="16"/>
      <c r="J2061" s="16"/>
      <c r="K2061" s="16"/>
      <c r="L2061" s="16"/>
      <c r="M2061" s="18" t="str">
        <f aca="false">IF(OR(C2061="",D2061=""),"",IF(MOD(COUNTIFS($C$2:C2061,C2061,$D$2:D2061,D2061)*7,10)&lt;3,"teste","treino"))</f>
        <v/>
      </c>
      <c r="N2061" s="16"/>
      <c r="O2061" s="16"/>
      <c r="P2061" s="16"/>
      <c r="Q2061" s="17"/>
    </row>
    <row r="2062" customFormat="false" ht="15" hidden="false" customHeight="false" outlineLevel="0" collapsed="false">
      <c r="A2062" s="15" t="str">
        <f aca="false">IF(B2062="","",ROW()-1)</f>
        <v/>
      </c>
      <c r="B2062" s="16"/>
      <c r="C2062" s="16"/>
      <c r="D2062" s="16"/>
      <c r="E2062" s="16"/>
      <c r="F2062" s="17"/>
      <c r="G2062" s="16"/>
      <c r="H2062" s="16"/>
      <c r="I2062" s="16"/>
      <c r="J2062" s="16"/>
      <c r="K2062" s="16"/>
      <c r="L2062" s="16"/>
      <c r="M2062" s="18" t="str">
        <f aca="false">IF(OR(C2062="",D2062=""),"",IF(MOD(COUNTIFS($C$2:C2062,C2062,$D$2:D2062,D2062)*7,10)&lt;3,"teste","treino"))</f>
        <v/>
      </c>
      <c r="N2062" s="16"/>
      <c r="O2062" s="16"/>
      <c r="P2062" s="16"/>
      <c r="Q2062" s="17"/>
    </row>
    <row r="2063" customFormat="false" ht="15" hidden="false" customHeight="false" outlineLevel="0" collapsed="false">
      <c r="A2063" s="15" t="str">
        <f aca="false">IF(B2063="","",ROW()-1)</f>
        <v/>
      </c>
      <c r="B2063" s="16"/>
      <c r="C2063" s="16"/>
      <c r="D2063" s="16"/>
      <c r="E2063" s="16"/>
      <c r="F2063" s="17"/>
      <c r="G2063" s="16"/>
      <c r="H2063" s="16"/>
      <c r="I2063" s="16"/>
      <c r="J2063" s="16"/>
      <c r="K2063" s="16"/>
      <c r="L2063" s="16"/>
      <c r="M2063" s="18" t="str">
        <f aca="false">IF(OR(C2063="",D2063=""),"",IF(MOD(COUNTIFS($C$2:C2063,C2063,$D$2:D2063,D2063)*7,10)&lt;3,"teste","treino"))</f>
        <v/>
      </c>
      <c r="N2063" s="16"/>
      <c r="O2063" s="16"/>
      <c r="P2063" s="16"/>
      <c r="Q2063" s="17"/>
    </row>
    <row r="2064" customFormat="false" ht="15" hidden="false" customHeight="false" outlineLevel="0" collapsed="false">
      <c r="A2064" s="15" t="str">
        <f aca="false">IF(B2064="","",ROW()-1)</f>
        <v/>
      </c>
      <c r="B2064" s="16"/>
      <c r="C2064" s="16"/>
      <c r="D2064" s="16"/>
      <c r="E2064" s="16"/>
      <c r="F2064" s="17"/>
      <c r="G2064" s="16"/>
      <c r="H2064" s="16"/>
      <c r="I2064" s="16"/>
      <c r="J2064" s="16"/>
      <c r="K2064" s="16"/>
      <c r="L2064" s="16"/>
      <c r="M2064" s="18" t="str">
        <f aca="false">IF(OR(C2064="",D2064=""),"",IF(MOD(COUNTIFS($C$2:C2064,C2064,$D$2:D2064,D2064)*7,10)&lt;3,"teste","treino"))</f>
        <v/>
      </c>
      <c r="N2064" s="16"/>
      <c r="O2064" s="16"/>
      <c r="P2064" s="16"/>
      <c r="Q2064" s="17"/>
    </row>
    <row r="2065" customFormat="false" ht="15" hidden="false" customHeight="false" outlineLevel="0" collapsed="false">
      <c r="A2065" s="15" t="str">
        <f aca="false">IF(B2065="","",ROW()-1)</f>
        <v/>
      </c>
      <c r="B2065" s="16"/>
      <c r="C2065" s="16"/>
      <c r="D2065" s="16"/>
      <c r="E2065" s="16"/>
      <c r="F2065" s="17"/>
      <c r="G2065" s="16"/>
      <c r="H2065" s="16"/>
      <c r="I2065" s="16"/>
      <c r="J2065" s="16"/>
      <c r="K2065" s="16"/>
      <c r="L2065" s="16"/>
      <c r="M2065" s="18" t="str">
        <f aca="false">IF(OR(C2065="",D2065=""),"",IF(MOD(COUNTIFS($C$2:C2065,C2065,$D$2:D2065,D2065)*7,10)&lt;3,"teste","treino"))</f>
        <v/>
      </c>
      <c r="N2065" s="16"/>
      <c r="O2065" s="16"/>
      <c r="P2065" s="16"/>
      <c r="Q2065" s="17"/>
    </row>
    <row r="2066" customFormat="false" ht="15" hidden="false" customHeight="false" outlineLevel="0" collapsed="false">
      <c r="A2066" s="15" t="str">
        <f aca="false">IF(B2066="","",ROW()-1)</f>
        <v/>
      </c>
      <c r="B2066" s="16"/>
      <c r="C2066" s="16"/>
      <c r="D2066" s="16"/>
      <c r="E2066" s="16"/>
      <c r="F2066" s="17"/>
      <c r="G2066" s="16"/>
      <c r="H2066" s="16"/>
      <c r="I2066" s="16"/>
      <c r="J2066" s="16"/>
      <c r="K2066" s="16"/>
      <c r="L2066" s="16"/>
      <c r="M2066" s="18" t="str">
        <f aca="false">IF(OR(C2066="",D2066=""),"",IF(MOD(COUNTIFS($C$2:C2066,C2066,$D$2:D2066,D2066)*7,10)&lt;3,"teste","treino"))</f>
        <v/>
      </c>
      <c r="N2066" s="16"/>
      <c r="O2066" s="16"/>
      <c r="P2066" s="16"/>
      <c r="Q2066" s="17"/>
    </row>
    <row r="2067" customFormat="false" ht="15" hidden="false" customHeight="false" outlineLevel="0" collapsed="false">
      <c r="A2067" s="15" t="str">
        <f aca="false">IF(B2067="","",ROW()-1)</f>
        <v/>
      </c>
      <c r="B2067" s="16"/>
      <c r="C2067" s="16"/>
      <c r="D2067" s="16"/>
      <c r="E2067" s="16"/>
      <c r="F2067" s="17"/>
      <c r="G2067" s="16"/>
      <c r="H2067" s="16"/>
      <c r="I2067" s="16"/>
      <c r="J2067" s="16"/>
      <c r="K2067" s="16"/>
      <c r="L2067" s="16"/>
      <c r="M2067" s="18" t="str">
        <f aca="false">IF(OR(C2067="",D2067=""),"",IF(MOD(COUNTIFS($C$2:C2067,C2067,$D$2:D2067,D2067)*7,10)&lt;3,"teste","treino"))</f>
        <v/>
      </c>
      <c r="N2067" s="16"/>
      <c r="O2067" s="16"/>
      <c r="P2067" s="16"/>
      <c r="Q2067" s="17"/>
    </row>
    <row r="2068" customFormat="false" ht="15" hidden="false" customHeight="false" outlineLevel="0" collapsed="false">
      <c r="A2068" s="15" t="str">
        <f aca="false">IF(B2068="","",ROW()-1)</f>
        <v/>
      </c>
      <c r="B2068" s="16"/>
      <c r="C2068" s="16"/>
      <c r="D2068" s="16"/>
      <c r="E2068" s="16"/>
      <c r="F2068" s="17"/>
      <c r="G2068" s="16"/>
      <c r="H2068" s="16"/>
      <c r="I2068" s="16"/>
      <c r="J2068" s="16"/>
      <c r="K2068" s="16"/>
      <c r="L2068" s="16"/>
      <c r="M2068" s="18" t="str">
        <f aca="false">IF(OR(C2068="",D2068=""),"",IF(MOD(COUNTIFS($C$2:C2068,C2068,$D$2:D2068,D2068)*7,10)&lt;3,"teste","treino"))</f>
        <v/>
      </c>
      <c r="N2068" s="16"/>
      <c r="O2068" s="16"/>
      <c r="P2068" s="16"/>
      <c r="Q2068" s="17"/>
    </row>
    <row r="2069" customFormat="false" ht="15" hidden="false" customHeight="false" outlineLevel="0" collapsed="false">
      <c r="A2069" s="15" t="str">
        <f aca="false">IF(B2069="","",ROW()-1)</f>
        <v/>
      </c>
      <c r="B2069" s="16"/>
      <c r="C2069" s="16"/>
      <c r="D2069" s="16"/>
      <c r="E2069" s="16"/>
      <c r="F2069" s="17"/>
      <c r="G2069" s="16"/>
      <c r="H2069" s="16"/>
      <c r="I2069" s="16"/>
      <c r="J2069" s="16"/>
      <c r="K2069" s="16"/>
      <c r="L2069" s="16"/>
      <c r="M2069" s="18" t="str">
        <f aca="false">IF(OR(C2069="",D2069=""),"",IF(MOD(COUNTIFS($C$2:C2069,C2069,$D$2:D2069,D2069)*7,10)&lt;3,"teste","treino"))</f>
        <v/>
      </c>
      <c r="N2069" s="16"/>
      <c r="O2069" s="16"/>
      <c r="P2069" s="16"/>
      <c r="Q2069" s="17"/>
    </row>
    <row r="2070" customFormat="false" ht="15" hidden="false" customHeight="false" outlineLevel="0" collapsed="false">
      <c r="A2070" s="15" t="str">
        <f aca="false">IF(B2070="","",ROW()-1)</f>
        <v/>
      </c>
      <c r="B2070" s="16"/>
      <c r="C2070" s="16"/>
      <c r="D2070" s="16"/>
      <c r="E2070" s="16"/>
      <c r="F2070" s="17"/>
      <c r="G2070" s="16"/>
      <c r="H2070" s="16"/>
      <c r="I2070" s="16"/>
      <c r="J2070" s="16"/>
      <c r="K2070" s="16"/>
      <c r="L2070" s="16"/>
      <c r="M2070" s="18" t="str">
        <f aca="false">IF(OR(C2070="",D2070=""),"",IF(MOD(COUNTIFS($C$2:C2070,C2070,$D$2:D2070,D2070)*7,10)&lt;3,"teste","treino"))</f>
        <v/>
      </c>
      <c r="N2070" s="16"/>
      <c r="O2070" s="16"/>
      <c r="P2070" s="16"/>
      <c r="Q2070" s="17"/>
    </row>
    <row r="2071" customFormat="false" ht="15" hidden="false" customHeight="false" outlineLevel="0" collapsed="false">
      <c r="A2071" s="15" t="str">
        <f aca="false">IF(B2071="","",ROW()-1)</f>
        <v/>
      </c>
      <c r="B2071" s="16"/>
      <c r="C2071" s="16"/>
      <c r="D2071" s="16"/>
      <c r="E2071" s="16"/>
      <c r="F2071" s="17"/>
      <c r="G2071" s="16"/>
      <c r="H2071" s="16"/>
      <c r="I2071" s="16"/>
      <c r="J2071" s="16"/>
      <c r="K2071" s="16"/>
      <c r="L2071" s="16"/>
      <c r="M2071" s="18" t="str">
        <f aca="false">IF(OR(C2071="",D2071=""),"",IF(MOD(COUNTIFS($C$2:C2071,C2071,$D$2:D2071,D2071)*7,10)&lt;3,"teste","treino"))</f>
        <v/>
      </c>
      <c r="N2071" s="16"/>
      <c r="O2071" s="16"/>
      <c r="P2071" s="16"/>
      <c r="Q2071" s="17"/>
    </row>
    <row r="2072" customFormat="false" ht="15" hidden="false" customHeight="false" outlineLevel="0" collapsed="false">
      <c r="A2072" s="15" t="str">
        <f aca="false">IF(B2072="","",ROW()-1)</f>
        <v/>
      </c>
      <c r="B2072" s="16"/>
      <c r="C2072" s="16"/>
      <c r="D2072" s="16"/>
      <c r="E2072" s="16"/>
      <c r="F2072" s="17"/>
      <c r="G2072" s="16"/>
      <c r="H2072" s="16"/>
      <c r="I2072" s="16"/>
      <c r="J2072" s="16"/>
      <c r="K2072" s="16"/>
      <c r="L2072" s="16"/>
      <c r="M2072" s="18" t="str">
        <f aca="false">IF(OR(C2072="",D2072=""),"",IF(MOD(COUNTIFS($C$2:C2072,C2072,$D$2:D2072,D2072)*7,10)&lt;3,"teste","treino"))</f>
        <v/>
      </c>
      <c r="N2072" s="16"/>
      <c r="O2072" s="16"/>
      <c r="P2072" s="16"/>
      <c r="Q2072" s="17"/>
    </row>
    <row r="2073" customFormat="false" ht="15" hidden="false" customHeight="false" outlineLevel="0" collapsed="false">
      <c r="A2073" s="15" t="str">
        <f aca="false">IF(B2073="","",ROW()-1)</f>
        <v/>
      </c>
      <c r="B2073" s="16"/>
      <c r="C2073" s="16"/>
      <c r="D2073" s="16"/>
      <c r="E2073" s="16"/>
      <c r="F2073" s="17"/>
      <c r="G2073" s="16"/>
      <c r="H2073" s="16"/>
      <c r="I2073" s="16"/>
      <c r="J2073" s="16"/>
      <c r="K2073" s="16"/>
      <c r="L2073" s="16"/>
      <c r="M2073" s="18" t="str">
        <f aca="false">IF(OR(C2073="",D2073=""),"",IF(MOD(COUNTIFS($C$2:C2073,C2073,$D$2:D2073,D2073)*7,10)&lt;3,"teste","treino"))</f>
        <v/>
      </c>
      <c r="N2073" s="16"/>
      <c r="O2073" s="16"/>
      <c r="P2073" s="16"/>
      <c r="Q2073" s="17"/>
    </row>
    <row r="2074" customFormat="false" ht="15" hidden="false" customHeight="false" outlineLevel="0" collapsed="false">
      <c r="A2074" s="15" t="str">
        <f aca="false">IF(B2074="","",ROW()-1)</f>
        <v/>
      </c>
      <c r="B2074" s="16"/>
      <c r="C2074" s="16"/>
      <c r="D2074" s="16"/>
      <c r="E2074" s="16"/>
      <c r="F2074" s="17"/>
      <c r="G2074" s="16"/>
      <c r="H2074" s="16"/>
      <c r="I2074" s="16"/>
      <c r="J2074" s="16"/>
      <c r="K2074" s="16"/>
      <c r="L2074" s="16"/>
      <c r="M2074" s="18" t="str">
        <f aca="false">IF(OR(C2074="",D2074=""),"",IF(MOD(COUNTIFS($C$2:C2074,C2074,$D$2:D2074,D2074)*7,10)&lt;3,"teste","treino"))</f>
        <v/>
      </c>
      <c r="N2074" s="16"/>
      <c r="O2074" s="16"/>
      <c r="P2074" s="16"/>
      <c r="Q2074" s="17"/>
    </row>
    <row r="2075" customFormat="false" ht="15" hidden="false" customHeight="false" outlineLevel="0" collapsed="false">
      <c r="A2075" s="15" t="str">
        <f aca="false">IF(B2075="","",ROW()-1)</f>
        <v/>
      </c>
      <c r="B2075" s="16"/>
      <c r="C2075" s="16"/>
      <c r="D2075" s="16"/>
      <c r="E2075" s="16"/>
      <c r="F2075" s="17"/>
      <c r="G2075" s="16"/>
      <c r="H2075" s="16"/>
      <c r="I2075" s="16"/>
      <c r="J2075" s="16"/>
      <c r="K2075" s="16"/>
      <c r="L2075" s="16"/>
      <c r="M2075" s="18" t="str">
        <f aca="false">IF(OR(C2075="",D2075=""),"",IF(MOD(COUNTIFS($C$2:C2075,C2075,$D$2:D2075,D2075)*7,10)&lt;3,"teste","treino"))</f>
        <v/>
      </c>
      <c r="N2075" s="16"/>
      <c r="O2075" s="16"/>
      <c r="P2075" s="16"/>
      <c r="Q2075" s="17"/>
    </row>
    <row r="2076" customFormat="false" ht="15" hidden="false" customHeight="false" outlineLevel="0" collapsed="false">
      <c r="A2076" s="15" t="str">
        <f aca="false">IF(B2076="","",ROW()-1)</f>
        <v/>
      </c>
      <c r="B2076" s="16"/>
      <c r="C2076" s="16"/>
      <c r="D2076" s="16"/>
      <c r="E2076" s="16"/>
      <c r="F2076" s="17"/>
      <c r="G2076" s="16"/>
      <c r="H2076" s="16"/>
      <c r="I2076" s="16"/>
      <c r="J2076" s="16"/>
      <c r="K2076" s="16"/>
      <c r="L2076" s="16"/>
      <c r="M2076" s="18" t="str">
        <f aca="false">IF(OR(C2076="",D2076=""),"",IF(MOD(COUNTIFS($C$2:C2076,C2076,$D$2:D2076,D2076)*7,10)&lt;3,"teste","treino"))</f>
        <v/>
      </c>
      <c r="N2076" s="16"/>
      <c r="O2076" s="16"/>
      <c r="P2076" s="16"/>
      <c r="Q2076" s="17"/>
    </row>
    <row r="2077" customFormat="false" ht="15" hidden="false" customHeight="false" outlineLevel="0" collapsed="false">
      <c r="A2077" s="15" t="str">
        <f aca="false">IF(B2077="","",ROW()-1)</f>
        <v/>
      </c>
      <c r="B2077" s="16"/>
      <c r="C2077" s="16"/>
      <c r="D2077" s="16"/>
      <c r="E2077" s="16"/>
      <c r="F2077" s="17"/>
      <c r="G2077" s="16"/>
      <c r="H2077" s="16"/>
      <c r="I2077" s="16"/>
      <c r="J2077" s="16"/>
      <c r="K2077" s="16"/>
      <c r="L2077" s="16"/>
      <c r="M2077" s="18" t="str">
        <f aca="false">IF(OR(C2077="",D2077=""),"",IF(MOD(COUNTIFS($C$2:C2077,C2077,$D$2:D2077,D2077)*7,10)&lt;3,"teste","treino"))</f>
        <v/>
      </c>
      <c r="N2077" s="16"/>
      <c r="O2077" s="16"/>
      <c r="P2077" s="16"/>
      <c r="Q2077" s="17"/>
    </row>
    <row r="2078" customFormat="false" ht="15" hidden="false" customHeight="false" outlineLevel="0" collapsed="false">
      <c r="A2078" s="15" t="str">
        <f aca="false">IF(B2078="","",ROW()-1)</f>
        <v/>
      </c>
      <c r="B2078" s="16"/>
      <c r="C2078" s="16"/>
      <c r="D2078" s="16"/>
      <c r="E2078" s="16"/>
      <c r="F2078" s="17"/>
      <c r="G2078" s="16"/>
      <c r="H2078" s="16"/>
      <c r="I2078" s="16"/>
      <c r="J2078" s="16"/>
      <c r="K2078" s="16"/>
      <c r="L2078" s="16"/>
      <c r="M2078" s="18" t="str">
        <f aca="false">IF(OR(C2078="",D2078=""),"",IF(MOD(COUNTIFS($C$2:C2078,C2078,$D$2:D2078,D2078)*7,10)&lt;3,"teste","treino"))</f>
        <v/>
      </c>
      <c r="N2078" s="16"/>
      <c r="O2078" s="16"/>
      <c r="P2078" s="16"/>
      <c r="Q2078" s="17"/>
    </row>
    <row r="2079" customFormat="false" ht="15" hidden="false" customHeight="false" outlineLevel="0" collapsed="false">
      <c r="A2079" s="15" t="str">
        <f aca="false">IF(B2079="","",ROW()-1)</f>
        <v/>
      </c>
      <c r="B2079" s="16"/>
      <c r="C2079" s="16"/>
      <c r="D2079" s="16"/>
      <c r="E2079" s="16"/>
      <c r="F2079" s="17"/>
      <c r="G2079" s="16"/>
      <c r="H2079" s="16"/>
      <c r="I2079" s="16"/>
      <c r="J2079" s="16"/>
      <c r="K2079" s="16"/>
      <c r="L2079" s="16"/>
      <c r="M2079" s="18" t="str">
        <f aca="false">IF(OR(C2079="",D2079=""),"",IF(MOD(COUNTIFS($C$2:C2079,C2079,$D$2:D2079,D2079)*7,10)&lt;3,"teste","treino"))</f>
        <v/>
      </c>
      <c r="N2079" s="16"/>
      <c r="O2079" s="16"/>
      <c r="P2079" s="16"/>
      <c r="Q2079" s="17"/>
    </row>
    <row r="2080" customFormat="false" ht="15" hidden="false" customHeight="false" outlineLevel="0" collapsed="false">
      <c r="A2080" s="15" t="str">
        <f aca="false">IF(B2080="","",ROW()-1)</f>
        <v/>
      </c>
      <c r="B2080" s="16"/>
      <c r="C2080" s="16"/>
      <c r="D2080" s="16"/>
      <c r="E2080" s="16"/>
      <c r="F2080" s="17"/>
      <c r="G2080" s="16"/>
      <c r="H2080" s="16"/>
      <c r="I2080" s="16"/>
      <c r="J2080" s="16"/>
      <c r="K2080" s="16"/>
      <c r="L2080" s="16"/>
      <c r="M2080" s="18" t="str">
        <f aca="false">IF(OR(C2080="",D2080=""),"",IF(MOD(COUNTIFS($C$2:C2080,C2080,$D$2:D2080,D2080)*7,10)&lt;3,"teste","treino"))</f>
        <v/>
      </c>
      <c r="N2080" s="16"/>
      <c r="O2080" s="16"/>
      <c r="P2080" s="16"/>
      <c r="Q2080" s="17"/>
    </row>
    <row r="2081" customFormat="false" ht="15" hidden="false" customHeight="false" outlineLevel="0" collapsed="false">
      <c r="A2081" s="15" t="str">
        <f aca="false">IF(B2081="","",ROW()-1)</f>
        <v/>
      </c>
      <c r="B2081" s="16"/>
      <c r="C2081" s="16"/>
      <c r="D2081" s="16"/>
      <c r="E2081" s="16"/>
      <c r="F2081" s="17"/>
      <c r="G2081" s="16"/>
      <c r="H2081" s="16"/>
      <c r="I2081" s="16"/>
      <c r="J2081" s="16"/>
      <c r="K2081" s="16"/>
      <c r="L2081" s="16"/>
      <c r="M2081" s="18" t="str">
        <f aca="false">IF(OR(C2081="",D2081=""),"",IF(MOD(COUNTIFS($C$2:C2081,C2081,$D$2:D2081,D2081)*7,10)&lt;3,"teste","treino"))</f>
        <v/>
      </c>
      <c r="N2081" s="16"/>
      <c r="O2081" s="16"/>
      <c r="P2081" s="16"/>
      <c r="Q2081" s="17"/>
    </row>
    <row r="2082" customFormat="false" ht="15" hidden="false" customHeight="false" outlineLevel="0" collapsed="false">
      <c r="A2082" s="15" t="str">
        <f aca="false">IF(B2082="","",ROW()-1)</f>
        <v/>
      </c>
      <c r="B2082" s="16"/>
      <c r="C2082" s="16"/>
      <c r="D2082" s="16"/>
      <c r="E2082" s="16"/>
      <c r="F2082" s="17"/>
      <c r="G2082" s="16"/>
      <c r="H2082" s="16"/>
      <c r="I2082" s="16"/>
      <c r="J2082" s="16"/>
      <c r="K2082" s="16"/>
      <c r="L2082" s="16"/>
      <c r="M2082" s="18" t="str">
        <f aca="false">IF(OR(C2082="",D2082=""),"",IF(MOD(COUNTIFS($C$2:C2082,C2082,$D$2:D2082,D2082)*7,10)&lt;3,"teste","treino"))</f>
        <v/>
      </c>
      <c r="N2082" s="16"/>
      <c r="O2082" s="16"/>
      <c r="P2082" s="16"/>
      <c r="Q2082" s="17"/>
    </row>
    <row r="2083" customFormat="false" ht="15" hidden="false" customHeight="false" outlineLevel="0" collapsed="false">
      <c r="A2083" s="15" t="str">
        <f aca="false">IF(B2083="","",ROW()-1)</f>
        <v/>
      </c>
      <c r="B2083" s="16"/>
      <c r="C2083" s="16"/>
      <c r="D2083" s="16"/>
      <c r="E2083" s="16"/>
      <c r="F2083" s="17"/>
      <c r="G2083" s="16"/>
      <c r="H2083" s="16"/>
      <c r="I2083" s="16"/>
      <c r="J2083" s="16"/>
      <c r="K2083" s="16"/>
      <c r="L2083" s="16"/>
      <c r="M2083" s="18" t="str">
        <f aca="false">IF(OR(C2083="",D2083=""),"",IF(MOD(COUNTIFS($C$2:C2083,C2083,$D$2:D2083,D2083)*7,10)&lt;3,"teste","treino"))</f>
        <v/>
      </c>
      <c r="N2083" s="16"/>
      <c r="O2083" s="16"/>
      <c r="P2083" s="16"/>
      <c r="Q2083" s="17"/>
    </row>
    <row r="2084" customFormat="false" ht="15" hidden="false" customHeight="false" outlineLevel="0" collapsed="false">
      <c r="A2084" s="15" t="str">
        <f aca="false">IF(B2084="","",ROW()-1)</f>
        <v/>
      </c>
      <c r="B2084" s="16"/>
      <c r="C2084" s="16"/>
      <c r="D2084" s="16"/>
      <c r="E2084" s="16"/>
      <c r="F2084" s="17"/>
      <c r="G2084" s="16"/>
      <c r="H2084" s="16"/>
      <c r="I2084" s="16"/>
      <c r="J2084" s="16"/>
      <c r="K2084" s="16"/>
      <c r="L2084" s="16"/>
      <c r="M2084" s="18" t="str">
        <f aca="false">IF(OR(C2084="",D2084=""),"",IF(MOD(COUNTIFS($C$2:C2084,C2084,$D$2:D2084,D2084)*7,10)&lt;3,"teste","treino"))</f>
        <v/>
      </c>
      <c r="N2084" s="16"/>
      <c r="O2084" s="16"/>
      <c r="P2084" s="16"/>
      <c r="Q2084" s="17"/>
    </row>
    <row r="2085" customFormat="false" ht="15" hidden="false" customHeight="false" outlineLevel="0" collapsed="false">
      <c r="A2085" s="15" t="str">
        <f aca="false">IF(B2085="","",ROW()-1)</f>
        <v/>
      </c>
      <c r="B2085" s="16"/>
      <c r="C2085" s="16"/>
      <c r="D2085" s="16"/>
      <c r="E2085" s="16"/>
      <c r="F2085" s="17"/>
      <c r="G2085" s="16"/>
      <c r="H2085" s="16"/>
      <c r="I2085" s="16"/>
      <c r="J2085" s="16"/>
      <c r="K2085" s="16"/>
      <c r="L2085" s="16"/>
      <c r="M2085" s="18" t="str">
        <f aca="false">IF(OR(C2085="",D2085=""),"",IF(MOD(COUNTIFS($C$2:C2085,C2085,$D$2:D2085,D2085)*7,10)&lt;3,"teste","treino"))</f>
        <v/>
      </c>
      <c r="N2085" s="16"/>
      <c r="O2085" s="16"/>
      <c r="P2085" s="16"/>
      <c r="Q2085" s="17"/>
    </row>
    <row r="2086" customFormat="false" ht="15" hidden="false" customHeight="false" outlineLevel="0" collapsed="false">
      <c r="A2086" s="15" t="str">
        <f aca="false">IF(B2086="","",ROW()-1)</f>
        <v/>
      </c>
      <c r="B2086" s="16"/>
      <c r="C2086" s="16"/>
      <c r="D2086" s="16"/>
      <c r="E2086" s="16"/>
      <c r="F2086" s="17"/>
      <c r="G2086" s="16"/>
      <c r="H2086" s="16"/>
      <c r="I2086" s="16"/>
      <c r="J2086" s="16"/>
      <c r="K2086" s="16"/>
      <c r="L2086" s="16"/>
      <c r="M2086" s="18" t="str">
        <f aca="false">IF(OR(C2086="",D2086=""),"",IF(MOD(COUNTIFS($C$2:C2086,C2086,$D$2:D2086,D2086)*7,10)&lt;3,"teste","treino"))</f>
        <v/>
      </c>
      <c r="N2086" s="16"/>
      <c r="O2086" s="16"/>
      <c r="P2086" s="16"/>
      <c r="Q2086" s="17"/>
    </row>
    <row r="2087" customFormat="false" ht="15" hidden="false" customHeight="false" outlineLevel="0" collapsed="false">
      <c r="A2087" s="15" t="str">
        <f aca="false">IF(B2087="","",ROW()-1)</f>
        <v/>
      </c>
      <c r="B2087" s="16"/>
      <c r="C2087" s="16"/>
      <c r="D2087" s="16"/>
      <c r="E2087" s="16"/>
      <c r="F2087" s="17"/>
      <c r="G2087" s="16"/>
      <c r="H2087" s="16"/>
      <c r="I2087" s="16"/>
      <c r="J2087" s="16"/>
      <c r="K2087" s="16"/>
      <c r="L2087" s="16"/>
      <c r="M2087" s="18" t="str">
        <f aca="false">IF(OR(C2087="",D2087=""),"",IF(MOD(COUNTIFS($C$2:C2087,C2087,$D$2:D2087,D2087)*7,10)&lt;3,"teste","treino"))</f>
        <v/>
      </c>
      <c r="N2087" s="16"/>
      <c r="O2087" s="16"/>
      <c r="P2087" s="16"/>
      <c r="Q2087" s="17"/>
    </row>
    <row r="2088" customFormat="false" ht="15" hidden="false" customHeight="false" outlineLevel="0" collapsed="false">
      <c r="A2088" s="15" t="str">
        <f aca="false">IF(B2088="","",ROW()-1)</f>
        <v/>
      </c>
      <c r="B2088" s="16"/>
      <c r="C2088" s="16"/>
      <c r="D2088" s="16"/>
      <c r="E2088" s="16"/>
      <c r="F2088" s="17"/>
      <c r="G2088" s="16"/>
      <c r="H2088" s="16"/>
      <c r="I2088" s="16"/>
      <c r="J2088" s="16"/>
      <c r="K2088" s="16"/>
      <c r="L2088" s="16"/>
      <c r="M2088" s="18" t="str">
        <f aca="false">IF(OR(C2088="",D2088=""),"",IF(MOD(COUNTIFS($C$2:C2088,C2088,$D$2:D2088,D2088)*7,10)&lt;3,"teste","treino"))</f>
        <v/>
      </c>
      <c r="N2088" s="16"/>
      <c r="O2088" s="16"/>
      <c r="P2088" s="16"/>
      <c r="Q2088" s="17"/>
    </row>
    <row r="2089" customFormat="false" ht="15" hidden="false" customHeight="false" outlineLevel="0" collapsed="false">
      <c r="A2089" s="15" t="str">
        <f aca="false">IF(B2089="","",ROW()-1)</f>
        <v/>
      </c>
      <c r="B2089" s="16"/>
      <c r="C2089" s="16"/>
      <c r="D2089" s="16"/>
      <c r="E2089" s="16"/>
      <c r="F2089" s="17"/>
      <c r="G2089" s="16"/>
      <c r="H2089" s="16"/>
      <c r="I2089" s="16"/>
      <c r="J2089" s="16"/>
      <c r="K2089" s="16"/>
      <c r="L2089" s="16"/>
      <c r="M2089" s="18" t="str">
        <f aca="false">IF(OR(C2089="",D2089=""),"",IF(MOD(COUNTIFS($C$2:C2089,C2089,$D$2:D2089,D2089)*7,10)&lt;3,"teste","treino"))</f>
        <v/>
      </c>
      <c r="N2089" s="16"/>
      <c r="O2089" s="16"/>
      <c r="P2089" s="16"/>
      <c r="Q2089" s="17"/>
    </row>
    <row r="2090" customFormat="false" ht="15" hidden="false" customHeight="false" outlineLevel="0" collapsed="false">
      <c r="A2090" s="15" t="str">
        <f aca="false">IF(B2090="","",ROW()-1)</f>
        <v/>
      </c>
      <c r="B2090" s="16"/>
      <c r="C2090" s="16"/>
      <c r="D2090" s="16"/>
      <c r="E2090" s="16"/>
      <c r="F2090" s="17"/>
      <c r="G2090" s="16"/>
      <c r="H2090" s="16"/>
      <c r="I2090" s="16"/>
      <c r="J2090" s="16"/>
      <c r="K2090" s="16"/>
      <c r="L2090" s="16"/>
      <c r="M2090" s="18" t="str">
        <f aca="false">IF(OR(C2090="",D2090=""),"",IF(MOD(COUNTIFS($C$2:C2090,C2090,$D$2:D2090,D2090)*7,10)&lt;3,"teste","treino"))</f>
        <v/>
      </c>
      <c r="N2090" s="16"/>
      <c r="O2090" s="16"/>
      <c r="P2090" s="16"/>
      <c r="Q2090" s="17"/>
    </row>
    <row r="2091" customFormat="false" ht="15" hidden="false" customHeight="false" outlineLevel="0" collapsed="false">
      <c r="A2091" s="15" t="str">
        <f aca="false">IF(B2091="","",ROW()-1)</f>
        <v/>
      </c>
      <c r="B2091" s="16"/>
      <c r="C2091" s="16"/>
      <c r="D2091" s="16"/>
      <c r="E2091" s="16"/>
      <c r="F2091" s="17"/>
      <c r="G2091" s="16"/>
      <c r="H2091" s="16"/>
      <c r="I2091" s="16"/>
      <c r="J2091" s="16"/>
      <c r="K2091" s="16"/>
      <c r="L2091" s="16"/>
      <c r="M2091" s="18" t="str">
        <f aca="false">IF(OR(C2091="",D2091=""),"",IF(MOD(COUNTIFS($C$2:C2091,C2091,$D$2:D2091,D2091)*7,10)&lt;3,"teste","treino"))</f>
        <v/>
      </c>
      <c r="N2091" s="16"/>
      <c r="O2091" s="16"/>
      <c r="P2091" s="16"/>
      <c r="Q2091" s="17"/>
    </row>
    <row r="2092" customFormat="false" ht="15" hidden="false" customHeight="false" outlineLevel="0" collapsed="false">
      <c r="A2092" s="15" t="str">
        <f aca="false">IF(B2092="","",ROW()-1)</f>
        <v/>
      </c>
      <c r="B2092" s="16"/>
      <c r="C2092" s="16"/>
      <c r="D2092" s="16"/>
      <c r="E2092" s="16"/>
      <c r="F2092" s="17"/>
      <c r="G2092" s="16"/>
      <c r="H2092" s="16"/>
      <c r="I2092" s="16"/>
      <c r="J2092" s="16"/>
      <c r="K2092" s="16"/>
      <c r="L2092" s="16"/>
      <c r="M2092" s="18" t="str">
        <f aca="false">IF(OR(C2092="",D2092=""),"",IF(MOD(COUNTIFS($C$2:C2092,C2092,$D$2:D2092,D2092)*7,10)&lt;3,"teste","treino"))</f>
        <v/>
      </c>
      <c r="N2092" s="16"/>
      <c r="O2092" s="16"/>
      <c r="P2092" s="16"/>
      <c r="Q2092" s="17"/>
    </row>
    <row r="2093" customFormat="false" ht="15" hidden="false" customHeight="false" outlineLevel="0" collapsed="false">
      <c r="A2093" s="15" t="str">
        <f aca="false">IF(B2093="","",ROW()-1)</f>
        <v/>
      </c>
      <c r="B2093" s="16"/>
      <c r="C2093" s="16"/>
      <c r="D2093" s="16"/>
      <c r="E2093" s="16"/>
      <c r="F2093" s="17"/>
      <c r="G2093" s="16"/>
      <c r="H2093" s="16"/>
      <c r="I2093" s="16"/>
      <c r="J2093" s="16"/>
      <c r="K2093" s="16"/>
      <c r="L2093" s="16"/>
      <c r="M2093" s="18" t="str">
        <f aca="false">IF(OR(C2093="",D2093=""),"",IF(MOD(COUNTIFS($C$2:C2093,C2093,$D$2:D2093,D2093)*7,10)&lt;3,"teste","treino"))</f>
        <v/>
      </c>
      <c r="N2093" s="16"/>
      <c r="O2093" s="16"/>
      <c r="P2093" s="16"/>
      <c r="Q2093" s="17"/>
    </row>
    <row r="2094" customFormat="false" ht="15" hidden="false" customHeight="false" outlineLevel="0" collapsed="false">
      <c r="A2094" s="15" t="str">
        <f aca="false">IF(B2094="","",ROW()-1)</f>
        <v/>
      </c>
      <c r="B2094" s="16"/>
      <c r="C2094" s="16"/>
      <c r="D2094" s="16"/>
      <c r="E2094" s="16"/>
      <c r="F2094" s="17"/>
      <c r="G2094" s="16"/>
      <c r="H2094" s="16"/>
      <c r="I2094" s="16"/>
      <c r="J2094" s="16"/>
      <c r="K2094" s="16"/>
      <c r="L2094" s="16"/>
      <c r="M2094" s="18" t="str">
        <f aca="false">IF(OR(C2094="",D2094=""),"",IF(MOD(COUNTIFS($C$2:C2094,C2094,$D$2:D2094,D2094)*7,10)&lt;3,"teste","treino"))</f>
        <v/>
      </c>
      <c r="N2094" s="16"/>
      <c r="O2094" s="16"/>
      <c r="P2094" s="16"/>
      <c r="Q2094" s="17"/>
    </row>
    <row r="2095" customFormat="false" ht="15" hidden="false" customHeight="false" outlineLevel="0" collapsed="false">
      <c r="A2095" s="15" t="str">
        <f aca="false">IF(B2095="","",ROW()-1)</f>
        <v/>
      </c>
      <c r="B2095" s="16"/>
      <c r="C2095" s="16"/>
      <c r="D2095" s="16"/>
      <c r="E2095" s="16"/>
      <c r="F2095" s="17"/>
      <c r="G2095" s="16"/>
      <c r="H2095" s="16"/>
      <c r="I2095" s="16"/>
      <c r="J2095" s="16"/>
      <c r="K2095" s="16"/>
      <c r="L2095" s="16"/>
      <c r="M2095" s="18" t="str">
        <f aca="false">IF(OR(C2095="",D2095=""),"",IF(MOD(COUNTIFS($C$2:C2095,C2095,$D$2:D2095,D2095)*7,10)&lt;3,"teste","treino"))</f>
        <v/>
      </c>
      <c r="N2095" s="16"/>
      <c r="O2095" s="16"/>
      <c r="P2095" s="16"/>
      <c r="Q2095" s="17"/>
    </row>
    <row r="2096" customFormat="false" ht="15" hidden="false" customHeight="false" outlineLevel="0" collapsed="false">
      <c r="A2096" s="15" t="str">
        <f aca="false">IF(B2096="","",ROW()-1)</f>
        <v/>
      </c>
      <c r="B2096" s="16"/>
      <c r="C2096" s="16"/>
      <c r="D2096" s="16"/>
      <c r="E2096" s="16"/>
      <c r="F2096" s="17"/>
      <c r="G2096" s="16"/>
      <c r="H2096" s="16"/>
      <c r="I2096" s="16"/>
      <c r="J2096" s="16"/>
      <c r="K2096" s="16"/>
      <c r="L2096" s="16"/>
      <c r="M2096" s="18" t="str">
        <f aca="false">IF(OR(C2096="",D2096=""),"",IF(MOD(COUNTIFS($C$2:C2096,C2096,$D$2:D2096,D2096)*7,10)&lt;3,"teste","treino"))</f>
        <v/>
      </c>
      <c r="N2096" s="16"/>
      <c r="O2096" s="16"/>
      <c r="P2096" s="16"/>
      <c r="Q2096" s="17"/>
    </row>
    <row r="2097" customFormat="false" ht="15" hidden="false" customHeight="false" outlineLevel="0" collapsed="false">
      <c r="A2097" s="15" t="str">
        <f aca="false">IF(B2097="","",ROW()-1)</f>
        <v/>
      </c>
      <c r="B2097" s="16"/>
      <c r="C2097" s="16"/>
      <c r="D2097" s="16"/>
      <c r="E2097" s="16"/>
      <c r="F2097" s="17"/>
      <c r="G2097" s="16"/>
      <c r="H2097" s="16"/>
      <c r="I2097" s="16"/>
      <c r="J2097" s="16"/>
      <c r="K2097" s="16"/>
      <c r="L2097" s="16"/>
      <c r="M2097" s="18" t="str">
        <f aca="false">IF(OR(C2097="",D2097=""),"",IF(MOD(COUNTIFS($C$2:C2097,C2097,$D$2:D2097,D2097)*7,10)&lt;3,"teste","treino"))</f>
        <v/>
      </c>
      <c r="N2097" s="16"/>
      <c r="O2097" s="16"/>
      <c r="P2097" s="16"/>
      <c r="Q2097" s="17"/>
    </row>
    <row r="2098" customFormat="false" ht="15" hidden="false" customHeight="false" outlineLevel="0" collapsed="false">
      <c r="A2098" s="15" t="str">
        <f aca="false">IF(B2098="","",ROW()-1)</f>
        <v/>
      </c>
      <c r="B2098" s="16"/>
      <c r="C2098" s="16"/>
      <c r="D2098" s="16"/>
      <c r="E2098" s="16"/>
      <c r="F2098" s="17"/>
      <c r="G2098" s="16"/>
      <c r="H2098" s="16"/>
      <c r="I2098" s="16"/>
      <c r="J2098" s="16"/>
      <c r="K2098" s="16"/>
      <c r="L2098" s="16"/>
      <c r="M2098" s="18" t="str">
        <f aca="false">IF(OR(C2098="",D2098=""),"",IF(MOD(COUNTIFS($C$2:C2098,C2098,$D$2:D2098,D2098)*7,10)&lt;3,"teste","treino"))</f>
        <v/>
      </c>
      <c r="N2098" s="16"/>
      <c r="O2098" s="16"/>
      <c r="P2098" s="16"/>
      <c r="Q2098" s="17"/>
    </row>
    <row r="2099" customFormat="false" ht="15" hidden="false" customHeight="false" outlineLevel="0" collapsed="false">
      <c r="A2099" s="15" t="str">
        <f aca="false">IF(B2099="","",ROW()-1)</f>
        <v/>
      </c>
      <c r="B2099" s="16"/>
      <c r="C2099" s="16"/>
      <c r="D2099" s="16"/>
      <c r="E2099" s="16"/>
      <c r="F2099" s="17"/>
      <c r="G2099" s="16"/>
      <c r="H2099" s="16"/>
      <c r="I2099" s="16"/>
      <c r="J2099" s="16"/>
      <c r="K2099" s="16"/>
      <c r="L2099" s="16"/>
      <c r="M2099" s="18" t="str">
        <f aca="false">IF(OR(C2099="",D2099=""),"",IF(MOD(COUNTIFS($C$2:C2099,C2099,$D$2:D2099,D2099)*7,10)&lt;3,"teste","treino"))</f>
        <v/>
      </c>
      <c r="N2099" s="16"/>
      <c r="O2099" s="16"/>
      <c r="P2099" s="16"/>
      <c r="Q2099" s="17"/>
    </row>
    <row r="2100" customFormat="false" ht="15" hidden="false" customHeight="false" outlineLevel="0" collapsed="false">
      <c r="A2100" s="15" t="str">
        <f aca="false">IF(B2100="","",ROW()-1)</f>
        <v/>
      </c>
      <c r="B2100" s="16"/>
      <c r="C2100" s="16"/>
      <c r="D2100" s="16"/>
      <c r="E2100" s="16"/>
      <c r="F2100" s="17"/>
      <c r="G2100" s="16"/>
      <c r="H2100" s="16"/>
      <c r="I2100" s="16"/>
      <c r="J2100" s="16"/>
      <c r="K2100" s="16"/>
      <c r="L2100" s="16"/>
      <c r="M2100" s="18" t="str">
        <f aca="false">IF(OR(C2100="",D2100=""),"",IF(MOD(COUNTIFS($C$2:C2100,C2100,$D$2:D2100,D2100)*7,10)&lt;3,"teste","treino"))</f>
        <v/>
      </c>
      <c r="N2100" s="16"/>
      <c r="O2100" s="16"/>
      <c r="P2100" s="16"/>
      <c r="Q2100" s="17"/>
    </row>
    <row r="2101" customFormat="false" ht="15" hidden="false" customHeight="false" outlineLevel="0" collapsed="false">
      <c r="A2101" s="15" t="str">
        <f aca="false">IF(B2101="","",ROW()-1)</f>
        <v/>
      </c>
      <c r="B2101" s="16"/>
      <c r="C2101" s="16"/>
      <c r="D2101" s="16"/>
      <c r="E2101" s="16"/>
      <c r="F2101" s="17"/>
      <c r="G2101" s="16"/>
      <c r="H2101" s="16"/>
      <c r="I2101" s="16"/>
      <c r="J2101" s="16"/>
      <c r="K2101" s="16"/>
      <c r="L2101" s="16"/>
      <c r="M2101" s="18" t="str">
        <f aca="false">IF(OR(C2101="",D2101=""),"",IF(MOD(COUNTIFS($C$2:C2101,C2101,$D$2:D2101,D2101)*7,10)&lt;3,"teste","treino"))</f>
        <v/>
      </c>
      <c r="N2101" s="16"/>
      <c r="O2101" s="16"/>
      <c r="P2101" s="16"/>
      <c r="Q2101" s="17"/>
    </row>
    <row r="2102" customFormat="false" ht="15" hidden="false" customHeight="false" outlineLevel="0" collapsed="false">
      <c r="A2102" s="15" t="str">
        <f aca="false">IF(B2102="","",ROW()-1)</f>
        <v/>
      </c>
      <c r="B2102" s="16"/>
      <c r="C2102" s="16"/>
      <c r="D2102" s="16"/>
      <c r="E2102" s="16"/>
      <c r="F2102" s="17"/>
      <c r="G2102" s="16"/>
      <c r="H2102" s="16"/>
      <c r="I2102" s="16"/>
      <c r="J2102" s="16"/>
      <c r="K2102" s="16"/>
      <c r="L2102" s="16"/>
      <c r="M2102" s="18" t="str">
        <f aca="false">IF(OR(C2102="",D2102=""),"",IF(MOD(COUNTIFS($C$2:C2102,C2102,$D$2:D2102,D2102)*7,10)&lt;3,"teste","treino"))</f>
        <v/>
      </c>
      <c r="N2102" s="16"/>
      <c r="O2102" s="16"/>
      <c r="P2102" s="16"/>
      <c r="Q2102" s="17"/>
    </row>
    <row r="2103" customFormat="false" ht="15" hidden="false" customHeight="false" outlineLevel="0" collapsed="false">
      <c r="A2103" s="15" t="str">
        <f aca="false">IF(B2103="","",ROW()-1)</f>
        <v/>
      </c>
      <c r="B2103" s="16"/>
      <c r="C2103" s="16"/>
      <c r="D2103" s="16"/>
      <c r="E2103" s="16"/>
      <c r="F2103" s="17"/>
      <c r="G2103" s="16"/>
      <c r="H2103" s="16"/>
      <c r="I2103" s="16"/>
      <c r="J2103" s="16"/>
      <c r="K2103" s="16"/>
      <c r="L2103" s="16"/>
      <c r="M2103" s="18" t="str">
        <f aca="false">IF(OR(C2103="",D2103=""),"",IF(MOD(COUNTIFS($C$2:C2103,C2103,$D$2:D2103,D2103)*7,10)&lt;3,"teste","treino"))</f>
        <v/>
      </c>
      <c r="N2103" s="16"/>
      <c r="O2103" s="16"/>
      <c r="P2103" s="16"/>
      <c r="Q2103" s="17"/>
    </row>
    <row r="2104" customFormat="false" ht="15" hidden="false" customHeight="false" outlineLevel="0" collapsed="false">
      <c r="A2104" s="15" t="str">
        <f aca="false">IF(B2104="","",ROW()-1)</f>
        <v/>
      </c>
      <c r="B2104" s="16"/>
      <c r="C2104" s="16"/>
      <c r="D2104" s="16"/>
      <c r="E2104" s="16"/>
      <c r="F2104" s="17"/>
      <c r="G2104" s="16"/>
      <c r="H2104" s="16"/>
      <c r="I2104" s="16"/>
      <c r="J2104" s="16"/>
      <c r="K2104" s="16"/>
      <c r="L2104" s="16"/>
      <c r="M2104" s="18" t="str">
        <f aca="false">IF(OR(C2104="",D2104=""),"",IF(MOD(COUNTIFS($C$2:C2104,C2104,$D$2:D2104,D2104)*7,10)&lt;3,"teste","treino"))</f>
        <v/>
      </c>
      <c r="N2104" s="16"/>
      <c r="O2104" s="16"/>
      <c r="P2104" s="16"/>
      <c r="Q2104" s="17"/>
    </row>
    <row r="2105" customFormat="false" ht="15" hidden="false" customHeight="false" outlineLevel="0" collapsed="false">
      <c r="A2105" s="15" t="str">
        <f aca="false">IF(B2105="","",ROW()-1)</f>
        <v/>
      </c>
      <c r="B2105" s="16"/>
      <c r="C2105" s="16"/>
      <c r="D2105" s="16"/>
      <c r="E2105" s="16"/>
      <c r="F2105" s="17"/>
      <c r="G2105" s="16"/>
      <c r="H2105" s="16"/>
      <c r="I2105" s="16"/>
      <c r="J2105" s="16"/>
      <c r="K2105" s="16"/>
      <c r="L2105" s="16"/>
      <c r="M2105" s="18" t="str">
        <f aca="false">IF(OR(C2105="",D2105=""),"",IF(MOD(COUNTIFS($C$2:C2105,C2105,$D$2:D2105,D2105)*7,10)&lt;3,"teste","treino"))</f>
        <v/>
      </c>
      <c r="N2105" s="16"/>
      <c r="O2105" s="16"/>
      <c r="P2105" s="16"/>
      <c r="Q2105" s="17"/>
    </row>
    <row r="2106" customFormat="false" ht="15" hidden="false" customHeight="false" outlineLevel="0" collapsed="false">
      <c r="A2106" s="15" t="str">
        <f aca="false">IF(B2106="","",ROW()-1)</f>
        <v/>
      </c>
      <c r="B2106" s="16"/>
      <c r="C2106" s="16"/>
      <c r="D2106" s="16"/>
      <c r="E2106" s="16"/>
      <c r="F2106" s="17"/>
      <c r="G2106" s="16"/>
      <c r="H2106" s="16"/>
      <c r="I2106" s="16"/>
      <c r="J2106" s="16"/>
      <c r="K2106" s="16"/>
      <c r="L2106" s="16"/>
      <c r="M2106" s="18" t="str">
        <f aca="false">IF(OR(C2106="",D2106=""),"",IF(MOD(COUNTIFS($C$2:C2106,C2106,$D$2:D2106,D2106)*7,10)&lt;3,"teste","treino"))</f>
        <v/>
      </c>
      <c r="N2106" s="16"/>
      <c r="O2106" s="16"/>
      <c r="P2106" s="16"/>
      <c r="Q2106" s="17"/>
    </row>
    <row r="2107" customFormat="false" ht="15" hidden="false" customHeight="false" outlineLevel="0" collapsed="false">
      <c r="A2107" s="15" t="str">
        <f aca="false">IF(B2107="","",ROW()-1)</f>
        <v/>
      </c>
      <c r="B2107" s="16"/>
      <c r="C2107" s="16"/>
      <c r="D2107" s="16"/>
      <c r="E2107" s="16"/>
      <c r="F2107" s="17"/>
      <c r="G2107" s="16"/>
      <c r="H2107" s="16"/>
      <c r="I2107" s="16"/>
      <c r="J2107" s="16"/>
      <c r="K2107" s="16"/>
      <c r="L2107" s="16"/>
      <c r="M2107" s="18" t="str">
        <f aca="false">IF(OR(C2107="",D2107=""),"",IF(MOD(COUNTIFS($C$2:C2107,C2107,$D$2:D2107,D2107)*7,10)&lt;3,"teste","treino"))</f>
        <v/>
      </c>
      <c r="N2107" s="16"/>
      <c r="O2107" s="16"/>
      <c r="P2107" s="16"/>
      <c r="Q2107" s="17"/>
    </row>
    <row r="2108" customFormat="false" ht="15" hidden="false" customHeight="false" outlineLevel="0" collapsed="false">
      <c r="A2108" s="15" t="str">
        <f aca="false">IF(B2108="","",ROW()-1)</f>
        <v/>
      </c>
      <c r="B2108" s="16"/>
      <c r="C2108" s="16"/>
      <c r="D2108" s="16"/>
      <c r="E2108" s="16"/>
      <c r="F2108" s="17"/>
      <c r="G2108" s="16"/>
      <c r="H2108" s="16"/>
      <c r="I2108" s="16"/>
      <c r="J2108" s="16"/>
      <c r="K2108" s="16"/>
      <c r="L2108" s="16"/>
      <c r="M2108" s="18" t="str">
        <f aca="false">IF(OR(C2108="",D2108=""),"",IF(MOD(COUNTIFS($C$2:C2108,C2108,$D$2:D2108,D2108)*7,10)&lt;3,"teste","treino"))</f>
        <v/>
      </c>
      <c r="N2108" s="16"/>
      <c r="O2108" s="16"/>
      <c r="P2108" s="16"/>
      <c r="Q2108" s="17"/>
    </row>
    <row r="2109" customFormat="false" ht="15" hidden="false" customHeight="false" outlineLevel="0" collapsed="false">
      <c r="A2109" s="15" t="str">
        <f aca="false">IF(B2109="","",ROW()-1)</f>
        <v/>
      </c>
      <c r="B2109" s="16"/>
      <c r="C2109" s="16"/>
      <c r="D2109" s="16"/>
      <c r="E2109" s="16"/>
      <c r="F2109" s="17"/>
      <c r="G2109" s="16"/>
      <c r="H2109" s="16"/>
      <c r="I2109" s="16"/>
      <c r="J2109" s="16"/>
      <c r="K2109" s="16"/>
      <c r="L2109" s="16"/>
      <c r="M2109" s="18" t="str">
        <f aca="false">IF(OR(C2109="",D2109=""),"",IF(MOD(COUNTIFS($C$2:C2109,C2109,$D$2:D2109,D2109)*7,10)&lt;3,"teste","treino"))</f>
        <v/>
      </c>
      <c r="N2109" s="16"/>
      <c r="O2109" s="16"/>
      <c r="P2109" s="16"/>
      <c r="Q2109" s="17"/>
    </row>
    <row r="2110" customFormat="false" ht="15" hidden="false" customHeight="false" outlineLevel="0" collapsed="false">
      <c r="A2110" s="15" t="str">
        <f aca="false">IF(B2110="","",ROW()-1)</f>
        <v/>
      </c>
      <c r="B2110" s="16"/>
      <c r="C2110" s="16"/>
      <c r="D2110" s="16"/>
      <c r="E2110" s="16"/>
      <c r="F2110" s="17"/>
      <c r="G2110" s="16"/>
      <c r="H2110" s="16"/>
      <c r="I2110" s="16"/>
      <c r="J2110" s="16"/>
      <c r="K2110" s="16"/>
      <c r="L2110" s="16"/>
      <c r="M2110" s="18" t="str">
        <f aca="false">IF(OR(C2110="",D2110=""),"",IF(MOD(COUNTIFS($C$2:C2110,C2110,$D$2:D2110,D2110)*7,10)&lt;3,"teste","treino"))</f>
        <v/>
      </c>
      <c r="N2110" s="16"/>
      <c r="O2110" s="16"/>
      <c r="P2110" s="16"/>
      <c r="Q2110" s="17"/>
    </row>
    <row r="2111" customFormat="false" ht="15" hidden="false" customHeight="false" outlineLevel="0" collapsed="false">
      <c r="A2111" s="15" t="str">
        <f aca="false">IF(B2111="","",ROW()-1)</f>
        <v/>
      </c>
      <c r="B2111" s="16"/>
      <c r="C2111" s="16"/>
      <c r="D2111" s="16"/>
      <c r="E2111" s="16"/>
      <c r="F2111" s="17"/>
      <c r="G2111" s="16"/>
      <c r="H2111" s="16"/>
      <c r="I2111" s="16"/>
      <c r="J2111" s="16"/>
      <c r="K2111" s="16"/>
      <c r="L2111" s="16"/>
      <c r="M2111" s="18" t="str">
        <f aca="false">IF(OR(C2111="",D2111=""),"",IF(MOD(COUNTIFS($C$2:C2111,C2111,$D$2:D2111,D2111)*7,10)&lt;3,"teste","treino"))</f>
        <v/>
      </c>
      <c r="N2111" s="16"/>
      <c r="O2111" s="16"/>
      <c r="P2111" s="16"/>
      <c r="Q2111" s="17"/>
    </row>
    <row r="2112" customFormat="false" ht="15" hidden="false" customHeight="false" outlineLevel="0" collapsed="false">
      <c r="A2112" s="15" t="str">
        <f aca="false">IF(B2112="","",ROW()-1)</f>
        <v/>
      </c>
      <c r="B2112" s="16"/>
      <c r="C2112" s="16"/>
      <c r="D2112" s="16"/>
      <c r="E2112" s="16"/>
      <c r="F2112" s="17"/>
      <c r="G2112" s="16"/>
      <c r="H2112" s="16"/>
      <c r="I2112" s="16"/>
      <c r="J2112" s="16"/>
      <c r="K2112" s="16"/>
      <c r="L2112" s="16"/>
      <c r="M2112" s="18" t="str">
        <f aca="false">IF(OR(C2112="",D2112=""),"",IF(MOD(COUNTIFS($C$2:C2112,C2112,$D$2:D2112,D2112)*7,10)&lt;3,"teste","treino"))</f>
        <v/>
      </c>
      <c r="N2112" s="16"/>
      <c r="O2112" s="16"/>
      <c r="P2112" s="16"/>
      <c r="Q2112" s="17"/>
    </row>
    <row r="2113" customFormat="false" ht="15" hidden="false" customHeight="false" outlineLevel="0" collapsed="false">
      <c r="A2113" s="15" t="str">
        <f aca="false">IF(B2113="","",ROW()-1)</f>
        <v/>
      </c>
      <c r="B2113" s="16"/>
      <c r="C2113" s="16"/>
      <c r="D2113" s="16"/>
      <c r="E2113" s="16"/>
      <c r="F2113" s="17"/>
      <c r="G2113" s="16"/>
      <c r="H2113" s="16"/>
      <c r="I2113" s="16"/>
      <c r="J2113" s="16"/>
      <c r="K2113" s="16"/>
      <c r="L2113" s="16"/>
      <c r="M2113" s="18" t="str">
        <f aca="false">IF(OR(C2113="",D2113=""),"",IF(MOD(COUNTIFS($C$2:C2113,C2113,$D$2:D2113,D2113)*7,10)&lt;3,"teste","treino"))</f>
        <v/>
      </c>
      <c r="N2113" s="16"/>
      <c r="O2113" s="16"/>
      <c r="P2113" s="16"/>
      <c r="Q2113" s="17"/>
    </row>
    <row r="2114" customFormat="false" ht="15" hidden="false" customHeight="false" outlineLevel="0" collapsed="false">
      <c r="A2114" s="15" t="str">
        <f aca="false">IF(B2114="","",ROW()-1)</f>
        <v/>
      </c>
      <c r="B2114" s="16"/>
      <c r="C2114" s="16"/>
      <c r="D2114" s="16"/>
      <c r="E2114" s="16"/>
      <c r="F2114" s="17"/>
      <c r="G2114" s="16"/>
      <c r="H2114" s="16"/>
      <c r="I2114" s="16"/>
      <c r="J2114" s="16"/>
      <c r="K2114" s="16"/>
      <c r="L2114" s="16"/>
      <c r="M2114" s="18" t="str">
        <f aca="false">IF(OR(C2114="",D2114=""),"",IF(MOD(COUNTIFS($C$2:C2114,C2114,$D$2:D2114,D2114)*7,10)&lt;3,"teste","treino"))</f>
        <v/>
      </c>
      <c r="N2114" s="16"/>
      <c r="O2114" s="16"/>
      <c r="P2114" s="16"/>
      <c r="Q2114" s="17"/>
    </row>
    <row r="2115" customFormat="false" ht="15" hidden="false" customHeight="false" outlineLevel="0" collapsed="false">
      <c r="A2115" s="15" t="str">
        <f aca="false">IF(B2115="","",ROW()-1)</f>
        <v/>
      </c>
      <c r="B2115" s="16"/>
      <c r="C2115" s="16"/>
      <c r="D2115" s="16"/>
      <c r="E2115" s="16"/>
      <c r="F2115" s="17"/>
      <c r="G2115" s="16"/>
      <c r="H2115" s="16"/>
      <c r="I2115" s="16"/>
      <c r="J2115" s="16"/>
      <c r="K2115" s="16"/>
      <c r="L2115" s="16"/>
      <c r="M2115" s="18" t="str">
        <f aca="false">IF(OR(C2115="",D2115=""),"",IF(MOD(COUNTIFS($C$2:C2115,C2115,$D$2:D2115,D2115)*7,10)&lt;3,"teste","treino"))</f>
        <v/>
      </c>
      <c r="N2115" s="16"/>
      <c r="O2115" s="16"/>
      <c r="P2115" s="16"/>
      <c r="Q2115" s="17"/>
    </row>
    <row r="2116" customFormat="false" ht="15" hidden="false" customHeight="false" outlineLevel="0" collapsed="false">
      <c r="A2116" s="15" t="str">
        <f aca="false">IF(B2116="","",ROW()-1)</f>
        <v/>
      </c>
      <c r="B2116" s="16"/>
      <c r="C2116" s="16"/>
      <c r="D2116" s="16"/>
      <c r="E2116" s="16"/>
      <c r="F2116" s="17"/>
      <c r="G2116" s="16"/>
      <c r="H2116" s="16"/>
      <c r="I2116" s="16"/>
      <c r="J2116" s="16"/>
      <c r="K2116" s="16"/>
      <c r="L2116" s="16"/>
      <c r="M2116" s="18" t="str">
        <f aca="false">IF(OR(C2116="",D2116=""),"",IF(MOD(COUNTIFS($C$2:C2116,C2116,$D$2:D2116,D2116)*7,10)&lt;3,"teste","treino"))</f>
        <v/>
      </c>
      <c r="N2116" s="16"/>
      <c r="O2116" s="16"/>
      <c r="P2116" s="16"/>
      <c r="Q2116" s="17"/>
    </row>
    <row r="2117" customFormat="false" ht="15" hidden="false" customHeight="false" outlineLevel="0" collapsed="false">
      <c r="A2117" s="15" t="str">
        <f aca="false">IF(B2117="","",ROW()-1)</f>
        <v/>
      </c>
      <c r="B2117" s="16"/>
      <c r="C2117" s="16"/>
      <c r="D2117" s="16"/>
      <c r="E2117" s="16"/>
      <c r="F2117" s="17"/>
      <c r="G2117" s="16"/>
      <c r="H2117" s="16"/>
      <c r="I2117" s="16"/>
      <c r="J2117" s="16"/>
      <c r="K2117" s="16"/>
      <c r="L2117" s="16"/>
      <c r="M2117" s="18" t="str">
        <f aca="false">IF(OR(C2117="",D2117=""),"",IF(MOD(COUNTIFS($C$2:C2117,C2117,$D$2:D2117,D2117)*7,10)&lt;3,"teste","treino"))</f>
        <v/>
      </c>
      <c r="N2117" s="16"/>
      <c r="O2117" s="16"/>
      <c r="P2117" s="16"/>
      <c r="Q2117" s="17"/>
    </row>
    <row r="2118" customFormat="false" ht="15" hidden="false" customHeight="false" outlineLevel="0" collapsed="false">
      <c r="A2118" s="15" t="str">
        <f aca="false">IF(B2118="","",ROW()-1)</f>
        <v/>
      </c>
      <c r="B2118" s="16"/>
      <c r="C2118" s="16"/>
      <c r="D2118" s="16"/>
      <c r="E2118" s="16"/>
      <c r="F2118" s="17"/>
      <c r="G2118" s="16"/>
      <c r="H2118" s="16"/>
      <c r="I2118" s="16"/>
      <c r="J2118" s="16"/>
      <c r="K2118" s="16"/>
      <c r="L2118" s="16"/>
      <c r="M2118" s="18" t="str">
        <f aca="false">IF(OR(C2118="",D2118=""),"",IF(MOD(COUNTIFS($C$2:C2118,C2118,$D$2:D2118,D2118)*7,10)&lt;3,"teste","treino"))</f>
        <v/>
      </c>
      <c r="N2118" s="16"/>
      <c r="O2118" s="16"/>
      <c r="P2118" s="16"/>
      <c r="Q2118" s="17"/>
    </row>
    <row r="2119" customFormat="false" ht="15" hidden="false" customHeight="false" outlineLevel="0" collapsed="false">
      <c r="A2119" s="15" t="str">
        <f aca="false">IF(B2119="","",ROW()-1)</f>
        <v/>
      </c>
      <c r="B2119" s="16"/>
      <c r="C2119" s="16"/>
      <c r="D2119" s="16"/>
      <c r="E2119" s="16"/>
      <c r="F2119" s="17"/>
      <c r="G2119" s="16"/>
      <c r="H2119" s="16"/>
      <c r="I2119" s="16"/>
      <c r="J2119" s="16"/>
      <c r="K2119" s="16"/>
      <c r="L2119" s="16"/>
      <c r="M2119" s="18" t="str">
        <f aca="false">IF(OR(C2119="",D2119=""),"",IF(MOD(COUNTIFS($C$2:C2119,C2119,$D$2:D2119,D2119)*7,10)&lt;3,"teste","treino"))</f>
        <v/>
      </c>
      <c r="N2119" s="16"/>
      <c r="O2119" s="16"/>
      <c r="P2119" s="16"/>
      <c r="Q2119" s="17"/>
    </row>
    <row r="2120" customFormat="false" ht="15" hidden="false" customHeight="false" outlineLevel="0" collapsed="false">
      <c r="A2120" s="15" t="str">
        <f aca="false">IF(B2120="","",ROW()-1)</f>
        <v/>
      </c>
      <c r="B2120" s="16"/>
      <c r="C2120" s="16"/>
      <c r="D2120" s="16"/>
      <c r="E2120" s="16"/>
      <c r="F2120" s="17"/>
      <c r="G2120" s="16"/>
      <c r="H2120" s="16"/>
      <c r="I2120" s="16"/>
      <c r="J2120" s="16"/>
      <c r="K2120" s="16"/>
      <c r="L2120" s="16"/>
      <c r="M2120" s="18" t="str">
        <f aca="false">IF(OR(C2120="",D2120=""),"",IF(MOD(COUNTIFS($C$2:C2120,C2120,$D$2:D2120,D2120)*7,10)&lt;3,"teste","treino"))</f>
        <v/>
      </c>
      <c r="N2120" s="16"/>
      <c r="O2120" s="16"/>
      <c r="P2120" s="16"/>
      <c r="Q2120" s="17"/>
    </row>
    <row r="2121" customFormat="false" ht="15" hidden="false" customHeight="false" outlineLevel="0" collapsed="false">
      <c r="A2121" s="15" t="str">
        <f aca="false">IF(B2121="","",ROW()-1)</f>
        <v/>
      </c>
      <c r="B2121" s="16"/>
      <c r="C2121" s="16"/>
      <c r="D2121" s="16"/>
      <c r="E2121" s="16"/>
      <c r="F2121" s="17"/>
      <c r="G2121" s="16"/>
      <c r="H2121" s="16"/>
      <c r="I2121" s="16"/>
      <c r="J2121" s="16"/>
      <c r="K2121" s="16"/>
      <c r="L2121" s="16"/>
      <c r="M2121" s="18" t="str">
        <f aca="false">IF(OR(C2121="",D2121=""),"",IF(MOD(COUNTIFS($C$2:C2121,C2121,$D$2:D2121,D2121)*7,10)&lt;3,"teste","treino"))</f>
        <v/>
      </c>
      <c r="N2121" s="16"/>
      <c r="O2121" s="16"/>
      <c r="P2121" s="16"/>
      <c r="Q2121" s="17"/>
    </row>
    <row r="2122" customFormat="false" ht="15" hidden="false" customHeight="false" outlineLevel="0" collapsed="false">
      <c r="A2122" s="15" t="str">
        <f aca="false">IF(B2122="","",ROW()-1)</f>
        <v/>
      </c>
      <c r="B2122" s="16"/>
      <c r="C2122" s="16"/>
      <c r="D2122" s="16"/>
      <c r="E2122" s="16"/>
      <c r="F2122" s="17"/>
      <c r="G2122" s="16"/>
      <c r="H2122" s="16"/>
      <c r="I2122" s="16"/>
      <c r="J2122" s="16"/>
      <c r="K2122" s="16"/>
      <c r="L2122" s="16"/>
      <c r="M2122" s="18" t="str">
        <f aca="false">IF(OR(C2122="",D2122=""),"",IF(MOD(COUNTIFS($C$2:C2122,C2122,$D$2:D2122,D2122)*7,10)&lt;3,"teste","treino"))</f>
        <v/>
      </c>
      <c r="N2122" s="16"/>
      <c r="O2122" s="16"/>
      <c r="P2122" s="16"/>
      <c r="Q2122" s="17"/>
    </row>
    <row r="2123" customFormat="false" ht="15" hidden="false" customHeight="false" outlineLevel="0" collapsed="false">
      <c r="A2123" s="15" t="str">
        <f aca="false">IF(B2123="","",ROW()-1)</f>
        <v/>
      </c>
      <c r="B2123" s="16"/>
      <c r="C2123" s="16"/>
      <c r="D2123" s="16"/>
      <c r="E2123" s="16"/>
      <c r="F2123" s="17"/>
      <c r="G2123" s="16"/>
      <c r="H2123" s="16"/>
      <c r="I2123" s="16"/>
      <c r="J2123" s="16"/>
      <c r="K2123" s="16"/>
      <c r="L2123" s="16"/>
      <c r="M2123" s="18" t="str">
        <f aca="false">IF(OR(C2123="",D2123=""),"",IF(MOD(COUNTIFS($C$2:C2123,C2123,$D$2:D2123,D2123)*7,10)&lt;3,"teste","treino"))</f>
        <v/>
      </c>
      <c r="N2123" s="16"/>
      <c r="O2123" s="16"/>
      <c r="P2123" s="16"/>
      <c r="Q2123" s="17"/>
    </row>
    <row r="2124" customFormat="false" ht="15" hidden="false" customHeight="false" outlineLevel="0" collapsed="false">
      <c r="A2124" s="15" t="str">
        <f aca="false">IF(B2124="","",ROW()-1)</f>
        <v/>
      </c>
      <c r="B2124" s="16"/>
      <c r="C2124" s="16"/>
      <c r="D2124" s="16"/>
      <c r="E2124" s="16"/>
      <c r="F2124" s="17"/>
      <c r="G2124" s="16"/>
      <c r="H2124" s="16"/>
      <c r="I2124" s="16"/>
      <c r="J2124" s="16"/>
      <c r="K2124" s="16"/>
      <c r="L2124" s="16"/>
      <c r="M2124" s="18" t="str">
        <f aca="false">IF(OR(C2124="",D2124=""),"",IF(MOD(COUNTIFS($C$2:C2124,C2124,$D$2:D2124,D2124)*7,10)&lt;3,"teste","treino"))</f>
        <v/>
      </c>
      <c r="N2124" s="16"/>
      <c r="O2124" s="16"/>
      <c r="P2124" s="16"/>
      <c r="Q2124" s="17"/>
    </row>
    <row r="2125" customFormat="false" ht="15" hidden="false" customHeight="false" outlineLevel="0" collapsed="false">
      <c r="A2125" s="15" t="str">
        <f aca="false">IF(B2125="","",ROW()-1)</f>
        <v/>
      </c>
      <c r="B2125" s="16"/>
      <c r="C2125" s="16"/>
      <c r="D2125" s="16"/>
      <c r="E2125" s="16"/>
      <c r="F2125" s="17"/>
      <c r="G2125" s="16"/>
      <c r="H2125" s="16"/>
      <c r="I2125" s="16"/>
      <c r="J2125" s="16"/>
      <c r="K2125" s="16"/>
      <c r="L2125" s="16"/>
      <c r="M2125" s="18" t="str">
        <f aca="false">IF(OR(C2125="",D2125=""),"",IF(MOD(COUNTIFS($C$2:C2125,C2125,$D$2:D2125,D2125)*7,10)&lt;3,"teste","treino"))</f>
        <v/>
      </c>
      <c r="N2125" s="16"/>
      <c r="O2125" s="16"/>
      <c r="P2125" s="16"/>
      <c r="Q2125" s="17"/>
    </row>
    <row r="2126" customFormat="false" ht="15" hidden="false" customHeight="false" outlineLevel="0" collapsed="false">
      <c r="A2126" s="15" t="str">
        <f aca="false">IF(B2126="","",ROW()-1)</f>
        <v/>
      </c>
      <c r="B2126" s="16"/>
      <c r="C2126" s="16"/>
      <c r="D2126" s="16"/>
      <c r="E2126" s="16"/>
      <c r="F2126" s="17"/>
      <c r="G2126" s="16"/>
      <c r="H2126" s="16"/>
      <c r="I2126" s="16"/>
      <c r="J2126" s="16"/>
      <c r="K2126" s="16"/>
      <c r="L2126" s="16"/>
      <c r="M2126" s="18" t="str">
        <f aca="false">IF(OR(C2126="",D2126=""),"",IF(MOD(COUNTIFS($C$2:C2126,C2126,$D$2:D2126,D2126)*7,10)&lt;3,"teste","treino"))</f>
        <v/>
      </c>
      <c r="N2126" s="16"/>
      <c r="O2126" s="16"/>
      <c r="P2126" s="16"/>
      <c r="Q2126" s="17"/>
    </row>
    <row r="2127" customFormat="false" ht="15" hidden="false" customHeight="false" outlineLevel="0" collapsed="false">
      <c r="A2127" s="15" t="str">
        <f aca="false">IF(B2127="","",ROW()-1)</f>
        <v/>
      </c>
      <c r="B2127" s="16"/>
      <c r="C2127" s="16"/>
      <c r="D2127" s="16"/>
      <c r="E2127" s="16"/>
      <c r="F2127" s="17"/>
      <c r="G2127" s="16"/>
      <c r="H2127" s="16"/>
      <c r="I2127" s="16"/>
      <c r="J2127" s="16"/>
      <c r="K2127" s="16"/>
      <c r="L2127" s="16"/>
      <c r="M2127" s="18" t="str">
        <f aca="false">IF(OR(C2127="",D2127=""),"",IF(MOD(COUNTIFS($C$2:C2127,C2127,$D$2:D2127,D2127)*7,10)&lt;3,"teste","treino"))</f>
        <v/>
      </c>
      <c r="N2127" s="16"/>
      <c r="O2127" s="16"/>
      <c r="P2127" s="16"/>
      <c r="Q2127" s="17"/>
    </row>
    <row r="2128" customFormat="false" ht="15" hidden="false" customHeight="false" outlineLevel="0" collapsed="false">
      <c r="A2128" s="15" t="str">
        <f aca="false">IF(B2128="","",ROW()-1)</f>
        <v/>
      </c>
      <c r="B2128" s="16"/>
      <c r="C2128" s="16"/>
      <c r="D2128" s="16"/>
      <c r="E2128" s="16"/>
      <c r="F2128" s="17"/>
      <c r="G2128" s="16"/>
      <c r="H2128" s="16"/>
      <c r="I2128" s="16"/>
      <c r="J2128" s="16"/>
      <c r="K2128" s="16"/>
      <c r="L2128" s="16"/>
      <c r="M2128" s="18" t="str">
        <f aca="false">IF(OR(C2128="",D2128=""),"",IF(MOD(COUNTIFS($C$2:C2128,C2128,$D$2:D2128,D2128)*7,10)&lt;3,"teste","treino"))</f>
        <v/>
      </c>
      <c r="N2128" s="16"/>
      <c r="O2128" s="16"/>
      <c r="P2128" s="16"/>
      <c r="Q2128" s="17"/>
    </row>
    <row r="2129" customFormat="false" ht="15" hidden="false" customHeight="false" outlineLevel="0" collapsed="false">
      <c r="A2129" s="15" t="str">
        <f aca="false">IF(B2129="","",ROW()-1)</f>
        <v/>
      </c>
      <c r="B2129" s="16"/>
      <c r="C2129" s="16"/>
      <c r="D2129" s="16"/>
      <c r="E2129" s="16"/>
      <c r="F2129" s="17"/>
      <c r="G2129" s="16"/>
      <c r="H2129" s="16"/>
      <c r="I2129" s="16"/>
      <c r="J2129" s="16"/>
      <c r="K2129" s="16"/>
      <c r="L2129" s="16"/>
      <c r="M2129" s="18" t="str">
        <f aca="false">IF(OR(C2129="",D2129=""),"",IF(MOD(COUNTIFS($C$2:C2129,C2129,$D$2:D2129,D2129)*7,10)&lt;3,"teste","treino"))</f>
        <v/>
      </c>
      <c r="N2129" s="16"/>
      <c r="O2129" s="16"/>
      <c r="P2129" s="16"/>
      <c r="Q2129" s="17"/>
    </row>
    <row r="2130" customFormat="false" ht="15" hidden="false" customHeight="false" outlineLevel="0" collapsed="false">
      <c r="A2130" s="15" t="str">
        <f aca="false">IF(B2130="","",ROW()-1)</f>
        <v/>
      </c>
      <c r="B2130" s="16"/>
      <c r="C2130" s="16"/>
      <c r="D2130" s="16"/>
      <c r="E2130" s="16"/>
      <c r="F2130" s="17"/>
      <c r="G2130" s="16"/>
      <c r="H2130" s="16"/>
      <c r="I2130" s="16"/>
      <c r="J2130" s="16"/>
      <c r="K2130" s="16"/>
      <c r="L2130" s="16"/>
      <c r="M2130" s="18" t="str">
        <f aca="false">IF(OR(C2130="",D2130=""),"",IF(MOD(COUNTIFS($C$2:C2130,C2130,$D$2:D2130,D2130)*7,10)&lt;3,"teste","treino"))</f>
        <v/>
      </c>
      <c r="N2130" s="16"/>
      <c r="O2130" s="16"/>
      <c r="P2130" s="16"/>
      <c r="Q2130" s="17"/>
    </row>
    <row r="2131" customFormat="false" ht="15" hidden="false" customHeight="false" outlineLevel="0" collapsed="false">
      <c r="A2131" s="15" t="str">
        <f aca="false">IF(B2131="","",ROW()-1)</f>
        <v/>
      </c>
      <c r="B2131" s="16"/>
      <c r="C2131" s="16"/>
      <c r="D2131" s="16"/>
      <c r="E2131" s="16"/>
      <c r="F2131" s="17"/>
      <c r="G2131" s="16"/>
      <c r="H2131" s="16"/>
      <c r="I2131" s="16"/>
      <c r="J2131" s="16"/>
      <c r="K2131" s="16"/>
      <c r="L2131" s="16"/>
      <c r="M2131" s="18" t="str">
        <f aca="false">IF(OR(C2131="",D2131=""),"",IF(MOD(COUNTIFS($C$2:C2131,C2131,$D$2:D2131,D2131)*7,10)&lt;3,"teste","treino"))</f>
        <v/>
      </c>
      <c r="N2131" s="16"/>
      <c r="O2131" s="16"/>
      <c r="P2131" s="16"/>
      <c r="Q2131" s="17"/>
    </row>
    <row r="2132" customFormat="false" ht="15" hidden="false" customHeight="false" outlineLevel="0" collapsed="false">
      <c r="A2132" s="15" t="str">
        <f aca="false">IF(B2132="","",ROW()-1)</f>
        <v/>
      </c>
      <c r="B2132" s="16"/>
      <c r="C2132" s="16"/>
      <c r="D2132" s="16"/>
      <c r="E2132" s="16"/>
      <c r="F2132" s="17"/>
      <c r="G2132" s="16"/>
      <c r="H2132" s="16"/>
      <c r="I2132" s="16"/>
      <c r="J2132" s="16"/>
      <c r="K2132" s="16"/>
      <c r="L2132" s="16"/>
      <c r="M2132" s="18" t="str">
        <f aca="false">IF(OR(C2132="",D2132=""),"",IF(MOD(COUNTIFS($C$2:C2132,C2132,$D$2:D2132,D2132)*7,10)&lt;3,"teste","treino"))</f>
        <v/>
      </c>
      <c r="N2132" s="16"/>
      <c r="O2132" s="16"/>
      <c r="P2132" s="16"/>
      <c r="Q2132" s="17"/>
    </row>
    <row r="2133" customFormat="false" ht="15" hidden="false" customHeight="false" outlineLevel="0" collapsed="false">
      <c r="A2133" s="15" t="str">
        <f aca="false">IF(B2133="","",ROW()-1)</f>
        <v/>
      </c>
      <c r="B2133" s="16"/>
      <c r="C2133" s="16"/>
      <c r="D2133" s="16"/>
      <c r="E2133" s="16"/>
      <c r="F2133" s="17"/>
      <c r="G2133" s="16"/>
      <c r="H2133" s="16"/>
      <c r="I2133" s="16"/>
      <c r="J2133" s="16"/>
      <c r="K2133" s="16"/>
      <c r="L2133" s="16"/>
      <c r="M2133" s="18" t="str">
        <f aca="false">IF(OR(C2133="",D2133=""),"",IF(MOD(COUNTIFS($C$2:C2133,C2133,$D$2:D2133,D2133)*7,10)&lt;3,"teste","treino"))</f>
        <v/>
      </c>
      <c r="N2133" s="16"/>
      <c r="O2133" s="16"/>
      <c r="P2133" s="16"/>
      <c r="Q2133" s="17"/>
    </row>
    <row r="2134" customFormat="false" ht="15" hidden="false" customHeight="false" outlineLevel="0" collapsed="false">
      <c r="A2134" s="15" t="str">
        <f aca="false">IF(B2134="","",ROW()-1)</f>
        <v/>
      </c>
      <c r="B2134" s="16"/>
      <c r="C2134" s="16"/>
      <c r="D2134" s="16"/>
      <c r="E2134" s="16"/>
      <c r="F2134" s="17"/>
      <c r="G2134" s="16"/>
      <c r="H2134" s="16"/>
      <c r="I2134" s="16"/>
      <c r="J2134" s="16"/>
      <c r="K2134" s="16"/>
      <c r="L2134" s="16"/>
      <c r="M2134" s="18" t="str">
        <f aca="false">IF(OR(C2134="",D2134=""),"",IF(MOD(COUNTIFS($C$2:C2134,C2134,$D$2:D2134,D2134)*7,10)&lt;3,"teste","treino"))</f>
        <v/>
      </c>
      <c r="N2134" s="16"/>
      <c r="O2134" s="16"/>
      <c r="P2134" s="16"/>
      <c r="Q2134" s="17"/>
    </row>
    <row r="2135" customFormat="false" ht="15" hidden="false" customHeight="false" outlineLevel="0" collapsed="false">
      <c r="A2135" s="15" t="str">
        <f aca="false">IF(B2135="","",ROW()-1)</f>
        <v/>
      </c>
      <c r="B2135" s="16"/>
      <c r="C2135" s="16"/>
      <c r="D2135" s="16"/>
      <c r="E2135" s="16"/>
      <c r="F2135" s="17"/>
      <c r="G2135" s="16"/>
      <c r="H2135" s="16"/>
      <c r="I2135" s="16"/>
      <c r="J2135" s="16"/>
      <c r="K2135" s="16"/>
      <c r="L2135" s="16"/>
      <c r="M2135" s="18" t="str">
        <f aca="false">IF(OR(C2135="",D2135=""),"",IF(MOD(COUNTIFS($C$2:C2135,C2135,$D$2:D2135,D2135)*7,10)&lt;3,"teste","treino"))</f>
        <v/>
      </c>
      <c r="N2135" s="16"/>
      <c r="O2135" s="16"/>
      <c r="P2135" s="16"/>
      <c r="Q2135" s="17"/>
    </row>
    <row r="2136" customFormat="false" ht="15" hidden="false" customHeight="false" outlineLevel="0" collapsed="false">
      <c r="A2136" s="15" t="str">
        <f aca="false">IF(B2136="","",ROW()-1)</f>
        <v/>
      </c>
      <c r="B2136" s="16"/>
      <c r="C2136" s="16"/>
      <c r="D2136" s="16"/>
      <c r="E2136" s="16"/>
      <c r="F2136" s="17"/>
      <c r="G2136" s="16"/>
      <c r="H2136" s="16"/>
      <c r="I2136" s="16"/>
      <c r="J2136" s="16"/>
      <c r="K2136" s="16"/>
      <c r="L2136" s="16"/>
      <c r="M2136" s="18" t="str">
        <f aca="false">IF(OR(C2136="",D2136=""),"",IF(MOD(COUNTIFS($C$2:C2136,C2136,$D$2:D2136,D2136)*7,10)&lt;3,"teste","treino"))</f>
        <v/>
      </c>
      <c r="N2136" s="16"/>
      <c r="O2136" s="16"/>
      <c r="P2136" s="16"/>
      <c r="Q2136" s="17"/>
    </row>
    <row r="2137" customFormat="false" ht="15" hidden="false" customHeight="false" outlineLevel="0" collapsed="false">
      <c r="A2137" s="15" t="str">
        <f aca="false">IF(B2137="","",ROW()-1)</f>
        <v/>
      </c>
      <c r="B2137" s="16"/>
      <c r="C2137" s="16"/>
      <c r="D2137" s="16"/>
      <c r="E2137" s="16"/>
      <c r="F2137" s="17"/>
      <c r="G2137" s="16"/>
      <c r="H2137" s="16"/>
      <c r="I2137" s="16"/>
      <c r="J2137" s="16"/>
      <c r="K2137" s="16"/>
      <c r="L2137" s="16"/>
      <c r="M2137" s="18" t="str">
        <f aca="false">IF(OR(C2137="",D2137=""),"",IF(MOD(COUNTIFS($C$2:C2137,C2137,$D$2:D2137,D2137)*7,10)&lt;3,"teste","treino"))</f>
        <v/>
      </c>
      <c r="N2137" s="16"/>
      <c r="O2137" s="16"/>
      <c r="P2137" s="16"/>
      <c r="Q2137" s="17"/>
    </row>
    <row r="2138" customFormat="false" ht="15" hidden="false" customHeight="false" outlineLevel="0" collapsed="false">
      <c r="A2138" s="15" t="str">
        <f aca="false">IF(B2138="","",ROW()-1)</f>
        <v/>
      </c>
      <c r="B2138" s="16"/>
      <c r="C2138" s="16"/>
      <c r="D2138" s="16"/>
      <c r="E2138" s="16"/>
      <c r="F2138" s="17"/>
      <c r="G2138" s="16"/>
      <c r="H2138" s="16"/>
      <c r="I2138" s="16"/>
      <c r="J2138" s="16"/>
      <c r="K2138" s="16"/>
      <c r="L2138" s="16"/>
      <c r="M2138" s="18" t="str">
        <f aca="false">IF(OR(C2138="",D2138=""),"",IF(MOD(COUNTIFS($C$2:C2138,C2138,$D$2:D2138,D2138)*7,10)&lt;3,"teste","treino"))</f>
        <v/>
      </c>
      <c r="N2138" s="16"/>
      <c r="O2138" s="16"/>
      <c r="P2138" s="16"/>
      <c r="Q2138" s="17"/>
    </row>
    <row r="2139" customFormat="false" ht="15" hidden="false" customHeight="false" outlineLevel="0" collapsed="false">
      <c r="A2139" s="15" t="str">
        <f aca="false">IF(B2139="","",ROW()-1)</f>
        <v/>
      </c>
      <c r="B2139" s="16"/>
      <c r="C2139" s="16"/>
      <c r="D2139" s="16"/>
      <c r="E2139" s="16"/>
      <c r="F2139" s="17"/>
      <c r="G2139" s="16"/>
      <c r="H2139" s="16"/>
      <c r="I2139" s="16"/>
      <c r="J2139" s="16"/>
      <c r="K2139" s="16"/>
      <c r="L2139" s="16"/>
      <c r="M2139" s="18" t="str">
        <f aca="false">IF(OR(C2139="",D2139=""),"",IF(MOD(COUNTIFS($C$2:C2139,C2139,$D$2:D2139,D2139)*7,10)&lt;3,"teste","treino"))</f>
        <v/>
      </c>
      <c r="N2139" s="16"/>
      <c r="O2139" s="16"/>
      <c r="P2139" s="16"/>
      <c r="Q2139" s="17"/>
    </row>
    <row r="2140" customFormat="false" ht="15" hidden="false" customHeight="false" outlineLevel="0" collapsed="false">
      <c r="A2140" s="15" t="str">
        <f aca="false">IF(B2140="","",ROW()-1)</f>
        <v/>
      </c>
      <c r="B2140" s="16"/>
      <c r="C2140" s="16"/>
      <c r="D2140" s="16"/>
      <c r="E2140" s="16"/>
      <c r="F2140" s="17"/>
      <c r="G2140" s="16"/>
      <c r="H2140" s="16"/>
      <c r="I2140" s="16"/>
      <c r="J2140" s="16"/>
      <c r="K2140" s="16"/>
      <c r="L2140" s="16"/>
      <c r="M2140" s="18" t="str">
        <f aca="false">IF(OR(C2140="",D2140=""),"",IF(MOD(COUNTIFS($C$2:C2140,C2140,$D$2:D2140,D2140)*7,10)&lt;3,"teste","treino"))</f>
        <v/>
      </c>
      <c r="N2140" s="16"/>
      <c r="O2140" s="16"/>
      <c r="P2140" s="16"/>
      <c r="Q2140" s="17"/>
    </row>
    <row r="2141" customFormat="false" ht="15" hidden="false" customHeight="false" outlineLevel="0" collapsed="false">
      <c r="A2141" s="15" t="str">
        <f aca="false">IF(B2141="","",ROW()-1)</f>
        <v/>
      </c>
      <c r="B2141" s="16"/>
      <c r="C2141" s="16"/>
      <c r="D2141" s="16"/>
      <c r="E2141" s="16"/>
      <c r="F2141" s="17"/>
      <c r="G2141" s="16"/>
      <c r="H2141" s="16"/>
      <c r="I2141" s="16"/>
      <c r="J2141" s="16"/>
      <c r="K2141" s="16"/>
      <c r="L2141" s="16"/>
      <c r="M2141" s="18" t="str">
        <f aca="false">IF(OR(C2141="",D2141=""),"",IF(MOD(COUNTIFS($C$2:C2141,C2141,$D$2:D2141,D2141)*7,10)&lt;3,"teste","treino"))</f>
        <v/>
      </c>
      <c r="N2141" s="16"/>
      <c r="O2141" s="16"/>
      <c r="P2141" s="16"/>
      <c r="Q2141" s="17"/>
    </row>
    <row r="2142" customFormat="false" ht="15" hidden="false" customHeight="false" outlineLevel="0" collapsed="false">
      <c r="A2142" s="15" t="str">
        <f aca="false">IF(B2142="","",ROW()-1)</f>
        <v/>
      </c>
      <c r="B2142" s="16"/>
      <c r="C2142" s="16"/>
      <c r="D2142" s="16"/>
      <c r="E2142" s="16"/>
      <c r="F2142" s="17"/>
      <c r="G2142" s="16"/>
      <c r="H2142" s="16"/>
      <c r="I2142" s="16"/>
      <c r="J2142" s="16"/>
      <c r="K2142" s="16"/>
      <c r="L2142" s="16"/>
      <c r="M2142" s="18" t="str">
        <f aca="false">IF(OR(C2142="",D2142=""),"",IF(MOD(COUNTIFS($C$2:C2142,C2142,$D$2:D2142,D2142)*7,10)&lt;3,"teste","treino"))</f>
        <v/>
      </c>
      <c r="N2142" s="16"/>
      <c r="O2142" s="16"/>
      <c r="P2142" s="16"/>
      <c r="Q2142" s="17"/>
    </row>
    <row r="2143" customFormat="false" ht="15" hidden="false" customHeight="false" outlineLevel="0" collapsed="false">
      <c r="A2143" s="15" t="str">
        <f aca="false">IF(B2143="","",ROW()-1)</f>
        <v/>
      </c>
      <c r="B2143" s="16"/>
      <c r="C2143" s="16"/>
      <c r="D2143" s="16"/>
      <c r="E2143" s="16"/>
      <c r="F2143" s="17"/>
      <c r="G2143" s="16"/>
      <c r="H2143" s="16"/>
      <c r="I2143" s="16"/>
      <c r="J2143" s="16"/>
      <c r="K2143" s="16"/>
      <c r="L2143" s="16"/>
      <c r="M2143" s="18" t="str">
        <f aca="false">IF(OR(C2143="",D2143=""),"",IF(MOD(COUNTIFS($C$2:C2143,C2143,$D$2:D2143,D2143)*7,10)&lt;3,"teste","treino"))</f>
        <v/>
      </c>
      <c r="N2143" s="16"/>
      <c r="O2143" s="16"/>
      <c r="P2143" s="16"/>
      <c r="Q2143" s="17"/>
    </row>
    <row r="2144" customFormat="false" ht="15" hidden="false" customHeight="false" outlineLevel="0" collapsed="false">
      <c r="A2144" s="15" t="str">
        <f aca="false">IF(B2144="","",ROW()-1)</f>
        <v/>
      </c>
      <c r="B2144" s="16"/>
      <c r="C2144" s="16"/>
      <c r="D2144" s="16"/>
      <c r="E2144" s="16"/>
      <c r="F2144" s="17"/>
      <c r="G2144" s="16"/>
      <c r="H2144" s="16"/>
      <c r="I2144" s="16"/>
      <c r="J2144" s="16"/>
      <c r="K2144" s="16"/>
      <c r="L2144" s="16"/>
      <c r="M2144" s="18" t="str">
        <f aca="false">IF(OR(C2144="",D2144=""),"",IF(MOD(COUNTIFS($C$2:C2144,C2144,$D$2:D2144,D2144)*7,10)&lt;3,"teste","treino"))</f>
        <v/>
      </c>
      <c r="N2144" s="16"/>
      <c r="O2144" s="16"/>
      <c r="P2144" s="16"/>
      <c r="Q2144" s="17"/>
    </row>
    <row r="2145" customFormat="false" ht="15" hidden="false" customHeight="false" outlineLevel="0" collapsed="false">
      <c r="A2145" s="15" t="str">
        <f aca="false">IF(B2145="","",ROW()-1)</f>
        <v/>
      </c>
      <c r="B2145" s="16"/>
      <c r="C2145" s="16"/>
      <c r="D2145" s="16"/>
      <c r="E2145" s="16"/>
      <c r="F2145" s="17"/>
      <c r="G2145" s="16"/>
      <c r="H2145" s="16"/>
      <c r="I2145" s="16"/>
      <c r="J2145" s="16"/>
      <c r="K2145" s="16"/>
      <c r="L2145" s="16"/>
      <c r="M2145" s="18" t="str">
        <f aca="false">IF(OR(C2145="",D2145=""),"",IF(MOD(COUNTIFS($C$2:C2145,C2145,$D$2:D2145,D2145)*7,10)&lt;3,"teste","treino"))</f>
        <v/>
      </c>
      <c r="N2145" s="16"/>
      <c r="O2145" s="16"/>
      <c r="P2145" s="16"/>
      <c r="Q2145" s="17"/>
    </row>
    <row r="2146" customFormat="false" ht="15" hidden="false" customHeight="false" outlineLevel="0" collapsed="false">
      <c r="A2146" s="15" t="str">
        <f aca="false">IF(B2146="","",ROW()-1)</f>
        <v/>
      </c>
      <c r="B2146" s="16"/>
      <c r="C2146" s="16"/>
      <c r="D2146" s="16"/>
      <c r="E2146" s="16"/>
      <c r="F2146" s="17"/>
      <c r="G2146" s="16"/>
      <c r="H2146" s="16"/>
      <c r="I2146" s="16"/>
      <c r="J2146" s="16"/>
      <c r="K2146" s="16"/>
      <c r="L2146" s="16"/>
      <c r="M2146" s="18" t="str">
        <f aca="false">IF(OR(C2146="",D2146=""),"",IF(MOD(COUNTIFS($C$2:C2146,C2146,$D$2:D2146,D2146)*7,10)&lt;3,"teste","treino"))</f>
        <v/>
      </c>
      <c r="N2146" s="16"/>
      <c r="O2146" s="16"/>
      <c r="P2146" s="16"/>
      <c r="Q2146" s="17"/>
    </row>
    <row r="2147" customFormat="false" ht="15" hidden="false" customHeight="false" outlineLevel="0" collapsed="false">
      <c r="A2147" s="15" t="str">
        <f aca="false">IF(B2147="","",ROW()-1)</f>
        <v/>
      </c>
      <c r="B2147" s="16"/>
      <c r="C2147" s="16"/>
      <c r="D2147" s="16"/>
      <c r="E2147" s="16"/>
      <c r="F2147" s="17"/>
      <c r="G2147" s="16"/>
      <c r="H2147" s="16"/>
      <c r="I2147" s="16"/>
      <c r="J2147" s="16"/>
      <c r="K2147" s="16"/>
      <c r="L2147" s="16"/>
      <c r="M2147" s="18" t="str">
        <f aca="false">IF(OR(C2147="",D2147=""),"",IF(MOD(COUNTIFS($C$2:C2147,C2147,$D$2:D2147,D2147)*7,10)&lt;3,"teste","treino"))</f>
        <v/>
      </c>
      <c r="N2147" s="16"/>
      <c r="O2147" s="16"/>
      <c r="P2147" s="16"/>
      <c r="Q2147" s="17"/>
    </row>
    <row r="2148" customFormat="false" ht="15" hidden="false" customHeight="false" outlineLevel="0" collapsed="false">
      <c r="A2148" s="15" t="str">
        <f aca="false">IF(B2148="","",ROW()-1)</f>
        <v/>
      </c>
      <c r="B2148" s="16"/>
      <c r="C2148" s="16"/>
      <c r="D2148" s="16"/>
      <c r="E2148" s="16"/>
      <c r="F2148" s="17"/>
      <c r="G2148" s="16"/>
      <c r="H2148" s="16"/>
      <c r="I2148" s="16"/>
      <c r="J2148" s="16"/>
      <c r="K2148" s="16"/>
      <c r="L2148" s="16"/>
      <c r="M2148" s="18" t="str">
        <f aca="false">IF(OR(C2148="",D2148=""),"",IF(MOD(COUNTIFS($C$2:C2148,C2148,$D$2:D2148,D2148)*7,10)&lt;3,"teste","treino"))</f>
        <v/>
      </c>
      <c r="N2148" s="16"/>
      <c r="O2148" s="16"/>
      <c r="P2148" s="16"/>
      <c r="Q2148" s="17"/>
    </row>
    <row r="2149" customFormat="false" ht="15" hidden="false" customHeight="false" outlineLevel="0" collapsed="false">
      <c r="A2149" s="15" t="str">
        <f aca="false">IF(B2149="","",ROW()-1)</f>
        <v/>
      </c>
      <c r="B2149" s="16"/>
      <c r="C2149" s="16"/>
      <c r="D2149" s="16"/>
      <c r="E2149" s="16"/>
      <c r="F2149" s="17"/>
      <c r="G2149" s="16"/>
      <c r="H2149" s="16"/>
      <c r="I2149" s="16"/>
      <c r="J2149" s="16"/>
      <c r="K2149" s="16"/>
      <c r="L2149" s="16"/>
      <c r="M2149" s="18" t="str">
        <f aca="false">IF(OR(C2149="",D2149=""),"",IF(MOD(COUNTIFS($C$2:C2149,C2149,$D$2:D2149,D2149)*7,10)&lt;3,"teste","treino"))</f>
        <v/>
      </c>
      <c r="N2149" s="16"/>
      <c r="O2149" s="16"/>
      <c r="P2149" s="16"/>
      <c r="Q2149" s="17"/>
    </row>
    <row r="2150" customFormat="false" ht="15" hidden="false" customHeight="false" outlineLevel="0" collapsed="false">
      <c r="A2150" s="15" t="str">
        <f aca="false">IF(B2150="","",ROW()-1)</f>
        <v/>
      </c>
      <c r="B2150" s="16"/>
      <c r="C2150" s="16"/>
      <c r="D2150" s="16"/>
      <c r="E2150" s="16"/>
      <c r="F2150" s="17"/>
      <c r="G2150" s="16"/>
      <c r="H2150" s="16"/>
      <c r="I2150" s="16"/>
      <c r="J2150" s="16"/>
      <c r="K2150" s="16"/>
      <c r="L2150" s="16"/>
      <c r="M2150" s="18" t="str">
        <f aca="false">IF(OR(C2150="",D2150=""),"",IF(MOD(COUNTIFS($C$2:C2150,C2150,$D$2:D2150,D2150)*7,10)&lt;3,"teste","treino"))</f>
        <v/>
      </c>
      <c r="N2150" s="16"/>
      <c r="O2150" s="16"/>
      <c r="P2150" s="16"/>
      <c r="Q2150" s="17"/>
    </row>
    <row r="2151" customFormat="false" ht="15" hidden="false" customHeight="false" outlineLevel="0" collapsed="false">
      <c r="A2151" s="15" t="str">
        <f aca="false">IF(B2151="","",ROW()-1)</f>
        <v/>
      </c>
      <c r="B2151" s="16"/>
      <c r="C2151" s="16"/>
      <c r="D2151" s="16"/>
      <c r="E2151" s="16"/>
      <c r="F2151" s="17"/>
      <c r="G2151" s="16"/>
      <c r="H2151" s="16"/>
      <c r="I2151" s="16"/>
      <c r="J2151" s="16"/>
      <c r="K2151" s="16"/>
      <c r="L2151" s="16"/>
      <c r="M2151" s="18" t="str">
        <f aca="false">IF(OR(C2151="",D2151=""),"",IF(MOD(COUNTIFS($C$2:C2151,C2151,$D$2:D2151,D2151)*7,10)&lt;3,"teste","treino"))</f>
        <v/>
      </c>
      <c r="N2151" s="16"/>
      <c r="O2151" s="16"/>
      <c r="P2151" s="16"/>
      <c r="Q2151" s="17"/>
    </row>
    <row r="2152" customFormat="false" ht="15" hidden="false" customHeight="false" outlineLevel="0" collapsed="false">
      <c r="A2152" s="15" t="str">
        <f aca="false">IF(B2152="","",ROW()-1)</f>
        <v/>
      </c>
      <c r="B2152" s="16"/>
      <c r="C2152" s="16"/>
      <c r="D2152" s="16"/>
      <c r="E2152" s="16"/>
      <c r="F2152" s="17"/>
      <c r="G2152" s="16"/>
      <c r="H2152" s="16"/>
      <c r="I2152" s="16"/>
      <c r="J2152" s="16"/>
      <c r="K2152" s="16"/>
      <c r="L2152" s="16"/>
      <c r="M2152" s="18" t="str">
        <f aca="false">IF(OR(C2152="",D2152=""),"",IF(MOD(COUNTIFS($C$2:C2152,C2152,$D$2:D2152,D2152)*7,10)&lt;3,"teste","treino"))</f>
        <v/>
      </c>
      <c r="N2152" s="16"/>
      <c r="O2152" s="16"/>
      <c r="P2152" s="16"/>
      <c r="Q2152" s="17"/>
    </row>
    <row r="2153" customFormat="false" ht="15" hidden="false" customHeight="false" outlineLevel="0" collapsed="false">
      <c r="A2153" s="15" t="str">
        <f aca="false">IF(B2153="","",ROW()-1)</f>
        <v/>
      </c>
      <c r="B2153" s="16"/>
      <c r="C2153" s="16"/>
      <c r="D2153" s="16"/>
      <c r="E2153" s="16"/>
      <c r="F2153" s="17"/>
      <c r="G2153" s="16"/>
      <c r="H2153" s="16"/>
      <c r="I2153" s="16"/>
      <c r="J2153" s="16"/>
      <c r="K2153" s="16"/>
      <c r="L2153" s="16"/>
      <c r="M2153" s="18" t="str">
        <f aca="false">IF(OR(C2153="",D2153=""),"",IF(MOD(COUNTIFS($C$2:C2153,C2153,$D$2:D2153,D2153)*7,10)&lt;3,"teste","treino"))</f>
        <v/>
      </c>
      <c r="N2153" s="16"/>
      <c r="O2153" s="16"/>
      <c r="P2153" s="16"/>
      <c r="Q2153" s="17"/>
    </row>
    <row r="2154" customFormat="false" ht="15" hidden="false" customHeight="false" outlineLevel="0" collapsed="false">
      <c r="A2154" s="15" t="str">
        <f aca="false">IF(B2154="","",ROW()-1)</f>
        <v/>
      </c>
      <c r="B2154" s="16"/>
      <c r="C2154" s="16"/>
      <c r="D2154" s="16"/>
      <c r="E2154" s="16"/>
      <c r="F2154" s="17"/>
      <c r="G2154" s="16"/>
      <c r="H2154" s="16"/>
      <c r="I2154" s="16"/>
      <c r="J2154" s="16"/>
      <c r="K2154" s="16"/>
      <c r="L2154" s="16"/>
      <c r="M2154" s="18" t="str">
        <f aca="false">IF(OR(C2154="",D2154=""),"",IF(MOD(COUNTIFS($C$2:C2154,C2154,$D$2:D2154,D2154)*7,10)&lt;3,"teste","treino"))</f>
        <v/>
      </c>
      <c r="N2154" s="16"/>
      <c r="O2154" s="16"/>
      <c r="P2154" s="16"/>
      <c r="Q2154" s="17"/>
    </row>
    <row r="2155" customFormat="false" ht="15" hidden="false" customHeight="false" outlineLevel="0" collapsed="false">
      <c r="A2155" s="15" t="str">
        <f aca="false">IF(B2155="","",ROW()-1)</f>
        <v/>
      </c>
      <c r="B2155" s="16"/>
      <c r="C2155" s="16"/>
      <c r="D2155" s="16"/>
      <c r="E2155" s="16"/>
      <c r="F2155" s="17"/>
      <c r="G2155" s="16"/>
      <c r="H2155" s="16"/>
      <c r="I2155" s="16"/>
      <c r="J2155" s="16"/>
      <c r="K2155" s="16"/>
      <c r="L2155" s="16"/>
      <c r="M2155" s="18" t="str">
        <f aca="false">IF(OR(C2155="",D2155=""),"",IF(MOD(COUNTIFS($C$2:C2155,C2155,$D$2:D2155,D2155)*7,10)&lt;3,"teste","treino"))</f>
        <v/>
      </c>
      <c r="N2155" s="16"/>
      <c r="O2155" s="16"/>
      <c r="P2155" s="16"/>
      <c r="Q2155" s="17"/>
    </row>
    <row r="2156" customFormat="false" ht="15" hidden="false" customHeight="false" outlineLevel="0" collapsed="false">
      <c r="A2156" s="15" t="str">
        <f aca="false">IF(B2156="","",ROW()-1)</f>
        <v/>
      </c>
      <c r="B2156" s="16"/>
      <c r="C2156" s="16"/>
      <c r="D2156" s="16"/>
      <c r="E2156" s="16"/>
      <c r="F2156" s="17"/>
      <c r="G2156" s="16"/>
      <c r="H2156" s="16"/>
      <c r="I2156" s="16"/>
      <c r="J2156" s="16"/>
      <c r="K2156" s="16"/>
      <c r="L2156" s="16"/>
      <c r="M2156" s="18" t="str">
        <f aca="false">IF(OR(C2156="",D2156=""),"",IF(MOD(COUNTIFS($C$2:C2156,C2156,$D$2:D2156,D2156)*7,10)&lt;3,"teste","treino"))</f>
        <v/>
      </c>
      <c r="N2156" s="16"/>
      <c r="O2156" s="16"/>
      <c r="P2156" s="16"/>
      <c r="Q2156" s="17"/>
    </row>
    <row r="2157" customFormat="false" ht="15" hidden="false" customHeight="false" outlineLevel="0" collapsed="false">
      <c r="A2157" s="15" t="str">
        <f aca="false">IF(B2157="","",ROW()-1)</f>
        <v/>
      </c>
      <c r="B2157" s="16"/>
      <c r="C2157" s="16"/>
      <c r="D2157" s="16"/>
      <c r="E2157" s="16"/>
      <c r="F2157" s="17"/>
      <c r="G2157" s="16"/>
      <c r="H2157" s="16"/>
      <c r="I2157" s="16"/>
      <c r="J2157" s="16"/>
      <c r="K2157" s="16"/>
      <c r="L2157" s="16"/>
      <c r="M2157" s="18" t="str">
        <f aca="false">IF(OR(C2157="",D2157=""),"",IF(MOD(COUNTIFS($C$2:C2157,C2157,$D$2:D2157,D2157)*7,10)&lt;3,"teste","treino"))</f>
        <v/>
      </c>
      <c r="N2157" s="16"/>
      <c r="O2157" s="16"/>
      <c r="P2157" s="16"/>
      <c r="Q2157" s="17"/>
    </row>
    <row r="2158" customFormat="false" ht="15" hidden="false" customHeight="false" outlineLevel="0" collapsed="false">
      <c r="A2158" s="15" t="str">
        <f aca="false">IF(B2158="","",ROW()-1)</f>
        <v/>
      </c>
      <c r="B2158" s="16"/>
      <c r="C2158" s="16"/>
      <c r="D2158" s="16"/>
      <c r="E2158" s="16"/>
      <c r="F2158" s="17"/>
      <c r="G2158" s="16"/>
      <c r="H2158" s="16"/>
      <c r="I2158" s="16"/>
      <c r="J2158" s="16"/>
      <c r="K2158" s="16"/>
      <c r="L2158" s="16"/>
      <c r="M2158" s="18" t="str">
        <f aca="false">IF(OR(C2158="",D2158=""),"",IF(MOD(COUNTIFS($C$2:C2158,C2158,$D$2:D2158,D2158)*7,10)&lt;3,"teste","treino"))</f>
        <v/>
      </c>
      <c r="N2158" s="16"/>
      <c r="O2158" s="16"/>
      <c r="P2158" s="16"/>
      <c r="Q2158" s="17"/>
    </row>
    <row r="2159" customFormat="false" ht="15" hidden="false" customHeight="false" outlineLevel="0" collapsed="false">
      <c r="A2159" s="15" t="str">
        <f aca="false">IF(B2159="","",ROW()-1)</f>
        <v/>
      </c>
      <c r="B2159" s="16"/>
      <c r="C2159" s="16"/>
      <c r="D2159" s="16"/>
      <c r="E2159" s="16"/>
      <c r="F2159" s="17"/>
      <c r="G2159" s="16"/>
      <c r="H2159" s="16"/>
      <c r="I2159" s="16"/>
      <c r="J2159" s="16"/>
      <c r="K2159" s="16"/>
      <c r="L2159" s="16"/>
      <c r="M2159" s="18" t="str">
        <f aca="false">IF(OR(C2159="",D2159=""),"",IF(MOD(COUNTIFS($C$2:C2159,C2159,$D$2:D2159,D2159)*7,10)&lt;3,"teste","treino"))</f>
        <v/>
      </c>
      <c r="N2159" s="16"/>
      <c r="O2159" s="16"/>
      <c r="P2159" s="16"/>
      <c r="Q2159" s="17"/>
    </row>
    <row r="2160" customFormat="false" ht="15" hidden="false" customHeight="false" outlineLevel="0" collapsed="false">
      <c r="A2160" s="15" t="str">
        <f aca="false">IF(B2160="","",ROW()-1)</f>
        <v/>
      </c>
      <c r="B2160" s="16"/>
      <c r="C2160" s="16"/>
      <c r="D2160" s="16"/>
      <c r="E2160" s="16"/>
      <c r="F2160" s="17"/>
      <c r="G2160" s="16"/>
      <c r="H2160" s="16"/>
      <c r="I2160" s="16"/>
      <c r="J2160" s="16"/>
      <c r="K2160" s="16"/>
      <c r="L2160" s="16"/>
      <c r="M2160" s="18" t="str">
        <f aca="false">IF(OR(C2160="",D2160=""),"",IF(MOD(COUNTIFS($C$2:C2160,C2160,$D$2:D2160,D2160)*7,10)&lt;3,"teste","treino"))</f>
        <v/>
      </c>
      <c r="N2160" s="16"/>
      <c r="O2160" s="16"/>
      <c r="P2160" s="16"/>
      <c r="Q2160" s="17"/>
    </row>
    <row r="2161" customFormat="false" ht="15" hidden="false" customHeight="false" outlineLevel="0" collapsed="false">
      <c r="A2161" s="15" t="str">
        <f aca="false">IF(B2161="","",ROW()-1)</f>
        <v/>
      </c>
      <c r="B2161" s="16"/>
      <c r="C2161" s="16"/>
      <c r="D2161" s="16"/>
      <c r="E2161" s="16"/>
      <c r="F2161" s="17"/>
      <c r="G2161" s="16"/>
      <c r="H2161" s="16"/>
      <c r="I2161" s="16"/>
      <c r="J2161" s="16"/>
      <c r="K2161" s="16"/>
      <c r="L2161" s="16"/>
      <c r="M2161" s="18" t="str">
        <f aca="false">IF(OR(C2161="",D2161=""),"",IF(MOD(COUNTIFS($C$2:C2161,C2161,$D$2:D2161,D2161)*7,10)&lt;3,"teste","treino"))</f>
        <v/>
      </c>
      <c r="N2161" s="16"/>
      <c r="O2161" s="16"/>
      <c r="P2161" s="16"/>
      <c r="Q2161" s="17"/>
    </row>
    <row r="2162" customFormat="false" ht="15" hidden="false" customHeight="false" outlineLevel="0" collapsed="false">
      <c r="A2162" s="15" t="str">
        <f aca="false">IF(B2162="","",ROW()-1)</f>
        <v/>
      </c>
      <c r="B2162" s="16"/>
      <c r="C2162" s="16"/>
      <c r="D2162" s="16"/>
      <c r="E2162" s="16"/>
      <c r="F2162" s="17"/>
      <c r="G2162" s="16"/>
      <c r="H2162" s="16"/>
      <c r="I2162" s="16"/>
      <c r="J2162" s="16"/>
      <c r="K2162" s="16"/>
      <c r="L2162" s="16"/>
      <c r="M2162" s="18" t="str">
        <f aca="false">IF(OR(C2162="",D2162=""),"",IF(MOD(COUNTIFS($C$2:C2162,C2162,$D$2:D2162,D2162)*7,10)&lt;3,"teste","treino"))</f>
        <v/>
      </c>
      <c r="N2162" s="16"/>
      <c r="O2162" s="16"/>
      <c r="P2162" s="16"/>
      <c r="Q2162" s="17"/>
    </row>
    <row r="2163" customFormat="false" ht="15" hidden="false" customHeight="false" outlineLevel="0" collapsed="false">
      <c r="A2163" s="15" t="str">
        <f aca="false">IF(B2163="","",ROW()-1)</f>
        <v/>
      </c>
      <c r="B2163" s="16"/>
      <c r="C2163" s="16"/>
      <c r="D2163" s="16"/>
      <c r="E2163" s="16"/>
      <c r="F2163" s="17"/>
      <c r="G2163" s="16"/>
      <c r="H2163" s="16"/>
      <c r="I2163" s="16"/>
      <c r="J2163" s="16"/>
      <c r="K2163" s="16"/>
      <c r="L2163" s="16"/>
      <c r="M2163" s="18" t="str">
        <f aca="false">IF(OR(C2163="",D2163=""),"",IF(MOD(COUNTIFS($C$2:C2163,C2163,$D$2:D2163,D2163)*7,10)&lt;3,"teste","treino"))</f>
        <v/>
      </c>
      <c r="N2163" s="16"/>
      <c r="O2163" s="16"/>
      <c r="P2163" s="16"/>
      <c r="Q2163" s="17"/>
    </row>
    <row r="2164" customFormat="false" ht="15" hidden="false" customHeight="false" outlineLevel="0" collapsed="false">
      <c r="A2164" s="15" t="str">
        <f aca="false">IF(B2164="","",ROW()-1)</f>
        <v/>
      </c>
      <c r="B2164" s="16"/>
      <c r="C2164" s="16"/>
      <c r="D2164" s="16"/>
      <c r="E2164" s="16"/>
      <c r="F2164" s="17"/>
      <c r="G2164" s="16"/>
      <c r="H2164" s="16"/>
      <c r="I2164" s="16"/>
      <c r="J2164" s="16"/>
      <c r="K2164" s="16"/>
      <c r="L2164" s="16"/>
      <c r="M2164" s="18" t="str">
        <f aca="false">IF(OR(C2164="",D2164=""),"",IF(MOD(COUNTIFS($C$2:C2164,C2164,$D$2:D2164,D2164)*7,10)&lt;3,"teste","treino"))</f>
        <v/>
      </c>
      <c r="N2164" s="16"/>
      <c r="O2164" s="16"/>
      <c r="P2164" s="16"/>
      <c r="Q2164" s="17"/>
    </row>
    <row r="2165" customFormat="false" ht="15" hidden="false" customHeight="false" outlineLevel="0" collapsed="false">
      <c r="A2165" s="15" t="str">
        <f aca="false">IF(B2165="","",ROW()-1)</f>
        <v/>
      </c>
      <c r="B2165" s="16"/>
      <c r="C2165" s="16"/>
      <c r="D2165" s="16"/>
      <c r="E2165" s="16"/>
      <c r="F2165" s="17"/>
      <c r="G2165" s="16"/>
      <c r="H2165" s="16"/>
      <c r="I2165" s="16"/>
      <c r="J2165" s="16"/>
      <c r="K2165" s="16"/>
      <c r="L2165" s="16"/>
      <c r="M2165" s="18" t="str">
        <f aca="false">IF(OR(C2165="",D2165=""),"",IF(MOD(COUNTIFS($C$2:C2165,C2165,$D$2:D2165,D2165)*7,10)&lt;3,"teste","treino"))</f>
        <v/>
      </c>
      <c r="N2165" s="16"/>
      <c r="O2165" s="16"/>
      <c r="P2165" s="16"/>
      <c r="Q2165" s="17"/>
    </row>
    <row r="2166" customFormat="false" ht="15" hidden="false" customHeight="false" outlineLevel="0" collapsed="false">
      <c r="A2166" s="15" t="str">
        <f aca="false">IF(B2166="","",ROW()-1)</f>
        <v/>
      </c>
      <c r="B2166" s="16"/>
      <c r="C2166" s="16"/>
      <c r="D2166" s="16"/>
      <c r="E2166" s="16"/>
      <c r="F2166" s="17"/>
      <c r="G2166" s="16"/>
      <c r="H2166" s="16"/>
      <c r="I2166" s="16"/>
      <c r="J2166" s="16"/>
      <c r="K2166" s="16"/>
      <c r="L2166" s="16"/>
      <c r="M2166" s="18" t="str">
        <f aca="false">IF(OR(C2166="",D2166=""),"",IF(MOD(COUNTIFS($C$2:C2166,C2166,$D$2:D2166,D2166)*7,10)&lt;3,"teste","treino"))</f>
        <v/>
      </c>
      <c r="N2166" s="16"/>
      <c r="O2166" s="16"/>
      <c r="P2166" s="16"/>
      <c r="Q2166" s="17"/>
    </row>
    <row r="2167" customFormat="false" ht="15" hidden="false" customHeight="false" outlineLevel="0" collapsed="false">
      <c r="A2167" s="15" t="str">
        <f aca="false">IF(B2167="","",ROW()-1)</f>
        <v/>
      </c>
      <c r="B2167" s="16"/>
      <c r="C2167" s="16"/>
      <c r="D2167" s="16"/>
      <c r="E2167" s="16"/>
      <c r="F2167" s="17"/>
      <c r="G2167" s="16"/>
      <c r="H2167" s="16"/>
      <c r="I2167" s="16"/>
      <c r="J2167" s="16"/>
      <c r="K2167" s="16"/>
      <c r="L2167" s="16"/>
      <c r="M2167" s="18" t="str">
        <f aca="false">IF(OR(C2167="",D2167=""),"",IF(MOD(COUNTIFS($C$2:C2167,C2167,$D$2:D2167,D2167)*7,10)&lt;3,"teste","treino"))</f>
        <v/>
      </c>
      <c r="N2167" s="16"/>
      <c r="O2167" s="16"/>
      <c r="P2167" s="16"/>
      <c r="Q2167" s="17"/>
    </row>
    <row r="2168" customFormat="false" ht="15" hidden="false" customHeight="false" outlineLevel="0" collapsed="false">
      <c r="A2168" s="15" t="str">
        <f aca="false">IF(B2168="","",ROW()-1)</f>
        <v/>
      </c>
      <c r="B2168" s="16"/>
      <c r="C2168" s="16"/>
      <c r="D2168" s="16"/>
      <c r="E2168" s="16"/>
      <c r="F2168" s="17"/>
      <c r="G2168" s="16"/>
      <c r="H2168" s="16"/>
      <c r="I2168" s="16"/>
      <c r="J2168" s="16"/>
      <c r="K2168" s="16"/>
      <c r="L2168" s="16"/>
      <c r="M2168" s="18" t="str">
        <f aca="false">IF(OR(C2168="",D2168=""),"",IF(MOD(COUNTIFS($C$2:C2168,C2168,$D$2:D2168,D2168)*7,10)&lt;3,"teste","treino"))</f>
        <v/>
      </c>
      <c r="N2168" s="16"/>
      <c r="O2168" s="16"/>
      <c r="P2168" s="16"/>
      <c r="Q2168" s="17"/>
    </row>
    <row r="2169" customFormat="false" ht="15" hidden="false" customHeight="false" outlineLevel="0" collapsed="false">
      <c r="A2169" s="15" t="str">
        <f aca="false">IF(B2169="","",ROW()-1)</f>
        <v/>
      </c>
      <c r="B2169" s="16"/>
      <c r="C2169" s="16"/>
      <c r="D2169" s="16"/>
      <c r="E2169" s="16"/>
      <c r="F2169" s="17"/>
      <c r="G2169" s="16"/>
      <c r="H2169" s="16"/>
      <c r="I2169" s="16"/>
      <c r="J2169" s="16"/>
      <c r="K2169" s="16"/>
      <c r="L2169" s="16"/>
      <c r="M2169" s="18" t="str">
        <f aca="false">IF(OR(C2169="",D2169=""),"",IF(MOD(COUNTIFS($C$2:C2169,C2169,$D$2:D2169,D2169)*7,10)&lt;3,"teste","treino"))</f>
        <v/>
      </c>
      <c r="N2169" s="16"/>
      <c r="O2169" s="16"/>
      <c r="P2169" s="16"/>
      <c r="Q2169" s="17"/>
    </row>
    <row r="2170" customFormat="false" ht="15" hidden="false" customHeight="false" outlineLevel="0" collapsed="false">
      <c r="A2170" s="15" t="str">
        <f aca="false">IF(B2170="","",ROW()-1)</f>
        <v/>
      </c>
      <c r="B2170" s="16"/>
      <c r="C2170" s="16"/>
      <c r="D2170" s="16"/>
      <c r="E2170" s="16"/>
      <c r="F2170" s="17"/>
      <c r="G2170" s="16"/>
      <c r="H2170" s="16"/>
      <c r="I2170" s="16"/>
      <c r="J2170" s="16"/>
      <c r="K2170" s="16"/>
      <c r="L2170" s="16"/>
      <c r="M2170" s="18" t="str">
        <f aca="false">IF(OR(C2170="",D2170=""),"",IF(MOD(COUNTIFS($C$2:C2170,C2170,$D$2:D2170,D2170)*7,10)&lt;3,"teste","treino"))</f>
        <v/>
      </c>
      <c r="N2170" s="16"/>
      <c r="O2170" s="16"/>
      <c r="P2170" s="16"/>
      <c r="Q2170" s="17"/>
    </row>
    <row r="2171" customFormat="false" ht="15" hidden="false" customHeight="false" outlineLevel="0" collapsed="false">
      <c r="A2171" s="15" t="str">
        <f aca="false">IF(B2171="","",ROW()-1)</f>
        <v/>
      </c>
      <c r="B2171" s="16"/>
      <c r="C2171" s="16"/>
      <c r="D2171" s="16"/>
      <c r="E2171" s="16"/>
      <c r="F2171" s="17"/>
      <c r="G2171" s="16"/>
      <c r="H2171" s="16"/>
      <c r="I2171" s="16"/>
      <c r="J2171" s="16"/>
      <c r="K2171" s="16"/>
      <c r="L2171" s="16"/>
      <c r="M2171" s="18" t="str">
        <f aca="false">IF(OR(C2171="",D2171=""),"",IF(MOD(COUNTIFS($C$2:C2171,C2171,$D$2:D2171,D2171)*7,10)&lt;3,"teste","treino"))</f>
        <v/>
      </c>
      <c r="N2171" s="16"/>
      <c r="O2171" s="16"/>
      <c r="P2171" s="16"/>
      <c r="Q2171" s="17"/>
    </row>
    <row r="2172" customFormat="false" ht="15" hidden="false" customHeight="false" outlineLevel="0" collapsed="false">
      <c r="A2172" s="15" t="str">
        <f aca="false">IF(B2172="","",ROW()-1)</f>
        <v/>
      </c>
      <c r="B2172" s="16"/>
      <c r="C2172" s="16"/>
      <c r="D2172" s="16"/>
      <c r="E2172" s="16"/>
      <c r="F2172" s="17"/>
      <c r="G2172" s="16"/>
      <c r="H2172" s="16"/>
      <c r="I2172" s="16"/>
      <c r="J2172" s="16"/>
      <c r="K2172" s="16"/>
      <c r="L2172" s="16"/>
      <c r="M2172" s="18" t="str">
        <f aca="false">IF(OR(C2172="",D2172=""),"",IF(MOD(COUNTIFS($C$2:C2172,C2172,$D$2:D2172,D2172)*7,10)&lt;3,"teste","treino"))</f>
        <v/>
      </c>
      <c r="N2172" s="16"/>
      <c r="O2172" s="16"/>
      <c r="P2172" s="16"/>
      <c r="Q2172" s="17"/>
    </row>
    <row r="2173" customFormat="false" ht="15" hidden="false" customHeight="false" outlineLevel="0" collapsed="false">
      <c r="A2173" s="15" t="str">
        <f aca="false">IF(B2173="","",ROW()-1)</f>
        <v/>
      </c>
      <c r="B2173" s="16"/>
      <c r="C2173" s="16"/>
      <c r="D2173" s="16"/>
      <c r="E2173" s="16"/>
      <c r="F2173" s="17"/>
      <c r="G2173" s="16"/>
      <c r="H2173" s="16"/>
      <c r="I2173" s="16"/>
      <c r="J2173" s="16"/>
      <c r="K2173" s="16"/>
      <c r="L2173" s="16"/>
      <c r="M2173" s="18" t="str">
        <f aca="false">IF(OR(C2173="",D2173=""),"",IF(MOD(COUNTIFS($C$2:C2173,C2173,$D$2:D2173,D2173)*7,10)&lt;3,"teste","treino"))</f>
        <v/>
      </c>
      <c r="N2173" s="16"/>
      <c r="O2173" s="16"/>
      <c r="P2173" s="16"/>
      <c r="Q2173" s="17"/>
    </row>
    <row r="2174" customFormat="false" ht="15" hidden="false" customHeight="false" outlineLevel="0" collapsed="false">
      <c r="A2174" s="15" t="str">
        <f aca="false">IF(B2174="","",ROW()-1)</f>
        <v/>
      </c>
      <c r="B2174" s="16"/>
      <c r="C2174" s="16"/>
      <c r="D2174" s="16"/>
      <c r="E2174" s="16"/>
      <c r="F2174" s="17"/>
      <c r="G2174" s="16"/>
      <c r="H2174" s="16"/>
      <c r="I2174" s="16"/>
      <c r="J2174" s="16"/>
      <c r="K2174" s="16"/>
      <c r="L2174" s="16"/>
      <c r="M2174" s="18" t="str">
        <f aca="false">IF(OR(C2174="",D2174=""),"",IF(MOD(COUNTIFS($C$2:C2174,C2174,$D$2:D2174,D2174)*7,10)&lt;3,"teste","treino"))</f>
        <v/>
      </c>
      <c r="N2174" s="16"/>
      <c r="O2174" s="16"/>
      <c r="P2174" s="16"/>
      <c r="Q2174" s="17"/>
    </row>
    <row r="2175" customFormat="false" ht="15" hidden="false" customHeight="false" outlineLevel="0" collapsed="false">
      <c r="A2175" s="15" t="str">
        <f aca="false">IF(B2175="","",ROW()-1)</f>
        <v/>
      </c>
      <c r="B2175" s="16"/>
      <c r="C2175" s="16"/>
      <c r="D2175" s="16"/>
      <c r="E2175" s="16"/>
      <c r="F2175" s="17"/>
      <c r="G2175" s="16"/>
      <c r="H2175" s="16"/>
      <c r="I2175" s="16"/>
      <c r="J2175" s="16"/>
      <c r="K2175" s="16"/>
      <c r="L2175" s="16"/>
      <c r="M2175" s="18" t="str">
        <f aca="false">IF(OR(C2175="",D2175=""),"",IF(MOD(COUNTIFS($C$2:C2175,C2175,$D$2:D2175,D2175)*7,10)&lt;3,"teste","treino"))</f>
        <v/>
      </c>
      <c r="N2175" s="16"/>
      <c r="O2175" s="16"/>
      <c r="P2175" s="16"/>
      <c r="Q2175" s="17"/>
    </row>
    <row r="2176" customFormat="false" ht="15" hidden="false" customHeight="false" outlineLevel="0" collapsed="false">
      <c r="A2176" s="15" t="str">
        <f aca="false">IF(B2176="","",ROW()-1)</f>
        <v/>
      </c>
      <c r="B2176" s="16"/>
      <c r="C2176" s="16"/>
      <c r="D2176" s="16"/>
      <c r="E2176" s="16"/>
      <c r="F2176" s="17"/>
      <c r="G2176" s="16"/>
      <c r="H2176" s="16"/>
      <c r="I2176" s="16"/>
      <c r="J2176" s="16"/>
      <c r="K2176" s="16"/>
      <c r="L2176" s="16"/>
      <c r="M2176" s="18" t="str">
        <f aca="false">IF(OR(C2176="",D2176=""),"",IF(MOD(COUNTIFS($C$2:C2176,C2176,$D$2:D2176,D2176)*7,10)&lt;3,"teste","treino"))</f>
        <v/>
      </c>
      <c r="N2176" s="16"/>
      <c r="O2176" s="16"/>
      <c r="P2176" s="16"/>
      <c r="Q2176" s="17"/>
    </row>
    <row r="2177" customFormat="false" ht="15" hidden="false" customHeight="false" outlineLevel="0" collapsed="false">
      <c r="A2177" s="15" t="str">
        <f aca="false">IF(B2177="","",ROW()-1)</f>
        <v/>
      </c>
      <c r="B2177" s="16"/>
      <c r="C2177" s="16"/>
      <c r="D2177" s="16"/>
      <c r="E2177" s="16"/>
      <c r="F2177" s="17"/>
      <c r="G2177" s="16"/>
      <c r="H2177" s="16"/>
      <c r="I2177" s="16"/>
      <c r="J2177" s="16"/>
      <c r="K2177" s="16"/>
      <c r="L2177" s="16"/>
      <c r="M2177" s="18" t="str">
        <f aca="false">IF(OR(C2177="",D2177=""),"",IF(MOD(COUNTIFS($C$2:C2177,C2177,$D$2:D2177,D2177)*7,10)&lt;3,"teste","treino"))</f>
        <v/>
      </c>
      <c r="N2177" s="16"/>
      <c r="O2177" s="16"/>
      <c r="P2177" s="16"/>
      <c r="Q2177" s="17"/>
    </row>
    <row r="2178" customFormat="false" ht="15" hidden="false" customHeight="false" outlineLevel="0" collapsed="false">
      <c r="A2178" s="15" t="str">
        <f aca="false">IF(B2178="","",ROW()-1)</f>
        <v/>
      </c>
      <c r="B2178" s="16"/>
      <c r="C2178" s="16"/>
      <c r="D2178" s="16"/>
      <c r="E2178" s="16"/>
      <c r="F2178" s="17"/>
      <c r="G2178" s="16"/>
      <c r="H2178" s="16"/>
      <c r="I2178" s="16"/>
      <c r="J2178" s="16"/>
      <c r="K2178" s="16"/>
      <c r="L2178" s="16"/>
      <c r="M2178" s="18" t="str">
        <f aca="false">IF(OR(C2178="",D2178=""),"",IF(MOD(COUNTIFS($C$2:C2178,C2178,$D$2:D2178,D2178)*7,10)&lt;3,"teste","treino"))</f>
        <v/>
      </c>
      <c r="N2178" s="16"/>
      <c r="O2178" s="16"/>
      <c r="P2178" s="16"/>
      <c r="Q2178" s="17"/>
    </row>
    <row r="2179" customFormat="false" ht="15" hidden="false" customHeight="false" outlineLevel="0" collapsed="false">
      <c r="A2179" s="15" t="str">
        <f aca="false">IF(B2179="","",ROW()-1)</f>
        <v/>
      </c>
      <c r="B2179" s="16"/>
      <c r="C2179" s="16"/>
      <c r="D2179" s="16"/>
      <c r="E2179" s="16"/>
      <c r="F2179" s="17"/>
      <c r="G2179" s="16"/>
      <c r="H2179" s="16"/>
      <c r="I2179" s="16"/>
      <c r="J2179" s="16"/>
      <c r="K2179" s="16"/>
      <c r="L2179" s="16"/>
      <c r="M2179" s="18" t="str">
        <f aca="false">IF(OR(C2179="",D2179=""),"",IF(MOD(COUNTIFS($C$2:C2179,C2179,$D$2:D2179,D2179)*7,10)&lt;3,"teste","treino"))</f>
        <v/>
      </c>
      <c r="N2179" s="16"/>
      <c r="O2179" s="16"/>
      <c r="P2179" s="16"/>
      <c r="Q2179" s="17"/>
    </row>
    <row r="2180" customFormat="false" ht="15" hidden="false" customHeight="false" outlineLevel="0" collapsed="false">
      <c r="A2180" s="15" t="str">
        <f aca="false">IF(B2180="","",ROW()-1)</f>
        <v/>
      </c>
      <c r="B2180" s="16"/>
      <c r="C2180" s="16"/>
      <c r="D2180" s="16"/>
      <c r="E2180" s="16"/>
      <c r="F2180" s="17"/>
      <c r="G2180" s="16"/>
      <c r="H2180" s="16"/>
      <c r="I2180" s="16"/>
      <c r="J2180" s="16"/>
      <c r="K2180" s="16"/>
      <c r="L2180" s="16"/>
      <c r="M2180" s="18" t="str">
        <f aca="false">IF(OR(C2180="",D2180=""),"",IF(MOD(COUNTIFS($C$2:C2180,C2180,$D$2:D2180,D2180)*7,10)&lt;3,"teste","treino"))</f>
        <v/>
      </c>
      <c r="N2180" s="16"/>
      <c r="O2180" s="16"/>
      <c r="P2180" s="16"/>
      <c r="Q2180" s="17"/>
    </row>
    <row r="2181" customFormat="false" ht="15" hidden="false" customHeight="false" outlineLevel="0" collapsed="false">
      <c r="A2181" s="15" t="str">
        <f aca="false">IF(B2181="","",ROW()-1)</f>
        <v/>
      </c>
      <c r="B2181" s="16"/>
      <c r="C2181" s="16"/>
      <c r="D2181" s="16"/>
      <c r="E2181" s="16"/>
      <c r="F2181" s="17"/>
      <c r="G2181" s="16"/>
      <c r="H2181" s="16"/>
      <c r="I2181" s="16"/>
      <c r="J2181" s="16"/>
      <c r="K2181" s="16"/>
      <c r="L2181" s="16"/>
      <c r="M2181" s="18" t="str">
        <f aca="false">IF(OR(C2181="",D2181=""),"",IF(MOD(COUNTIFS($C$2:C2181,C2181,$D$2:D2181,D2181)*7,10)&lt;3,"teste","treino"))</f>
        <v/>
      </c>
      <c r="N2181" s="16"/>
      <c r="O2181" s="16"/>
      <c r="P2181" s="16"/>
      <c r="Q2181" s="17"/>
    </row>
    <row r="2182" customFormat="false" ht="15" hidden="false" customHeight="false" outlineLevel="0" collapsed="false">
      <c r="A2182" s="15" t="str">
        <f aca="false">IF(B2182="","",ROW()-1)</f>
        <v/>
      </c>
      <c r="B2182" s="16"/>
      <c r="C2182" s="16"/>
      <c r="D2182" s="16"/>
      <c r="E2182" s="16"/>
      <c r="F2182" s="17"/>
      <c r="G2182" s="16"/>
      <c r="H2182" s="16"/>
      <c r="I2182" s="16"/>
      <c r="J2182" s="16"/>
      <c r="K2182" s="16"/>
      <c r="L2182" s="16"/>
      <c r="M2182" s="18" t="str">
        <f aca="false">IF(OR(C2182="",D2182=""),"",IF(MOD(COUNTIFS($C$2:C2182,C2182,$D$2:D2182,D2182)*7,10)&lt;3,"teste","treino"))</f>
        <v/>
      </c>
      <c r="N2182" s="16"/>
      <c r="O2182" s="16"/>
      <c r="P2182" s="16"/>
      <c r="Q2182" s="17"/>
    </row>
    <row r="2183" customFormat="false" ht="15" hidden="false" customHeight="false" outlineLevel="0" collapsed="false">
      <c r="A2183" s="15" t="str">
        <f aca="false">IF(B2183="","",ROW()-1)</f>
        <v/>
      </c>
      <c r="B2183" s="16"/>
      <c r="C2183" s="16"/>
      <c r="D2183" s="16"/>
      <c r="E2183" s="16"/>
      <c r="F2183" s="17"/>
      <c r="G2183" s="16"/>
      <c r="H2183" s="16"/>
      <c r="I2183" s="16"/>
      <c r="J2183" s="16"/>
      <c r="K2183" s="16"/>
      <c r="L2183" s="16"/>
      <c r="M2183" s="18" t="str">
        <f aca="false">IF(OR(C2183="",D2183=""),"",IF(MOD(COUNTIFS($C$2:C2183,C2183,$D$2:D2183,D2183)*7,10)&lt;3,"teste","treino"))</f>
        <v/>
      </c>
      <c r="N2183" s="16"/>
      <c r="O2183" s="16"/>
      <c r="P2183" s="16"/>
      <c r="Q2183" s="17"/>
    </row>
    <row r="2184" customFormat="false" ht="15" hidden="false" customHeight="false" outlineLevel="0" collapsed="false">
      <c r="A2184" s="15" t="str">
        <f aca="false">IF(B2184="","",ROW()-1)</f>
        <v/>
      </c>
      <c r="B2184" s="16"/>
      <c r="C2184" s="16"/>
      <c r="D2184" s="16"/>
      <c r="E2184" s="16"/>
      <c r="F2184" s="17"/>
      <c r="G2184" s="16"/>
      <c r="H2184" s="16"/>
      <c r="I2184" s="16"/>
      <c r="J2184" s="16"/>
      <c r="K2184" s="16"/>
      <c r="L2184" s="16"/>
      <c r="M2184" s="18" t="str">
        <f aca="false">IF(OR(C2184="",D2184=""),"",IF(MOD(COUNTIFS($C$2:C2184,C2184,$D$2:D2184,D2184)*7,10)&lt;3,"teste","treino"))</f>
        <v/>
      </c>
      <c r="N2184" s="16"/>
      <c r="O2184" s="16"/>
      <c r="P2184" s="16"/>
      <c r="Q2184" s="17"/>
    </row>
    <row r="2185" customFormat="false" ht="15" hidden="false" customHeight="false" outlineLevel="0" collapsed="false">
      <c r="A2185" s="15" t="str">
        <f aca="false">IF(B2185="","",ROW()-1)</f>
        <v/>
      </c>
      <c r="B2185" s="16"/>
      <c r="C2185" s="16"/>
      <c r="D2185" s="16"/>
      <c r="E2185" s="16"/>
      <c r="F2185" s="17"/>
      <c r="G2185" s="16"/>
      <c r="H2185" s="16"/>
      <c r="I2185" s="16"/>
      <c r="J2185" s="16"/>
      <c r="K2185" s="16"/>
      <c r="L2185" s="16"/>
      <c r="M2185" s="18" t="str">
        <f aca="false">IF(OR(C2185="",D2185=""),"",IF(MOD(COUNTIFS($C$2:C2185,C2185,$D$2:D2185,D2185)*7,10)&lt;3,"teste","treino"))</f>
        <v/>
      </c>
      <c r="N2185" s="16"/>
      <c r="O2185" s="16"/>
      <c r="P2185" s="16"/>
      <c r="Q2185" s="17"/>
    </row>
    <row r="2186" customFormat="false" ht="15" hidden="false" customHeight="false" outlineLevel="0" collapsed="false">
      <c r="A2186" s="15" t="str">
        <f aca="false">IF(B2186="","",ROW()-1)</f>
        <v/>
      </c>
      <c r="B2186" s="16"/>
      <c r="C2186" s="16"/>
      <c r="D2186" s="16"/>
      <c r="E2186" s="16"/>
      <c r="F2186" s="17"/>
      <c r="G2186" s="16"/>
      <c r="H2186" s="16"/>
      <c r="I2186" s="16"/>
      <c r="J2186" s="16"/>
      <c r="K2186" s="16"/>
      <c r="L2186" s="16"/>
      <c r="M2186" s="18" t="str">
        <f aca="false">IF(OR(C2186="",D2186=""),"",IF(MOD(COUNTIFS($C$2:C2186,C2186,$D$2:D2186,D2186)*7,10)&lt;3,"teste","treino"))</f>
        <v/>
      </c>
      <c r="N2186" s="16"/>
      <c r="O2186" s="16"/>
      <c r="P2186" s="16"/>
      <c r="Q2186" s="17"/>
    </row>
    <row r="2187" customFormat="false" ht="15" hidden="false" customHeight="false" outlineLevel="0" collapsed="false">
      <c r="A2187" s="15" t="str">
        <f aca="false">IF(B2187="","",ROW()-1)</f>
        <v/>
      </c>
      <c r="B2187" s="16"/>
      <c r="C2187" s="16"/>
      <c r="D2187" s="16"/>
      <c r="E2187" s="16"/>
      <c r="F2187" s="17"/>
      <c r="G2187" s="16"/>
      <c r="H2187" s="16"/>
      <c r="I2187" s="16"/>
      <c r="J2187" s="16"/>
      <c r="K2187" s="16"/>
      <c r="L2187" s="16"/>
      <c r="M2187" s="18" t="str">
        <f aca="false">IF(OR(C2187="",D2187=""),"",IF(MOD(COUNTIFS($C$2:C2187,C2187,$D$2:D2187,D2187)*7,10)&lt;3,"teste","treino"))</f>
        <v/>
      </c>
      <c r="N2187" s="16"/>
      <c r="O2187" s="16"/>
      <c r="P2187" s="16"/>
      <c r="Q2187" s="17"/>
    </row>
    <row r="2188" customFormat="false" ht="15" hidden="false" customHeight="false" outlineLevel="0" collapsed="false">
      <c r="A2188" s="15" t="str">
        <f aca="false">IF(B2188="","",ROW()-1)</f>
        <v/>
      </c>
      <c r="B2188" s="16"/>
      <c r="C2188" s="16"/>
      <c r="D2188" s="16"/>
      <c r="E2188" s="16"/>
      <c r="F2188" s="17"/>
      <c r="G2188" s="16"/>
      <c r="H2188" s="16"/>
      <c r="I2188" s="16"/>
      <c r="J2188" s="16"/>
      <c r="K2188" s="16"/>
      <c r="L2188" s="16"/>
      <c r="M2188" s="18" t="str">
        <f aca="false">IF(OR(C2188="",D2188=""),"",IF(MOD(COUNTIFS($C$2:C2188,C2188,$D$2:D2188,D2188)*7,10)&lt;3,"teste","treino"))</f>
        <v/>
      </c>
      <c r="N2188" s="16"/>
      <c r="O2188" s="16"/>
      <c r="P2188" s="16"/>
      <c r="Q2188" s="17"/>
    </row>
    <row r="2189" customFormat="false" ht="15" hidden="false" customHeight="false" outlineLevel="0" collapsed="false">
      <c r="A2189" s="15" t="str">
        <f aca="false">IF(B2189="","",ROW()-1)</f>
        <v/>
      </c>
      <c r="B2189" s="16"/>
      <c r="C2189" s="16"/>
      <c r="D2189" s="16"/>
      <c r="E2189" s="16"/>
      <c r="F2189" s="17"/>
      <c r="G2189" s="16"/>
      <c r="H2189" s="16"/>
      <c r="I2189" s="16"/>
      <c r="J2189" s="16"/>
      <c r="K2189" s="16"/>
      <c r="L2189" s="16"/>
      <c r="M2189" s="18" t="str">
        <f aca="false">IF(OR(C2189="",D2189=""),"",IF(MOD(COUNTIFS($C$2:C2189,C2189,$D$2:D2189,D2189)*7,10)&lt;3,"teste","treino"))</f>
        <v/>
      </c>
      <c r="N2189" s="16"/>
      <c r="O2189" s="16"/>
      <c r="P2189" s="16"/>
      <c r="Q2189" s="17"/>
    </row>
    <row r="2190" customFormat="false" ht="15" hidden="false" customHeight="false" outlineLevel="0" collapsed="false">
      <c r="A2190" s="15" t="str">
        <f aca="false">IF(B2190="","",ROW()-1)</f>
        <v/>
      </c>
      <c r="B2190" s="16"/>
      <c r="C2190" s="16"/>
      <c r="D2190" s="16"/>
      <c r="E2190" s="16"/>
      <c r="F2190" s="17"/>
      <c r="G2190" s="16"/>
      <c r="H2190" s="16"/>
      <c r="I2190" s="16"/>
      <c r="J2190" s="16"/>
      <c r="K2190" s="16"/>
      <c r="L2190" s="16"/>
      <c r="M2190" s="18" t="str">
        <f aca="false">IF(OR(C2190="",D2190=""),"",IF(MOD(COUNTIFS($C$2:C2190,C2190,$D$2:D2190,D2190)*7,10)&lt;3,"teste","treino"))</f>
        <v/>
      </c>
      <c r="N2190" s="16"/>
      <c r="O2190" s="16"/>
      <c r="P2190" s="16"/>
      <c r="Q2190" s="17"/>
    </row>
    <row r="2191" customFormat="false" ht="15" hidden="false" customHeight="false" outlineLevel="0" collapsed="false">
      <c r="A2191" s="15" t="str">
        <f aca="false">IF(B2191="","",ROW()-1)</f>
        <v/>
      </c>
      <c r="B2191" s="16"/>
      <c r="C2191" s="16"/>
      <c r="D2191" s="16"/>
      <c r="E2191" s="16"/>
      <c r="F2191" s="17"/>
      <c r="G2191" s="16"/>
      <c r="H2191" s="16"/>
      <c r="I2191" s="16"/>
      <c r="J2191" s="16"/>
      <c r="K2191" s="16"/>
      <c r="L2191" s="16"/>
      <c r="M2191" s="18" t="str">
        <f aca="false">IF(OR(C2191="",D2191=""),"",IF(MOD(COUNTIFS($C$2:C2191,C2191,$D$2:D2191,D2191)*7,10)&lt;3,"teste","treino"))</f>
        <v/>
      </c>
      <c r="N2191" s="16"/>
      <c r="O2191" s="16"/>
      <c r="P2191" s="16"/>
      <c r="Q2191" s="17"/>
    </row>
    <row r="2192" customFormat="false" ht="15" hidden="false" customHeight="false" outlineLevel="0" collapsed="false">
      <c r="A2192" s="15" t="str">
        <f aca="false">IF(B2192="","",ROW()-1)</f>
        <v/>
      </c>
      <c r="B2192" s="16"/>
      <c r="C2192" s="16"/>
      <c r="D2192" s="16"/>
      <c r="E2192" s="16"/>
      <c r="F2192" s="17"/>
      <c r="G2192" s="16"/>
      <c r="H2192" s="16"/>
      <c r="I2192" s="16"/>
      <c r="J2192" s="16"/>
      <c r="K2192" s="16"/>
      <c r="L2192" s="16"/>
      <c r="M2192" s="18" t="str">
        <f aca="false">IF(OR(C2192="",D2192=""),"",IF(MOD(COUNTIFS($C$2:C2192,C2192,$D$2:D2192,D2192)*7,10)&lt;3,"teste","treino"))</f>
        <v/>
      </c>
      <c r="N2192" s="16"/>
      <c r="O2192" s="16"/>
      <c r="P2192" s="16"/>
      <c r="Q2192" s="17"/>
    </row>
    <row r="2193" customFormat="false" ht="15" hidden="false" customHeight="false" outlineLevel="0" collapsed="false">
      <c r="A2193" s="15" t="str">
        <f aca="false">IF(B2193="","",ROW()-1)</f>
        <v/>
      </c>
      <c r="B2193" s="16"/>
      <c r="C2193" s="16"/>
      <c r="D2193" s="16"/>
      <c r="E2193" s="16"/>
      <c r="F2193" s="17"/>
      <c r="G2193" s="16"/>
      <c r="H2193" s="16"/>
      <c r="I2193" s="16"/>
      <c r="J2193" s="16"/>
      <c r="K2193" s="16"/>
      <c r="L2193" s="16"/>
      <c r="M2193" s="18" t="str">
        <f aca="false">IF(OR(C2193="",D2193=""),"",IF(MOD(COUNTIFS($C$2:C2193,C2193,$D$2:D2193,D2193)*7,10)&lt;3,"teste","treino"))</f>
        <v/>
      </c>
      <c r="N2193" s="16"/>
      <c r="O2193" s="16"/>
      <c r="P2193" s="16"/>
      <c r="Q2193" s="17"/>
    </row>
    <row r="2194" customFormat="false" ht="15" hidden="false" customHeight="false" outlineLevel="0" collapsed="false">
      <c r="A2194" s="15" t="str">
        <f aca="false">IF(B2194="","",ROW()-1)</f>
        <v/>
      </c>
      <c r="B2194" s="16"/>
      <c r="C2194" s="16"/>
      <c r="D2194" s="16"/>
      <c r="E2194" s="16"/>
      <c r="F2194" s="17"/>
      <c r="G2194" s="16"/>
      <c r="H2194" s="16"/>
      <c r="I2194" s="16"/>
      <c r="J2194" s="16"/>
      <c r="K2194" s="16"/>
      <c r="L2194" s="16"/>
      <c r="M2194" s="18" t="str">
        <f aca="false">IF(OR(C2194="",D2194=""),"",IF(MOD(COUNTIFS($C$2:C2194,C2194,$D$2:D2194,D2194)*7,10)&lt;3,"teste","treino"))</f>
        <v/>
      </c>
      <c r="N2194" s="16"/>
      <c r="O2194" s="16"/>
      <c r="P2194" s="16"/>
      <c r="Q2194" s="17"/>
    </row>
    <row r="2195" customFormat="false" ht="15" hidden="false" customHeight="false" outlineLevel="0" collapsed="false">
      <c r="A2195" s="15" t="str">
        <f aca="false">IF(B2195="","",ROW()-1)</f>
        <v/>
      </c>
      <c r="B2195" s="16"/>
      <c r="C2195" s="16"/>
      <c r="D2195" s="16"/>
      <c r="E2195" s="16"/>
      <c r="F2195" s="17"/>
      <c r="G2195" s="16"/>
      <c r="H2195" s="16"/>
      <c r="I2195" s="16"/>
      <c r="J2195" s="16"/>
      <c r="K2195" s="16"/>
      <c r="L2195" s="16"/>
      <c r="M2195" s="18" t="str">
        <f aca="false">IF(OR(C2195="",D2195=""),"",IF(MOD(COUNTIFS($C$2:C2195,C2195,$D$2:D2195,D2195)*7,10)&lt;3,"teste","treino"))</f>
        <v/>
      </c>
      <c r="N2195" s="16"/>
      <c r="O2195" s="16"/>
      <c r="P2195" s="16"/>
      <c r="Q2195" s="17"/>
    </row>
    <row r="2196" customFormat="false" ht="15" hidden="false" customHeight="false" outlineLevel="0" collapsed="false">
      <c r="A2196" s="15" t="str">
        <f aca="false">IF(B2196="","",ROW()-1)</f>
        <v/>
      </c>
      <c r="B2196" s="16"/>
      <c r="C2196" s="16"/>
      <c r="D2196" s="16"/>
      <c r="E2196" s="16"/>
      <c r="F2196" s="17"/>
      <c r="G2196" s="16"/>
      <c r="H2196" s="16"/>
      <c r="I2196" s="16"/>
      <c r="J2196" s="16"/>
      <c r="K2196" s="16"/>
      <c r="L2196" s="16"/>
      <c r="M2196" s="18" t="str">
        <f aca="false">IF(OR(C2196="",D2196=""),"",IF(MOD(COUNTIFS($C$2:C2196,C2196,$D$2:D2196,D2196)*7,10)&lt;3,"teste","treino"))</f>
        <v/>
      </c>
      <c r="N2196" s="16"/>
      <c r="O2196" s="16"/>
      <c r="P2196" s="16"/>
      <c r="Q2196" s="17"/>
    </row>
    <row r="2197" customFormat="false" ht="15" hidden="false" customHeight="false" outlineLevel="0" collapsed="false">
      <c r="A2197" s="15" t="str">
        <f aca="false">IF(B2197="","",ROW()-1)</f>
        <v/>
      </c>
      <c r="B2197" s="16"/>
      <c r="C2197" s="16"/>
      <c r="D2197" s="16"/>
      <c r="E2197" s="16"/>
      <c r="F2197" s="17"/>
      <c r="G2197" s="16"/>
      <c r="H2197" s="16"/>
      <c r="I2197" s="16"/>
      <c r="J2197" s="16"/>
      <c r="K2197" s="16"/>
      <c r="L2197" s="16"/>
      <c r="M2197" s="18" t="str">
        <f aca="false">IF(OR(C2197="",D2197=""),"",IF(MOD(COUNTIFS($C$2:C2197,C2197,$D$2:D2197,D2197)*7,10)&lt;3,"teste","treino"))</f>
        <v/>
      </c>
      <c r="N2197" s="16"/>
      <c r="O2197" s="16"/>
      <c r="P2197" s="16"/>
      <c r="Q2197" s="17"/>
    </row>
    <row r="2198" customFormat="false" ht="15" hidden="false" customHeight="false" outlineLevel="0" collapsed="false">
      <c r="A2198" s="15" t="str">
        <f aca="false">IF(B2198="","",ROW()-1)</f>
        <v/>
      </c>
      <c r="B2198" s="16"/>
      <c r="C2198" s="16"/>
      <c r="D2198" s="16"/>
      <c r="E2198" s="16"/>
      <c r="F2198" s="17"/>
      <c r="G2198" s="16"/>
      <c r="H2198" s="16"/>
      <c r="I2198" s="16"/>
      <c r="J2198" s="16"/>
      <c r="K2198" s="16"/>
      <c r="L2198" s="16"/>
      <c r="M2198" s="18" t="str">
        <f aca="false">IF(OR(C2198="",D2198=""),"",IF(MOD(COUNTIFS($C$2:C2198,C2198,$D$2:D2198,D2198)*7,10)&lt;3,"teste","treino"))</f>
        <v/>
      </c>
      <c r="N2198" s="16"/>
      <c r="O2198" s="16"/>
      <c r="P2198" s="16"/>
      <c r="Q2198" s="17"/>
    </row>
    <row r="2199" customFormat="false" ht="15" hidden="false" customHeight="false" outlineLevel="0" collapsed="false">
      <c r="A2199" s="15" t="str">
        <f aca="false">IF(B2199="","",ROW()-1)</f>
        <v/>
      </c>
      <c r="B2199" s="16"/>
      <c r="C2199" s="16"/>
      <c r="D2199" s="16"/>
      <c r="E2199" s="16"/>
      <c r="F2199" s="17"/>
      <c r="G2199" s="16"/>
      <c r="H2199" s="16"/>
      <c r="I2199" s="16"/>
      <c r="J2199" s="16"/>
      <c r="K2199" s="16"/>
      <c r="L2199" s="16"/>
      <c r="M2199" s="18" t="str">
        <f aca="false">IF(OR(C2199="",D2199=""),"",IF(MOD(COUNTIFS($C$2:C2199,C2199,$D$2:D2199,D2199)*7,10)&lt;3,"teste","treino"))</f>
        <v/>
      </c>
      <c r="N2199" s="16"/>
      <c r="O2199" s="16"/>
      <c r="P2199" s="16"/>
      <c r="Q2199" s="17"/>
    </row>
    <row r="2200" customFormat="false" ht="15" hidden="false" customHeight="false" outlineLevel="0" collapsed="false">
      <c r="A2200" s="15" t="str">
        <f aca="false">IF(B2200="","",ROW()-1)</f>
        <v/>
      </c>
      <c r="B2200" s="16"/>
      <c r="C2200" s="16"/>
      <c r="D2200" s="16"/>
      <c r="E2200" s="16"/>
      <c r="F2200" s="17"/>
      <c r="G2200" s="16"/>
      <c r="H2200" s="16"/>
      <c r="I2200" s="16"/>
      <c r="J2200" s="16"/>
      <c r="K2200" s="16"/>
      <c r="L2200" s="16"/>
      <c r="M2200" s="18" t="str">
        <f aca="false">IF(OR(C2200="",D2200=""),"",IF(MOD(COUNTIFS($C$2:C2200,C2200,$D$2:D2200,D2200)*7,10)&lt;3,"teste","treino"))</f>
        <v/>
      </c>
      <c r="N2200" s="16"/>
      <c r="O2200" s="16"/>
      <c r="P2200" s="16"/>
      <c r="Q2200" s="17"/>
    </row>
    <row r="2201" customFormat="false" ht="15" hidden="false" customHeight="false" outlineLevel="0" collapsed="false">
      <c r="A2201" s="15" t="str">
        <f aca="false">IF(B2201="","",ROW()-1)</f>
        <v/>
      </c>
      <c r="B2201" s="16"/>
      <c r="C2201" s="16"/>
      <c r="D2201" s="16"/>
      <c r="E2201" s="16"/>
      <c r="F2201" s="17"/>
      <c r="G2201" s="16"/>
      <c r="H2201" s="16"/>
      <c r="I2201" s="16"/>
      <c r="J2201" s="16"/>
      <c r="K2201" s="16"/>
      <c r="L2201" s="16"/>
      <c r="M2201" s="18" t="str">
        <f aca="false">IF(OR(C2201="",D2201=""),"",IF(MOD(COUNTIFS($C$2:C2201,C2201,$D$2:D2201,D2201)*7,10)&lt;3,"teste","treino"))</f>
        <v/>
      </c>
      <c r="N2201" s="16"/>
      <c r="O2201" s="16"/>
      <c r="P2201" s="16"/>
      <c r="Q2201" s="17"/>
    </row>
    <row r="2202" customFormat="false" ht="15" hidden="false" customHeight="false" outlineLevel="0" collapsed="false">
      <c r="A2202" s="15" t="str">
        <f aca="false">IF(B2202="","",ROW()-1)</f>
        <v/>
      </c>
      <c r="B2202" s="16"/>
      <c r="C2202" s="16"/>
      <c r="D2202" s="16"/>
      <c r="E2202" s="16"/>
      <c r="F2202" s="17"/>
      <c r="G2202" s="16"/>
      <c r="H2202" s="16"/>
      <c r="I2202" s="16"/>
      <c r="J2202" s="16"/>
      <c r="K2202" s="16"/>
      <c r="L2202" s="16"/>
      <c r="M2202" s="18" t="str">
        <f aca="false">IF(OR(C2202="",D2202=""),"",IF(MOD(COUNTIFS($C$2:C2202,C2202,$D$2:D2202,D2202)*7,10)&lt;3,"teste","treino"))</f>
        <v/>
      </c>
      <c r="N2202" s="16"/>
      <c r="O2202" s="16"/>
      <c r="P2202" s="16"/>
      <c r="Q2202" s="17"/>
    </row>
    <row r="2203" customFormat="false" ht="15" hidden="false" customHeight="false" outlineLevel="0" collapsed="false">
      <c r="A2203" s="15" t="str">
        <f aca="false">IF(B2203="","",ROW()-1)</f>
        <v/>
      </c>
      <c r="B2203" s="16"/>
      <c r="C2203" s="16"/>
      <c r="D2203" s="16"/>
      <c r="E2203" s="16"/>
      <c r="F2203" s="17"/>
      <c r="G2203" s="16"/>
      <c r="H2203" s="16"/>
      <c r="I2203" s="16"/>
      <c r="J2203" s="16"/>
      <c r="K2203" s="16"/>
      <c r="L2203" s="16"/>
      <c r="M2203" s="18" t="str">
        <f aca="false">IF(OR(C2203="",D2203=""),"",IF(MOD(COUNTIFS($C$2:C2203,C2203,$D$2:D2203,D2203)*7,10)&lt;3,"teste","treino"))</f>
        <v/>
      </c>
      <c r="N2203" s="16"/>
      <c r="O2203" s="16"/>
      <c r="P2203" s="16"/>
      <c r="Q2203" s="17"/>
    </row>
    <row r="2204" customFormat="false" ht="15" hidden="false" customHeight="false" outlineLevel="0" collapsed="false">
      <c r="A2204" s="15" t="str">
        <f aca="false">IF(B2204="","",ROW()-1)</f>
        <v/>
      </c>
      <c r="B2204" s="16"/>
      <c r="C2204" s="16"/>
      <c r="D2204" s="16"/>
      <c r="E2204" s="16"/>
      <c r="F2204" s="17"/>
      <c r="G2204" s="16"/>
      <c r="H2204" s="16"/>
      <c r="I2204" s="16"/>
      <c r="J2204" s="16"/>
      <c r="K2204" s="16"/>
      <c r="L2204" s="16"/>
      <c r="M2204" s="18" t="str">
        <f aca="false">IF(OR(C2204="",D2204=""),"",IF(MOD(COUNTIFS($C$2:C2204,C2204,$D$2:D2204,D2204)*7,10)&lt;3,"teste","treino"))</f>
        <v/>
      </c>
      <c r="N2204" s="16"/>
      <c r="O2204" s="16"/>
      <c r="P2204" s="16"/>
      <c r="Q2204" s="17"/>
    </row>
    <row r="2205" customFormat="false" ht="15" hidden="false" customHeight="false" outlineLevel="0" collapsed="false">
      <c r="A2205" s="15" t="str">
        <f aca="false">IF(B2205="","",ROW()-1)</f>
        <v/>
      </c>
      <c r="B2205" s="16"/>
      <c r="C2205" s="16"/>
      <c r="D2205" s="16"/>
      <c r="E2205" s="16"/>
      <c r="F2205" s="17"/>
      <c r="G2205" s="16"/>
      <c r="H2205" s="16"/>
      <c r="I2205" s="16"/>
      <c r="J2205" s="16"/>
      <c r="K2205" s="16"/>
      <c r="L2205" s="16"/>
      <c r="M2205" s="18" t="str">
        <f aca="false">IF(OR(C2205="",D2205=""),"",IF(MOD(COUNTIFS($C$2:C2205,C2205,$D$2:D2205,D2205)*7,10)&lt;3,"teste","treino"))</f>
        <v/>
      </c>
      <c r="N2205" s="16"/>
      <c r="O2205" s="16"/>
      <c r="P2205" s="16"/>
      <c r="Q2205" s="17"/>
    </row>
    <row r="2206" customFormat="false" ht="15" hidden="false" customHeight="false" outlineLevel="0" collapsed="false">
      <c r="A2206" s="15" t="str">
        <f aca="false">IF(B2206="","",ROW()-1)</f>
        <v/>
      </c>
      <c r="B2206" s="16"/>
      <c r="C2206" s="16"/>
      <c r="D2206" s="16"/>
      <c r="E2206" s="16"/>
      <c r="F2206" s="17"/>
      <c r="G2206" s="16"/>
      <c r="H2206" s="16"/>
      <c r="I2206" s="16"/>
      <c r="J2206" s="16"/>
      <c r="K2206" s="16"/>
      <c r="L2206" s="16"/>
      <c r="M2206" s="18" t="str">
        <f aca="false">IF(OR(C2206="",D2206=""),"",IF(MOD(COUNTIFS($C$2:C2206,C2206,$D$2:D2206,D2206)*7,10)&lt;3,"teste","treino"))</f>
        <v/>
      </c>
      <c r="N2206" s="16"/>
      <c r="O2206" s="16"/>
      <c r="P2206" s="16"/>
      <c r="Q2206" s="17"/>
    </row>
    <row r="2207" customFormat="false" ht="15" hidden="false" customHeight="false" outlineLevel="0" collapsed="false">
      <c r="A2207" s="15" t="str">
        <f aca="false">IF(B2207="","",ROW()-1)</f>
        <v/>
      </c>
      <c r="B2207" s="16"/>
      <c r="C2207" s="16"/>
      <c r="D2207" s="16"/>
      <c r="E2207" s="16"/>
      <c r="F2207" s="17"/>
      <c r="G2207" s="16"/>
      <c r="H2207" s="16"/>
      <c r="I2207" s="16"/>
      <c r="J2207" s="16"/>
      <c r="K2207" s="16"/>
      <c r="L2207" s="16"/>
      <c r="M2207" s="18" t="str">
        <f aca="false">IF(OR(C2207="",D2207=""),"",IF(MOD(COUNTIFS($C$2:C2207,C2207,$D$2:D2207,D2207)*7,10)&lt;3,"teste","treino"))</f>
        <v/>
      </c>
      <c r="N2207" s="16"/>
      <c r="O2207" s="16"/>
      <c r="P2207" s="16"/>
      <c r="Q2207" s="17"/>
    </row>
    <row r="2208" customFormat="false" ht="15" hidden="false" customHeight="false" outlineLevel="0" collapsed="false">
      <c r="A2208" s="15" t="str">
        <f aca="false">IF(B2208="","",ROW()-1)</f>
        <v/>
      </c>
      <c r="B2208" s="16"/>
      <c r="C2208" s="16"/>
      <c r="D2208" s="16"/>
      <c r="E2208" s="16"/>
      <c r="F2208" s="17"/>
      <c r="G2208" s="16"/>
      <c r="H2208" s="16"/>
      <c r="I2208" s="16"/>
      <c r="J2208" s="16"/>
      <c r="K2208" s="16"/>
      <c r="L2208" s="16"/>
      <c r="M2208" s="18" t="str">
        <f aca="false">IF(OR(C2208="",D2208=""),"",IF(MOD(COUNTIFS($C$2:C2208,C2208,$D$2:D2208,D2208)*7,10)&lt;3,"teste","treino"))</f>
        <v/>
      </c>
      <c r="N2208" s="16"/>
      <c r="O2208" s="16"/>
      <c r="P2208" s="16"/>
      <c r="Q2208" s="17"/>
    </row>
    <row r="2209" customFormat="false" ht="15" hidden="false" customHeight="false" outlineLevel="0" collapsed="false">
      <c r="A2209" s="15" t="str">
        <f aca="false">IF(B2209="","",ROW()-1)</f>
        <v/>
      </c>
      <c r="B2209" s="16"/>
      <c r="C2209" s="16"/>
      <c r="D2209" s="16"/>
      <c r="E2209" s="16"/>
      <c r="F2209" s="17"/>
      <c r="G2209" s="16"/>
      <c r="H2209" s="16"/>
      <c r="I2209" s="16"/>
      <c r="J2209" s="16"/>
      <c r="K2209" s="16"/>
      <c r="L2209" s="16"/>
      <c r="M2209" s="18" t="str">
        <f aca="false">IF(OR(C2209="",D2209=""),"",IF(MOD(COUNTIFS($C$2:C2209,C2209,$D$2:D2209,D2209)*7,10)&lt;3,"teste","treino"))</f>
        <v/>
      </c>
      <c r="N2209" s="16"/>
      <c r="O2209" s="16"/>
      <c r="P2209" s="16"/>
      <c r="Q2209" s="17"/>
    </row>
    <row r="2210" customFormat="false" ht="15" hidden="false" customHeight="false" outlineLevel="0" collapsed="false">
      <c r="A2210" s="15" t="str">
        <f aca="false">IF(B2210="","",ROW()-1)</f>
        <v/>
      </c>
      <c r="B2210" s="16"/>
      <c r="C2210" s="16"/>
      <c r="D2210" s="16"/>
      <c r="E2210" s="16"/>
      <c r="F2210" s="17"/>
      <c r="G2210" s="16"/>
      <c r="H2210" s="16"/>
      <c r="I2210" s="16"/>
      <c r="J2210" s="16"/>
      <c r="K2210" s="16"/>
      <c r="L2210" s="16"/>
      <c r="M2210" s="18" t="str">
        <f aca="false">IF(OR(C2210="",D2210=""),"",IF(MOD(COUNTIFS($C$2:C2210,C2210,$D$2:D2210,D2210)*7,10)&lt;3,"teste","treino"))</f>
        <v/>
      </c>
      <c r="N2210" s="16"/>
      <c r="O2210" s="16"/>
      <c r="P2210" s="16"/>
      <c r="Q2210" s="17"/>
    </row>
    <row r="2211" customFormat="false" ht="15" hidden="false" customHeight="false" outlineLevel="0" collapsed="false">
      <c r="A2211" s="15" t="str">
        <f aca="false">IF(B2211="","",ROW()-1)</f>
        <v/>
      </c>
      <c r="B2211" s="16"/>
      <c r="C2211" s="16"/>
      <c r="D2211" s="16"/>
      <c r="E2211" s="16"/>
      <c r="F2211" s="17"/>
      <c r="G2211" s="16"/>
      <c r="H2211" s="16"/>
      <c r="I2211" s="16"/>
      <c r="J2211" s="16"/>
      <c r="K2211" s="16"/>
      <c r="L2211" s="16"/>
      <c r="M2211" s="18" t="str">
        <f aca="false">IF(OR(C2211="",D2211=""),"",IF(MOD(COUNTIFS($C$2:C2211,C2211,$D$2:D2211,D2211)*7,10)&lt;3,"teste","treino"))</f>
        <v/>
      </c>
      <c r="N2211" s="16"/>
      <c r="O2211" s="16"/>
      <c r="P2211" s="16"/>
      <c r="Q2211" s="17"/>
    </row>
    <row r="2212" customFormat="false" ht="15" hidden="false" customHeight="false" outlineLevel="0" collapsed="false">
      <c r="A2212" s="15" t="str">
        <f aca="false">IF(B2212="","",ROW()-1)</f>
        <v/>
      </c>
      <c r="B2212" s="16"/>
      <c r="C2212" s="16"/>
      <c r="D2212" s="16"/>
      <c r="E2212" s="16"/>
      <c r="F2212" s="17"/>
      <c r="G2212" s="16"/>
      <c r="H2212" s="16"/>
      <c r="I2212" s="16"/>
      <c r="J2212" s="16"/>
      <c r="K2212" s="16"/>
      <c r="L2212" s="16"/>
      <c r="M2212" s="18" t="str">
        <f aca="false">IF(OR(C2212="",D2212=""),"",IF(MOD(COUNTIFS($C$2:C2212,C2212,$D$2:D2212,D2212)*7,10)&lt;3,"teste","treino"))</f>
        <v/>
      </c>
      <c r="N2212" s="16"/>
      <c r="O2212" s="16"/>
      <c r="P2212" s="16"/>
      <c r="Q2212" s="17"/>
    </row>
    <row r="2213" customFormat="false" ht="15" hidden="false" customHeight="false" outlineLevel="0" collapsed="false">
      <c r="A2213" s="15" t="str">
        <f aca="false">IF(B2213="","",ROW()-1)</f>
        <v/>
      </c>
      <c r="B2213" s="16"/>
      <c r="C2213" s="16"/>
      <c r="D2213" s="16"/>
      <c r="E2213" s="16"/>
      <c r="F2213" s="17"/>
      <c r="G2213" s="16"/>
      <c r="H2213" s="16"/>
      <c r="I2213" s="16"/>
      <c r="J2213" s="16"/>
      <c r="K2213" s="16"/>
      <c r="L2213" s="16"/>
      <c r="M2213" s="18" t="str">
        <f aca="false">IF(OR(C2213="",D2213=""),"",IF(MOD(COUNTIFS($C$2:C2213,C2213,$D$2:D2213,D2213)*7,10)&lt;3,"teste","treino"))</f>
        <v/>
      </c>
      <c r="N2213" s="16"/>
      <c r="O2213" s="16"/>
      <c r="P2213" s="16"/>
      <c r="Q2213" s="17"/>
    </row>
    <row r="2214" customFormat="false" ht="15" hidden="false" customHeight="false" outlineLevel="0" collapsed="false">
      <c r="A2214" s="15" t="str">
        <f aca="false">IF(B2214="","",ROW()-1)</f>
        <v/>
      </c>
      <c r="B2214" s="16"/>
      <c r="C2214" s="16"/>
      <c r="D2214" s="16"/>
      <c r="E2214" s="16"/>
      <c r="F2214" s="17"/>
      <c r="G2214" s="16"/>
      <c r="H2214" s="16"/>
      <c r="I2214" s="16"/>
      <c r="J2214" s="16"/>
      <c r="K2214" s="16"/>
      <c r="L2214" s="16"/>
      <c r="M2214" s="18" t="str">
        <f aca="false">IF(OR(C2214="",D2214=""),"",IF(MOD(COUNTIFS($C$2:C2214,C2214,$D$2:D2214,D2214)*7,10)&lt;3,"teste","treino"))</f>
        <v/>
      </c>
      <c r="N2214" s="16"/>
      <c r="O2214" s="16"/>
      <c r="P2214" s="16"/>
      <c r="Q2214" s="17"/>
    </row>
    <row r="2215" customFormat="false" ht="15" hidden="false" customHeight="false" outlineLevel="0" collapsed="false">
      <c r="A2215" s="15" t="str">
        <f aca="false">IF(B2215="","",ROW()-1)</f>
        <v/>
      </c>
      <c r="B2215" s="16"/>
      <c r="C2215" s="16"/>
      <c r="D2215" s="16"/>
      <c r="E2215" s="16"/>
      <c r="F2215" s="17"/>
      <c r="G2215" s="16"/>
      <c r="H2215" s="16"/>
      <c r="I2215" s="16"/>
      <c r="J2215" s="16"/>
      <c r="K2215" s="16"/>
      <c r="L2215" s="16"/>
      <c r="M2215" s="18" t="str">
        <f aca="false">IF(OR(C2215="",D2215=""),"",IF(MOD(COUNTIFS($C$2:C2215,C2215,$D$2:D2215,D2215)*7,10)&lt;3,"teste","treino"))</f>
        <v/>
      </c>
      <c r="N2215" s="16"/>
      <c r="O2215" s="16"/>
      <c r="P2215" s="16"/>
      <c r="Q2215" s="17"/>
    </row>
    <row r="2216" customFormat="false" ht="15" hidden="false" customHeight="false" outlineLevel="0" collapsed="false">
      <c r="A2216" s="15" t="str">
        <f aca="false">IF(B2216="","",ROW()-1)</f>
        <v/>
      </c>
      <c r="B2216" s="16"/>
      <c r="C2216" s="16"/>
      <c r="D2216" s="16"/>
      <c r="E2216" s="16"/>
      <c r="F2216" s="17"/>
      <c r="G2216" s="16"/>
      <c r="H2216" s="16"/>
      <c r="I2216" s="16"/>
      <c r="J2216" s="16"/>
      <c r="K2216" s="16"/>
      <c r="L2216" s="16"/>
      <c r="M2216" s="18" t="str">
        <f aca="false">IF(OR(C2216="",D2216=""),"",IF(MOD(COUNTIFS($C$2:C2216,C2216,$D$2:D2216,D2216)*7,10)&lt;3,"teste","treino"))</f>
        <v/>
      </c>
      <c r="N2216" s="16"/>
      <c r="O2216" s="16"/>
      <c r="P2216" s="16"/>
      <c r="Q2216" s="17"/>
    </row>
    <row r="2217" customFormat="false" ht="15" hidden="false" customHeight="false" outlineLevel="0" collapsed="false">
      <c r="A2217" s="15" t="str">
        <f aca="false">IF(B2217="","",ROW()-1)</f>
        <v/>
      </c>
      <c r="B2217" s="16"/>
      <c r="C2217" s="16"/>
      <c r="D2217" s="16"/>
      <c r="E2217" s="16"/>
      <c r="F2217" s="17"/>
      <c r="G2217" s="16"/>
      <c r="H2217" s="16"/>
      <c r="I2217" s="16"/>
      <c r="J2217" s="16"/>
      <c r="K2217" s="16"/>
      <c r="L2217" s="16"/>
      <c r="M2217" s="18" t="str">
        <f aca="false">IF(OR(C2217="",D2217=""),"",IF(MOD(COUNTIFS($C$2:C2217,C2217,$D$2:D2217,D2217)*7,10)&lt;3,"teste","treino"))</f>
        <v/>
      </c>
      <c r="N2217" s="16"/>
      <c r="O2217" s="16"/>
      <c r="P2217" s="16"/>
      <c r="Q2217" s="17"/>
    </row>
    <row r="2218" customFormat="false" ht="15" hidden="false" customHeight="false" outlineLevel="0" collapsed="false">
      <c r="A2218" s="15" t="str">
        <f aca="false">IF(B2218="","",ROW()-1)</f>
        <v/>
      </c>
      <c r="B2218" s="16"/>
      <c r="C2218" s="16"/>
      <c r="D2218" s="16"/>
      <c r="E2218" s="16"/>
      <c r="F2218" s="17"/>
      <c r="G2218" s="16"/>
      <c r="H2218" s="16"/>
      <c r="I2218" s="16"/>
      <c r="J2218" s="16"/>
      <c r="K2218" s="16"/>
      <c r="L2218" s="16"/>
      <c r="M2218" s="18" t="str">
        <f aca="false">IF(OR(C2218="",D2218=""),"",IF(MOD(COUNTIFS($C$2:C2218,C2218,$D$2:D2218,D2218)*7,10)&lt;3,"teste","treino"))</f>
        <v/>
      </c>
      <c r="N2218" s="16"/>
      <c r="O2218" s="16"/>
      <c r="P2218" s="16"/>
      <c r="Q2218" s="17"/>
    </row>
    <row r="2219" customFormat="false" ht="15" hidden="false" customHeight="false" outlineLevel="0" collapsed="false">
      <c r="A2219" s="15" t="str">
        <f aca="false">IF(B2219="","",ROW()-1)</f>
        <v/>
      </c>
      <c r="B2219" s="16"/>
      <c r="C2219" s="16"/>
      <c r="D2219" s="16"/>
      <c r="E2219" s="16"/>
      <c r="F2219" s="17"/>
      <c r="G2219" s="16"/>
      <c r="H2219" s="16"/>
      <c r="I2219" s="16"/>
      <c r="J2219" s="16"/>
      <c r="K2219" s="16"/>
      <c r="L2219" s="16"/>
      <c r="M2219" s="18" t="str">
        <f aca="false">IF(OR(C2219="",D2219=""),"",IF(MOD(COUNTIFS($C$2:C2219,C2219,$D$2:D2219,D2219)*7,10)&lt;3,"teste","treino"))</f>
        <v/>
      </c>
      <c r="N2219" s="16"/>
      <c r="O2219" s="16"/>
      <c r="P2219" s="16"/>
      <c r="Q2219" s="17"/>
    </row>
    <row r="2220" customFormat="false" ht="15" hidden="false" customHeight="false" outlineLevel="0" collapsed="false">
      <c r="A2220" s="15" t="str">
        <f aca="false">IF(B2220="","",ROW()-1)</f>
        <v/>
      </c>
      <c r="B2220" s="16"/>
      <c r="C2220" s="16"/>
      <c r="D2220" s="16"/>
      <c r="E2220" s="16"/>
      <c r="F2220" s="17"/>
      <c r="G2220" s="16"/>
      <c r="H2220" s="16"/>
      <c r="I2220" s="16"/>
      <c r="J2220" s="16"/>
      <c r="K2220" s="16"/>
      <c r="L2220" s="16"/>
      <c r="M2220" s="18" t="str">
        <f aca="false">IF(OR(C2220="",D2220=""),"",IF(MOD(COUNTIFS($C$2:C2220,C2220,$D$2:D2220,D2220)*7,10)&lt;3,"teste","treino"))</f>
        <v/>
      </c>
      <c r="N2220" s="16"/>
      <c r="O2220" s="16"/>
      <c r="P2220" s="16"/>
      <c r="Q2220" s="17"/>
    </row>
    <row r="2221" customFormat="false" ht="15" hidden="false" customHeight="false" outlineLevel="0" collapsed="false">
      <c r="A2221" s="15" t="str">
        <f aca="false">IF(B2221="","",ROW()-1)</f>
        <v/>
      </c>
      <c r="B2221" s="16"/>
      <c r="C2221" s="16"/>
      <c r="D2221" s="16"/>
      <c r="E2221" s="16"/>
      <c r="F2221" s="17"/>
      <c r="G2221" s="16"/>
      <c r="H2221" s="16"/>
      <c r="I2221" s="16"/>
      <c r="J2221" s="16"/>
      <c r="K2221" s="16"/>
      <c r="L2221" s="16"/>
      <c r="M2221" s="18" t="str">
        <f aca="false">IF(OR(C2221="",D2221=""),"",IF(MOD(COUNTIFS($C$2:C2221,C2221,$D$2:D2221,D2221)*7,10)&lt;3,"teste","treino"))</f>
        <v/>
      </c>
      <c r="N2221" s="16"/>
      <c r="O2221" s="16"/>
      <c r="P2221" s="16"/>
      <c r="Q2221" s="17"/>
    </row>
    <row r="2222" customFormat="false" ht="15" hidden="false" customHeight="false" outlineLevel="0" collapsed="false">
      <c r="A2222" s="15" t="str">
        <f aca="false">IF(B2222="","",ROW()-1)</f>
        <v/>
      </c>
      <c r="B2222" s="16"/>
      <c r="C2222" s="16"/>
      <c r="D2222" s="16"/>
      <c r="E2222" s="16"/>
      <c r="F2222" s="17"/>
      <c r="G2222" s="16"/>
      <c r="H2222" s="16"/>
      <c r="I2222" s="16"/>
      <c r="J2222" s="16"/>
      <c r="K2222" s="16"/>
      <c r="L2222" s="16"/>
      <c r="M2222" s="18" t="str">
        <f aca="false">IF(OR(C2222="",D2222=""),"",IF(MOD(COUNTIFS($C$2:C2222,C2222,$D$2:D2222,D2222)*7,10)&lt;3,"teste","treino"))</f>
        <v/>
      </c>
      <c r="N2222" s="16"/>
      <c r="O2222" s="16"/>
      <c r="P2222" s="16"/>
      <c r="Q2222" s="17"/>
    </row>
    <row r="2223" customFormat="false" ht="15" hidden="false" customHeight="false" outlineLevel="0" collapsed="false">
      <c r="A2223" s="15" t="str">
        <f aca="false">IF(B2223="","",ROW()-1)</f>
        <v/>
      </c>
      <c r="B2223" s="16"/>
      <c r="C2223" s="16"/>
      <c r="D2223" s="16"/>
      <c r="E2223" s="16"/>
      <c r="F2223" s="17"/>
      <c r="G2223" s="16"/>
      <c r="H2223" s="16"/>
      <c r="I2223" s="16"/>
      <c r="J2223" s="16"/>
      <c r="K2223" s="16"/>
      <c r="L2223" s="16"/>
      <c r="M2223" s="18" t="str">
        <f aca="false">IF(OR(C2223="",D2223=""),"",IF(MOD(COUNTIFS($C$2:C2223,C2223,$D$2:D2223,D2223)*7,10)&lt;3,"teste","treino"))</f>
        <v/>
      </c>
      <c r="N2223" s="16"/>
      <c r="O2223" s="16"/>
      <c r="P2223" s="16"/>
      <c r="Q2223" s="17"/>
    </row>
    <row r="2224" customFormat="false" ht="15" hidden="false" customHeight="false" outlineLevel="0" collapsed="false">
      <c r="A2224" s="15" t="str">
        <f aca="false">IF(B2224="","",ROW()-1)</f>
        <v/>
      </c>
      <c r="B2224" s="16"/>
      <c r="C2224" s="16"/>
      <c r="D2224" s="16"/>
      <c r="E2224" s="16"/>
      <c r="F2224" s="17"/>
      <c r="G2224" s="16"/>
      <c r="H2224" s="16"/>
      <c r="I2224" s="16"/>
      <c r="J2224" s="16"/>
      <c r="K2224" s="16"/>
      <c r="L2224" s="16"/>
      <c r="M2224" s="18" t="str">
        <f aca="false">IF(OR(C2224="",D2224=""),"",IF(MOD(COUNTIFS($C$2:C2224,C2224,$D$2:D2224,D2224)*7,10)&lt;3,"teste","treino"))</f>
        <v/>
      </c>
      <c r="N2224" s="16"/>
      <c r="O2224" s="16"/>
      <c r="P2224" s="16"/>
      <c r="Q2224" s="17"/>
    </row>
    <row r="2225" customFormat="false" ht="15" hidden="false" customHeight="false" outlineLevel="0" collapsed="false">
      <c r="A2225" s="15" t="str">
        <f aca="false">IF(B2225="","",ROW()-1)</f>
        <v/>
      </c>
      <c r="B2225" s="16"/>
      <c r="C2225" s="16"/>
      <c r="D2225" s="16"/>
      <c r="E2225" s="16"/>
      <c r="F2225" s="17"/>
      <c r="G2225" s="16"/>
      <c r="H2225" s="16"/>
      <c r="I2225" s="16"/>
      <c r="J2225" s="16"/>
      <c r="K2225" s="16"/>
      <c r="L2225" s="16"/>
      <c r="M2225" s="18" t="str">
        <f aca="false">IF(OR(C2225="",D2225=""),"",IF(MOD(COUNTIFS($C$2:C2225,C2225,$D$2:D2225,D2225)*7,10)&lt;3,"teste","treino"))</f>
        <v/>
      </c>
      <c r="N2225" s="16"/>
      <c r="O2225" s="16"/>
      <c r="P2225" s="16"/>
      <c r="Q2225" s="17"/>
    </row>
    <row r="2226" customFormat="false" ht="15" hidden="false" customHeight="false" outlineLevel="0" collapsed="false">
      <c r="A2226" s="15" t="str">
        <f aca="false">IF(B2226="","",ROW()-1)</f>
        <v/>
      </c>
      <c r="B2226" s="16"/>
      <c r="C2226" s="16"/>
      <c r="D2226" s="16"/>
      <c r="E2226" s="16"/>
      <c r="F2226" s="17"/>
      <c r="G2226" s="16"/>
      <c r="H2226" s="16"/>
      <c r="I2226" s="16"/>
      <c r="J2226" s="16"/>
      <c r="K2226" s="16"/>
      <c r="L2226" s="16"/>
      <c r="M2226" s="18" t="str">
        <f aca="false">IF(OR(C2226="",D2226=""),"",IF(MOD(COUNTIFS($C$2:C2226,C2226,$D$2:D2226,D2226)*7,10)&lt;3,"teste","treino"))</f>
        <v/>
      </c>
      <c r="N2226" s="16"/>
      <c r="O2226" s="16"/>
      <c r="P2226" s="16"/>
      <c r="Q2226" s="17"/>
    </row>
    <row r="2227" customFormat="false" ht="15" hidden="false" customHeight="false" outlineLevel="0" collapsed="false">
      <c r="A2227" s="15" t="str">
        <f aca="false">IF(B2227="","",ROW()-1)</f>
        <v/>
      </c>
      <c r="B2227" s="16"/>
      <c r="C2227" s="16"/>
      <c r="D2227" s="16"/>
      <c r="E2227" s="16"/>
      <c r="F2227" s="17"/>
      <c r="G2227" s="16"/>
      <c r="H2227" s="16"/>
      <c r="I2227" s="16"/>
      <c r="J2227" s="16"/>
      <c r="K2227" s="16"/>
      <c r="L2227" s="16"/>
      <c r="M2227" s="18" t="str">
        <f aca="false">IF(OR(C2227="",D2227=""),"",IF(MOD(COUNTIFS($C$2:C2227,C2227,$D$2:D2227,D2227)*7,10)&lt;3,"teste","treino"))</f>
        <v/>
      </c>
      <c r="N2227" s="16"/>
      <c r="O2227" s="16"/>
      <c r="P2227" s="16"/>
      <c r="Q2227" s="17"/>
    </row>
    <row r="2228" customFormat="false" ht="15" hidden="false" customHeight="false" outlineLevel="0" collapsed="false">
      <c r="A2228" s="15" t="str">
        <f aca="false">IF(B2228="","",ROW()-1)</f>
        <v/>
      </c>
      <c r="B2228" s="16"/>
      <c r="C2228" s="16"/>
      <c r="D2228" s="16"/>
      <c r="E2228" s="16"/>
      <c r="F2228" s="17"/>
      <c r="G2228" s="16"/>
      <c r="H2228" s="16"/>
      <c r="I2228" s="16"/>
      <c r="J2228" s="16"/>
      <c r="K2228" s="16"/>
      <c r="L2228" s="16"/>
      <c r="M2228" s="18" t="str">
        <f aca="false">IF(OR(C2228="",D2228=""),"",IF(MOD(COUNTIFS($C$2:C2228,C2228,$D$2:D2228,D2228)*7,10)&lt;3,"teste","treino"))</f>
        <v/>
      </c>
      <c r="N2228" s="16"/>
      <c r="O2228" s="16"/>
      <c r="P2228" s="16"/>
      <c r="Q2228" s="17"/>
    </row>
    <row r="2229" customFormat="false" ht="15" hidden="false" customHeight="false" outlineLevel="0" collapsed="false">
      <c r="A2229" s="15" t="str">
        <f aca="false">IF(B2229="","",ROW()-1)</f>
        <v/>
      </c>
      <c r="B2229" s="16"/>
      <c r="C2229" s="16"/>
      <c r="D2229" s="16"/>
      <c r="E2229" s="16"/>
      <c r="F2229" s="17"/>
      <c r="G2229" s="16"/>
      <c r="H2229" s="16"/>
      <c r="I2229" s="16"/>
      <c r="J2229" s="16"/>
      <c r="K2229" s="16"/>
      <c r="L2229" s="16"/>
      <c r="M2229" s="18" t="str">
        <f aca="false">IF(OR(C2229="",D2229=""),"",IF(MOD(COUNTIFS($C$2:C2229,C2229,$D$2:D2229,D2229)*7,10)&lt;3,"teste","treino"))</f>
        <v/>
      </c>
      <c r="N2229" s="16"/>
      <c r="O2229" s="16"/>
      <c r="P2229" s="16"/>
      <c r="Q2229" s="17"/>
    </row>
    <row r="2230" customFormat="false" ht="15" hidden="false" customHeight="false" outlineLevel="0" collapsed="false">
      <c r="A2230" s="15" t="str">
        <f aca="false">IF(B2230="","",ROW()-1)</f>
        <v/>
      </c>
      <c r="B2230" s="16"/>
      <c r="C2230" s="16"/>
      <c r="D2230" s="16"/>
      <c r="E2230" s="16"/>
      <c r="F2230" s="17"/>
      <c r="G2230" s="16"/>
      <c r="H2230" s="16"/>
      <c r="I2230" s="16"/>
      <c r="J2230" s="16"/>
      <c r="K2230" s="16"/>
      <c r="L2230" s="16"/>
      <c r="M2230" s="18" t="str">
        <f aca="false">IF(OR(C2230="",D2230=""),"",IF(MOD(COUNTIFS($C$2:C2230,C2230,$D$2:D2230,D2230)*7,10)&lt;3,"teste","treino"))</f>
        <v/>
      </c>
      <c r="N2230" s="16"/>
      <c r="O2230" s="16"/>
      <c r="P2230" s="16"/>
      <c r="Q2230" s="17"/>
    </row>
    <row r="2231" customFormat="false" ht="15" hidden="false" customHeight="false" outlineLevel="0" collapsed="false">
      <c r="A2231" s="15" t="str">
        <f aca="false">IF(B2231="","",ROW()-1)</f>
        <v/>
      </c>
      <c r="B2231" s="16"/>
      <c r="C2231" s="16"/>
      <c r="D2231" s="16"/>
      <c r="E2231" s="16"/>
      <c r="F2231" s="17"/>
      <c r="G2231" s="16"/>
      <c r="H2231" s="16"/>
      <c r="I2231" s="16"/>
      <c r="J2231" s="16"/>
      <c r="K2231" s="16"/>
      <c r="L2231" s="16"/>
      <c r="M2231" s="18" t="str">
        <f aca="false">IF(OR(C2231="",D2231=""),"",IF(MOD(COUNTIFS($C$2:C2231,C2231,$D$2:D2231,D2231)*7,10)&lt;3,"teste","treino"))</f>
        <v/>
      </c>
      <c r="N2231" s="16"/>
      <c r="O2231" s="16"/>
      <c r="P2231" s="16"/>
      <c r="Q2231" s="17"/>
    </row>
    <row r="2232" customFormat="false" ht="15" hidden="false" customHeight="false" outlineLevel="0" collapsed="false">
      <c r="A2232" s="15" t="str">
        <f aca="false">IF(B2232="","",ROW()-1)</f>
        <v/>
      </c>
      <c r="B2232" s="16"/>
      <c r="C2232" s="16"/>
      <c r="D2232" s="16"/>
      <c r="E2232" s="16"/>
      <c r="F2232" s="17"/>
      <c r="G2232" s="16"/>
      <c r="H2232" s="16"/>
      <c r="I2232" s="16"/>
      <c r="J2232" s="16"/>
      <c r="K2232" s="16"/>
      <c r="L2232" s="16"/>
      <c r="M2232" s="18" t="str">
        <f aca="false">IF(OR(C2232="",D2232=""),"",IF(MOD(COUNTIFS($C$2:C2232,C2232,$D$2:D2232,D2232)*7,10)&lt;3,"teste","treino"))</f>
        <v/>
      </c>
      <c r="N2232" s="16"/>
      <c r="O2232" s="16"/>
      <c r="P2232" s="16"/>
      <c r="Q2232" s="17"/>
    </row>
    <row r="2233" customFormat="false" ht="15" hidden="false" customHeight="false" outlineLevel="0" collapsed="false">
      <c r="A2233" s="15" t="str">
        <f aca="false">IF(B2233="","",ROW()-1)</f>
        <v/>
      </c>
      <c r="B2233" s="16"/>
      <c r="C2233" s="16"/>
      <c r="D2233" s="16"/>
      <c r="E2233" s="16"/>
      <c r="F2233" s="17"/>
      <c r="G2233" s="16"/>
      <c r="H2233" s="16"/>
      <c r="I2233" s="16"/>
      <c r="J2233" s="16"/>
      <c r="K2233" s="16"/>
      <c r="L2233" s="16"/>
      <c r="M2233" s="18" t="str">
        <f aca="false">IF(OR(C2233="",D2233=""),"",IF(MOD(COUNTIFS($C$2:C2233,C2233,$D$2:D2233,D2233)*7,10)&lt;3,"teste","treino"))</f>
        <v/>
      </c>
      <c r="N2233" s="16"/>
      <c r="O2233" s="16"/>
      <c r="P2233" s="16"/>
      <c r="Q2233" s="17"/>
    </row>
    <row r="2234" customFormat="false" ht="15" hidden="false" customHeight="false" outlineLevel="0" collapsed="false">
      <c r="A2234" s="15" t="str">
        <f aca="false">IF(B2234="","",ROW()-1)</f>
        <v/>
      </c>
      <c r="B2234" s="16"/>
      <c r="C2234" s="16"/>
      <c r="D2234" s="16"/>
      <c r="E2234" s="16"/>
      <c r="F2234" s="17"/>
      <c r="G2234" s="16"/>
      <c r="H2234" s="16"/>
      <c r="I2234" s="16"/>
      <c r="J2234" s="16"/>
      <c r="K2234" s="16"/>
      <c r="L2234" s="16"/>
      <c r="M2234" s="18" t="str">
        <f aca="false">IF(OR(C2234="",D2234=""),"",IF(MOD(COUNTIFS($C$2:C2234,C2234,$D$2:D2234,D2234)*7,10)&lt;3,"teste","treino"))</f>
        <v/>
      </c>
      <c r="N2234" s="16"/>
      <c r="O2234" s="16"/>
      <c r="P2234" s="16"/>
      <c r="Q2234" s="17"/>
    </row>
    <row r="2235" customFormat="false" ht="15" hidden="false" customHeight="false" outlineLevel="0" collapsed="false">
      <c r="A2235" s="15" t="str">
        <f aca="false">IF(B2235="","",ROW()-1)</f>
        <v/>
      </c>
      <c r="B2235" s="16"/>
      <c r="C2235" s="16"/>
      <c r="D2235" s="16"/>
      <c r="E2235" s="16"/>
      <c r="F2235" s="17"/>
      <c r="G2235" s="16"/>
      <c r="H2235" s="16"/>
      <c r="I2235" s="16"/>
      <c r="J2235" s="16"/>
      <c r="K2235" s="16"/>
      <c r="L2235" s="16"/>
      <c r="M2235" s="18" t="str">
        <f aca="false">IF(OR(C2235="",D2235=""),"",IF(MOD(COUNTIFS($C$2:C2235,C2235,$D$2:D2235,D2235)*7,10)&lt;3,"teste","treino"))</f>
        <v/>
      </c>
      <c r="N2235" s="16"/>
      <c r="O2235" s="16"/>
      <c r="P2235" s="16"/>
      <c r="Q2235" s="17"/>
    </row>
    <row r="2236" customFormat="false" ht="15" hidden="false" customHeight="false" outlineLevel="0" collapsed="false">
      <c r="A2236" s="15" t="str">
        <f aca="false">IF(B2236="","",ROW()-1)</f>
        <v/>
      </c>
      <c r="B2236" s="16"/>
      <c r="C2236" s="16"/>
      <c r="D2236" s="16"/>
      <c r="E2236" s="16"/>
      <c r="F2236" s="17"/>
      <c r="G2236" s="16"/>
      <c r="H2236" s="16"/>
      <c r="I2236" s="16"/>
      <c r="J2236" s="16"/>
      <c r="K2236" s="16"/>
      <c r="L2236" s="16"/>
      <c r="M2236" s="18" t="str">
        <f aca="false">IF(OR(C2236="",D2236=""),"",IF(MOD(COUNTIFS($C$2:C2236,C2236,$D$2:D2236,D2236)*7,10)&lt;3,"teste","treino"))</f>
        <v/>
      </c>
      <c r="N2236" s="16"/>
      <c r="O2236" s="16"/>
      <c r="P2236" s="16"/>
      <c r="Q2236" s="17"/>
    </row>
    <row r="2237" customFormat="false" ht="15" hidden="false" customHeight="false" outlineLevel="0" collapsed="false">
      <c r="A2237" s="15" t="str">
        <f aca="false">IF(B2237="","",ROW()-1)</f>
        <v/>
      </c>
      <c r="B2237" s="16"/>
      <c r="C2237" s="16"/>
      <c r="D2237" s="16"/>
      <c r="E2237" s="16"/>
      <c r="F2237" s="17"/>
      <c r="G2237" s="16"/>
      <c r="H2237" s="16"/>
      <c r="I2237" s="16"/>
      <c r="J2237" s="16"/>
      <c r="K2237" s="16"/>
      <c r="L2237" s="16"/>
      <c r="M2237" s="18" t="str">
        <f aca="false">IF(OR(C2237="",D2237=""),"",IF(MOD(COUNTIFS($C$2:C2237,C2237,$D$2:D2237,D2237)*7,10)&lt;3,"teste","treino"))</f>
        <v/>
      </c>
      <c r="N2237" s="16"/>
      <c r="O2237" s="16"/>
      <c r="P2237" s="16"/>
      <c r="Q2237" s="17"/>
    </row>
    <row r="2238" customFormat="false" ht="15" hidden="false" customHeight="false" outlineLevel="0" collapsed="false">
      <c r="A2238" s="15" t="str">
        <f aca="false">IF(B2238="","",ROW()-1)</f>
        <v/>
      </c>
      <c r="B2238" s="16"/>
      <c r="C2238" s="16"/>
      <c r="D2238" s="16"/>
      <c r="E2238" s="16"/>
      <c r="F2238" s="17"/>
      <c r="G2238" s="16"/>
      <c r="H2238" s="16"/>
      <c r="I2238" s="16"/>
      <c r="J2238" s="16"/>
      <c r="K2238" s="16"/>
      <c r="L2238" s="16"/>
      <c r="M2238" s="18" t="str">
        <f aca="false">IF(OR(C2238="",D2238=""),"",IF(MOD(COUNTIFS($C$2:C2238,C2238,$D$2:D2238,D2238)*7,10)&lt;3,"teste","treino"))</f>
        <v/>
      </c>
      <c r="N2238" s="16"/>
      <c r="O2238" s="16"/>
      <c r="P2238" s="16"/>
      <c r="Q2238" s="17"/>
    </row>
    <row r="2239" customFormat="false" ht="15" hidden="false" customHeight="false" outlineLevel="0" collapsed="false">
      <c r="A2239" s="15" t="str">
        <f aca="false">IF(B2239="","",ROW()-1)</f>
        <v/>
      </c>
      <c r="B2239" s="16"/>
      <c r="C2239" s="16"/>
      <c r="D2239" s="16"/>
      <c r="E2239" s="16"/>
      <c r="F2239" s="17"/>
      <c r="G2239" s="16"/>
      <c r="H2239" s="16"/>
      <c r="I2239" s="16"/>
      <c r="J2239" s="16"/>
      <c r="K2239" s="16"/>
      <c r="L2239" s="16"/>
      <c r="M2239" s="18" t="str">
        <f aca="false">IF(OR(C2239="",D2239=""),"",IF(MOD(COUNTIFS($C$2:C2239,C2239,$D$2:D2239,D2239)*7,10)&lt;3,"teste","treino"))</f>
        <v/>
      </c>
      <c r="N2239" s="16"/>
      <c r="O2239" s="16"/>
      <c r="P2239" s="16"/>
      <c r="Q2239" s="17"/>
    </row>
    <row r="2240" customFormat="false" ht="15" hidden="false" customHeight="false" outlineLevel="0" collapsed="false">
      <c r="A2240" s="15" t="str">
        <f aca="false">IF(B2240="","",ROW()-1)</f>
        <v/>
      </c>
      <c r="B2240" s="16"/>
      <c r="C2240" s="16"/>
      <c r="D2240" s="16"/>
      <c r="E2240" s="16"/>
      <c r="F2240" s="17"/>
      <c r="G2240" s="16"/>
      <c r="H2240" s="16"/>
      <c r="I2240" s="16"/>
      <c r="J2240" s="16"/>
      <c r="K2240" s="16"/>
      <c r="L2240" s="16"/>
      <c r="M2240" s="18" t="str">
        <f aca="false">IF(OR(C2240="",D2240=""),"",IF(MOD(COUNTIFS($C$2:C2240,C2240,$D$2:D2240,D2240)*7,10)&lt;3,"teste","treino"))</f>
        <v/>
      </c>
      <c r="N2240" s="16"/>
      <c r="O2240" s="16"/>
      <c r="P2240" s="16"/>
      <c r="Q2240" s="17"/>
    </row>
    <row r="2241" customFormat="false" ht="15" hidden="false" customHeight="false" outlineLevel="0" collapsed="false">
      <c r="A2241" s="15" t="str">
        <f aca="false">IF(B2241="","",ROW()-1)</f>
        <v/>
      </c>
      <c r="B2241" s="16"/>
      <c r="C2241" s="16"/>
      <c r="D2241" s="16"/>
      <c r="E2241" s="16"/>
      <c r="F2241" s="17"/>
      <c r="G2241" s="16"/>
      <c r="H2241" s="16"/>
      <c r="I2241" s="16"/>
      <c r="J2241" s="16"/>
      <c r="K2241" s="16"/>
      <c r="L2241" s="16"/>
      <c r="M2241" s="18" t="str">
        <f aca="false">IF(OR(C2241="",D2241=""),"",IF(MOD(COUNTIFS($C$2:C2241,C2241,$D$2:D2241,D2241)*7,10)&lt;3,"teste","treino"))</f>
        <v/>
      </c>
      <c r="N2241" s="16"/>
      <c r="O2241" s="16"/>
      <c r="P2241" s="16"/>
      <c r="Q2241" s="17"/>
    </row>
    <row r="2242" customFormat="false" ht="15" hidden="false" customHeight="false" outlineLevel="0" collapsed="false">
      <c r="A2242" s="15" t="str">
        <f aca="false">IF(B2242="","",ROW()-1)</f>
        <v/>
      </c>
      <c r="B2242" s="16"/>
      <c r="C2242" s="16"/>
      <c r="D2242" s="16"/>
      <c r="E2242" s="16"/>
      <c r="F2242" s="17"/>
      <c r="G2242" s="16"/>
      <c r="H2242" s="16"/>
      <c r="I2242" s="16"/>
      <c r="J2242" s="16"/>
      <c r="K2242" s="16"/>
      <c r="L2242" s="16"/>
      <c r="M2242" s="18" t="str">
        <f aca="false">IF(OR(C2242="",D2242=""),"",IF(MOD(COUNTIFS($C$2:C2242,C2242,$D$2:D2242,D2242)*7,10)&lt;3,"teste","treino"))</f>
        <v/>
      </c>
      <c r="N2242" s="16"/>
      <c r="O2242" s="16"/>
      <c r="P2242" s="16"/>
      <c r="Q2242" s="17"/>
    </row>
    <row r="2243" customFormat="false" ht="15" hidden="false" customHeight="false" outlineLevel="0" collapsed="false">
      <c r="A2243" s="15" t="str">
        <f aca="false">IF(B2243="","",ROW()-1)</f>
        <v/>
      </c>
      <c r="B2243" s="16"/>
      <c r="C2243" s="16"/>
      <c r="D2243" s="16"/>
      <c r="E2243" s="16"/>
      <c r="F2243" s="17"/>
      <c r="G2243" s="16"/>
      <c r="H2243" s="16"/>
      <c r="I2243" s="16"/>
      <c r="J2243" s="16"/>
      <c r="K2243" s="16"/>
      <c r="L2243" s="16"/>
      <c r="M2243" s="18" t="str">
        <f aca="false">IF(OR(C2243="",D2243=""),"",IF(MOD(COUNTIFS($C$2:C2243,C2243,$D$2:D2243,D2243)*7,10)&lt;3,"teste","treino"))</f>
        <v/>
      </c>
      <c r="N2243" s="16"/>
      <c r="O2243" s="16"/>
      <c r="P2243" s="16"/>
      <c r="Q2243" s="17"/>
    </row>
    <row r="2244" customFormat="false" ht="15" hidden="false" customHeight="false" outlineLevel="0" collapsed="false">
      <c r="A2244" s="15" t="str">
        <f aca="false">IF(B2244="","",ROW()-1)</f>
        <v/>
      </c>
      <c r="B2244" s="16"/>
      <c r="C2244" s="16"/>
      <c r="D2244" s="16"/>
      <c r="E2244" s="16"/>
      <c r="F2244" s="17"/>
      <c r="G2244" s="16"/>
      <c r="H2244" s="16"/>
      <c r="I2244" s="16"/>
      <c r="J2244" s="16"/>
      <c r="K2244" s="16"/>
      <c r="L2244" s="16"/>
      <c r="M2244" s="18" t="str">
        <f aca="false">IF(OR(C2244="",D2244=""),"",IF(MOD(COUNTIFS($C$2:C2244,C2244,$D$2:D2244,D2244)*7,10)&lt;3,"teste","treino"))</f>
        <v/>
      </c>
      <c r="N2244" s="16"/>
      <c r="O2244" s="16"/>
      <c r="P2244" s="16"/>
      <c r="Q2244" s="17"/>
    </row>
    <row r="2245" customFormat="false" ht="15" hidden="false" customHeight="false" outlineLevel="0" collapsed="false">
      <c r="A2245" s="15" t="str">
        <f aca="false">IF(B2245="","",ROW()-1)</f>
        <v/>
      </c>
      <c r="B2245" s="16"/>
      <c r="C2245" s="16"/>
      <c r="D2245" s="16"/>
      <c r="E2245" s="16"/>
      <c r="F2245" s="17"/>
      <c r="G2245" s="16"/>
      <c r="H2245" s="16"/>
      <c r="I2245" s="16"/>
      <c r="J2245" s="16"/>
      <c r="K2245" s="16"/>
      <c r="L2245" s="16"/>
      <c r="M2245" s="18" t="str">
        <f aca="false">IF(OR(C2245="",D2245=""),"",IF(MOD(COUNTIFS($C$2:C2245,C2245,$D$2:D2245,D2245)*7,10)&lt;3,"teste","treino"))</f>
        <v/>
      </c>
      <c r="N2245" s="16"/>
      <c r="O2245" s="16"/>
      <c r="P2245" s="16"/>
      <c r="Q2245" s="17"/>
    </row>
    <row r="2246" customFormat="false" ht="15" hidden="false" customHeight="false" outlineLevel="0" collapsed="false">
      <c r="A2246" s="15" t="str">
        <f aca="false">IF(B2246="","",ROW()-1)</f>
        <v/>
      </c>
      <c r="B2246" s="16"/>
      <c r="C2246" s="16"/>
      <c r="D2246" s="16"/>
      <c r="E2246" s="16"/>
      <c r="F2246" s="17"/>
      <c r="G2246" s="16"/>
      <c r="H2246" s="16"/>
      <c r="I2246" s="16"/>
      <c r="J2246" s="16"/>
      <c r="K2246" s="16"/>
      <c r="L2246" s="16"/>
      <c r="M2246" s="18" t="str">
        <f aca="false">IF(OR(C2246="",D2246=""),"",IF(MOD(COUNTIFS($C$2:C2246,C2246,$D$2:D2246,D2246)*7,10)&lt;3,"teste","treino"))</f>
        <v/>
      </c>
      <c r="N2246" s="16"/>
      <c r="O2246" s="16"/>
      <c r="P2246" s="16"/>
      <c r="Q2246" s="17"/>
    </row>
    <row r="2247" customFormat="false" ht="15" hidden="false" customHeight="false" outlineLevel="0" collapsed="false">
      <c r="A2247" s="15" t="str">
        <f aca="false">IF(B2247="","",ROW()-1)</f>
        <v/>
      </c>
      <c r="B2247" s="16"/>
      <c r="C2247" s="16"/>
      <c r="D2247" s="16"/>
      <c r="E2247" s="16"/>
      <c r="F2247" s="17"/>
      <c r="G2247" s="16"/>
      <c r="H2247" s="16"/>
      <c r="I2247" s="16"/>
      <c r="J2247" s="16"/>
      <c r="K2247" s="16"/>
      <c r="L2247" s="16"/>
      <c r="M2247" s="18" t="str">
        <f aca="false">IF(OR(C2247="",D2247=""),"",IF(MOD(COUNTIFS($C$2:C2247,C2247,$D$2:D2247,D2247)*7,10)&lt;3,"teste","treino"))</f>
        <v/>
      </c>
      <c r="N2247" s="16"/>
      <c r="O2247" s="16"/>
      <c r="P2247" s="16"/>
      <c r="Q2247" s="17"/>
    </row>
    <row r="2248" customFormat="false" ht="15" hidden="false" customHeight="false" outlineLevel="0" collapsed="false">
      <c r="A2248" s="15" t="str">
        <f aca="false">IF(B2248="","",ROW()-1)</f>
        <v/>
      </c>
      <c r="B2248" s="16"/>
      <c r="C2248" s="16"/>
      <c r="D2248" s="16"/>
      <c r="E2248" s="16"/>
      <c r="F2248" s="17"/>
      <c r="G2248" s="16"/>
      <c r="H2248" s="16"/>
      <c r="I2248" s="16"/>
      <c r="J2248" s="16"/>
      <c r="K2248" s="16"/>
      <c r="L2248" s="16"/>
      <c r="M2248" s="18" t="str">
        <f aca="false">IF(OR(C2248="",D2248=""),"",IF(MOD(COUNTIFS($C$2:C2248,C2248,$D$2:D2248,D2248)*7,10)&lt;3,"teste","treino"))</f>
        <v/>
      </c>
      <c r="N2248" s="16"/>
      <c r="O2248" s="16"/>
      <c r="P2248" s="16"/>
      <c r="Q2248" s="17"/>
    </row>
    <row r="2249" customFormat="false" ht="15" hidden="false" customHeight="false" outlineLevel="0" collapsed="false">
      <c r="A2249" s="15" t="str">
        <f aca="false">IF(B2249="","",ROW()-1)</f>
        <v/>
      </c>
      <c r="B2249" s="16"/>
      <c r="C2249" s="16"/>
      <c r="D2249" s="16"/>
      <c r="E2249" s="16"/>
      <c r="F2249" s="17"/>
      <c r="G2249" s="16"/>
      <c r="H2249" s="16"/>
      <c r="I2249" s="16"/>
      <c r="J2249" s="16"/>
      <c r="K2249" s="16"/>
      <c r="L2249" s="16"/>
      <c r="M2249" s="18" t="str">
        <f aca="false">IF(OR(C2249="",D2249=""),"",IF(MOD(COUNTIFS($C$2:C2249,C2249,$D$2:D2249,D2249)*7,10)&lt;3,"teste","treino"))</f>
        <v/>
      </c>
      <c r="N2249" s="16"/>
      <c r="O2249" s="16"/>
      <c r="P2249" s="16"/>
      <c r="Q2249" s="17"/>
    </row>
    <row r="2250" customFormat="false" ht="15" hidden="false" customHeight="false" outlineLevel="0" collapsed="false">
      <c r="A2250" s="15" t="str">
        <f aca="false">IF(B2250="","",ROW()-1)</f>
        <v/>
      </c>
      <c r="B2250" s="16"/>
      <c r="C2250" s="16"/>
      <c r="D2250" s="16"/>
      <c r="E2250" s="16"/>
      <c r="F2250" s="17"/>
      <c r="G2250" s="16"/>
      <c r="H2250" s="16"/>
      <c r="I2250" s="16"/>
      <c r="J2250" s="16"/>
      <c r="K2250" s="16"/>
      <c r="L2250" s="16"/>
      <c r="M2250" s="18" t="str">
        <f aca="false">IF(OR(C2250="",D2250=""),"",IF(MOD(COUNTIFS($C$2:C2250,C2250,$D$2:D2250,D2250)*7,10)&lt;3,"teste","treino"))</f>
        <v/>
      </c>
      <c r="N2250" s="16"/>
      <c r="O2250" s="16"/>
      <c r="P2250" s="16"/>
      <c r="Q2250" s="17"/>
    </row>
    <row r="2251" customFormat="false" ht="15" hidden="false" customHeight="false" outlineLevel="0" collapsed="false">
      <c r="A2251" s="15" t="str">
        <f aca="false">IF(B2251="","",ROW()-1)</f>
        <v/>
      </c>
      <c r="B2251" s="16"/>
      <c r="C2251" s="16"/>
      <c r="D2251" s="16"/>
      <c r="E2251" s="16"/>
      <c r="F2251" s="17"/>
      <c r="G2251" s="16"/>
      <c r="H2251" s="16"/>
      <c r="I2251" s="16"/>
      <c r="J2251" s="16"/>
      <c r="K2251" s="16"/>
      <c r="L2251" s="16"/>
      <c r="M2251" s="18" t="str">
        <f aca="false">IF(OR(C2251="",D2251=""),"",IF(MOD(COUNTIFS($C$2:C2251,C2251,$D$2:D2251,D2251)*7,10)&lt;3,"teste","treino"))</f>
        <v/>
      </c>
      <c r="N2251" s="16"/>
      <c r="O2251" s="16"/>
      <c r="P2251" s="16"/>
      <c r="Q2251" s="17"/>
    </row>
    <row r="2252" customFormat="false" ht="15" hidden="false" customHeight="false" outlineLevel="0" collapsed="false">
      <c r="A2252" s="15" t="str">
        <f aca="false">IF(B2252="","",ROW()-1)</f>
        <v/>
      </c>
      <c r="B2252" s="16"/>
      <c r="C2252" s="16"/>
      <c r="D2252" s="16"/>
      <c r="E2252" s="16"/>
      <c r="F2252" s="17"/>
      <c r="G2252" s="16"/>
      <c r="H2252" s="16"/>
      <c r="I2252" s="16"/>
      <c r="J2252" s="16"/>
      <c r="K2252" s="16"/>
      <c r="L2252" s="16"/>
      <c r="M2252" s="18" t="str">
        <f aca="false">IF(OR(C2252="",D2252=""),"",IF(MOD(COUNTIFS($C$2:C2252,C2252,$D$2:D2252,D2252)*7,10)&lt;3,"teste","treino"))</f>
        <v/>
      </c>
      <c r="N2252" s="16"/>
      <c r="O2252" s="16"/>
      <c r="P2252" s="16"/>
      <c r="Q2252" s="17"/>
    </row>
    <row r="2253" customFormat="false" ht="15" hidden="false" customHeight="false" outlineLevel="0" collapsed="false">
      <c r="A2253" s="15" t="str">
        <f aca="false">IF(B2253="","",ROW()-1)</f>
        <v/>
      </c>
      <c r="B2253" s="16"/>
      <c r="C2253" s="16"/>
      <c r="D2253" s="16"/>
      <c r="E2253" s="16"/>
      <c r="F2253" s="17"/>
      <c r="G2253" s="16"/>
      <c r="H2253" s="16"/>
      <c r="I2253" s="16"/>
      <c r="J2253" s="16"/>
      <c r="K2253" s="16"/>
      <c r="L2253" s="16"/>
      <c r="M2253" s="18" t="str">
        <f aca="false">IF(OR(C2253="",D2253=""),"",IF(MOD(COUNTIFS($C$2:C2253,C2253,$D$2:D2253,D2253)*7,10)&lt;3,"teste","treino"))</f>
        <v/>
      </c>
      <c r="N2253" s="16"/>
      <c r="O2253" s="16"/>
      <c r="P2253" s="16"/>
      <c r="Q2253" s="17"/>
    </row>
    <row r="2254" customFormat="false" ht="15" hidden="false" customHeight="false" outlineLevel="0" collapsed="false">
      <c r="A2254" s="15" t="str">
        <f aca="false">IF(B2254="","",ROW()-1)</f>
        <v/>
      </c>
      <c r="B2254" s="16"/>
      <c r="C2254" s="16"/>
      <c r="D2254" s="16"/>
      <c r="E2254" s="16"/>
      <c r="F2254" s="17"/>
      <c r="G2254" s="16"/>
      <c r="H2254" s="16"/>
      <c r="I2254" s="16"/>
      <c r="J2254" s="16"/>
      <c r="K2254" s="16"/>
      <c r="L2254" s="16"/>
      <c r="M2254" s="18" t="str">
        <f aca="false">IF(OR(C2254="",D2254=""),"",IF(MOD(COUNTIFS($C$2:C2254,C2254,$D$2:D2254,D2254)*7,10)&lt;3,"teste","treino"))</f>
        <v/>
      </c>
      <c r="N2254" s="16"/>
      <c r="O2254" s="16"/>
      <c r="P2254" s="16"/>
      <c r="Q2254" s="17"/>
    </row>
    <row r="2255" customFormat="false" ht="15" hidden="false" customHeight="false" outlineLevel="0" collapsed="false">
      <c r="A2255" s="15" t="str">
        <f aca="false">IF(B2255="","",ROW()-1)</f>
        <v/>
      </c>
      <c r="B2255" s="16"/>
      <c r="C2255" s="16"/>
      <c r="D2255" s="16"/>
      <c r="E2255" s="16"/>
      <c r="F2255" s="17"/>
      <c r="G2255" s="16"/>
      <c r="H2255" s="16"/>
      <c r="I2255" s="16"/>
      <c r="J2255" s="16"/>
      <c r="K2255" s="16"/>
      <c r="L2255" s="16"/>
      <c r="M2255" s="18" t="str">
        <f aca="false">IF(OR(C2255="",D2255=""),"",IF(MOD(COUNTIFS($C$2:C2255,C2255,$D$2:D2255,D2255)*7,10)&lt;3,"teste","treino"))</f>
        <v/>
      </c>
      <c r="N2255" s="16"/>
      <c r="O2255" s="16"/>
      <c r="P2255" s="16"/>
      <c r="Q2255" s="17"/>
    </row>
    <row r="2256" customFormat="false" ht="15" hidden="false" customHeight="false" outlineLevel="0" collapsed="false">
      <c r="A2256" s="15" t="str">
        <f aca="false">IF(B2256="","",ROW()-1)</f>
        <v/>
      </c>
      <c r="B2256" s="16"/>
      <c r="C2256" s="16"/>
      <c r="D2256" s="16"/>
      <c r="E2256" s="16"/>
      <c r="F2256" s="17"/>
      <c r="G2256" s="16"/>
      <c r="H2256" s="16"/>
      <c r="I2256" s="16"/>
      <c r="J2256" s="16"/>
      <c r="K2256" s="16"/>
      <c r="L2256" s="16"/>
      <c r="M2256" s="18" t="str">
        <f aca="false">IF(OR(C2256="",D2256=""),"",IF(MOD(COUNTIFS($C$2:C2256,C2256,$D$2:D2256,D2256)*7,10)&lt;3,"teste","treino"))</f>
        <v/>
      </c>
      <c r="N2256" s="16"/>
      <c r="O2256" s="16"/>
      <c r="P2256" s="16"/>
      <c r="Q2256" s="17"/>
    </row>
    <row r="2257" customFormat="false" ht="15" hidden="false" customHeight="false" outlineLevel="0" collapsed="false">
      <c r="A2257" s="15" t="str">
        <f aca="false">IF(B2257="","",ROW()-1)</f>
        <v/>
      </c>
      <c r="B2257" s="16"/>
      <c r="C2257" s="16"/>
      <c r="D2257" s="16"/>
      <c r="E2257" s="16"/>
      <c r="F2257" s="17"/>
      <c r="G2257" s="16"/>
      <c r="H2257" s="16"/>
      <c r="I2257" s="16"/>
      <c r="J2257" s="16"/>
      <c r="K2257" s="16"/>
      <c r="L2257" s="16"/>
      <c r="M2257" s="18" t="str">
        <f aca="false">IF(OR(C2257="",D2257=""),"",IF(MOD(COUNTIFS($C$2:C2257,C2257,$D$2:D2257,D2257)*7,10)&lt;3,"teste","treino"))</f>
        <v/>
      </c>
      <c r="N2257" s="16"/>
      <c r="O2257" s="16"/>
      <c r="P2257" s="16"/>
      <c r="Q2257" s="17"/>
    </row>
    <row r="2258" customFormat="false" ht="15" hidden="false" customHeight="false" outlineLevel="0" collapsed="false">
      <c r="A2258" s="15" t="str">
        <f aca="false">IF(B2258="","",ROW()-1)</f>
        <v/>
      </c>
      <c r="B2258" s="16"/>
      <c r="C2258" s="16"/>
      <c r="D2258" s="16"/>
      <c r="E2258" s="16"/>
      <c r="F2258" s="17"/>
      <c r="G2258" s="16"/>
      <c r="H2258" s="16"/>
      <c r="I2258" s="16"/>
      <c r="J2258" s="16"/>
      <c r="K2258" s="16"/>
      <c r="L2258" s="16"/>
      <c r="M2258" s="18" t="str">
        <f aca="false">IF(OR(C2258="",D2258=""),"",IF(MOD(COUNTIFS($C$2:C2258,C2258,$D$2:D2258,D2258)*7,10)&lt;3,"teste","treino"))</f>
        <v/>
      </c>
      <c r="N2258" s="16"/>
      <c r="O2258" s="16"/>
      <c r="P2258" s="16"/>
      <c r="Q2258" s="17"/>
    </row>
    <row r="2259" customFormat="false" ht="15" hidden="false" customHeight="false" outlineLevel="0" collapsed="false">
      <c r="A2259" s="15" t="str">
        <f aca="false">IF(B2259="","",ROW()-1)</f>
        <v/>
      </c>
      <c r="B2259" s="16"/>
      <c r="C2259" s="16"/>
      <c r="D2259" s="16"/>
      <c r="E2259" s="16"/>
      <c r="F2259" s="17"/>
      <c r="G2259" s="16"/>
      <c r="H2259" s="16"/>
      <c r="I2259" s="16"/>
      <c r="J2259" s="16"/>
      <c r="K2259" s="16"/>
      <c r="L2259" s="16"/>
      <c r="M2259" s="18" t="str">
        <f aca="false">IF(OR(C2259="",D2259=""),"",IF(MOD(COUNTIFS($C$2:C2259,C2259,$D$2:D2259,D2259)*7,10)&lt;3,"teste","treino"))</f>
        <v/>
      </c>
      <c r="N2259" s="16"/>
      <c r="O2259" s="16"/>
      <c r="P2259" s="16"/>
      <c r="Q2259" s="17"/>
    </row>
    <row r="2260" customFormat="false" ht="15" hidden="false" customHeight="false" outlineLevel="0" collapsed="false">
      <c r="A2260" s="15" t="str">
        <f aca="false">IF(B2260="","",ROW()-1)</f>
        <v/>
      </c>
      <c r="B2260" s="16"/>
      <c r="C2260" s="16"/>
      <c r="D2260" s="16"/>
      <c r="E2260" s="16"/>
      <c r="F2260" s="17"/>
      <c r="G2260" s="16"/>
      <c r="H2260" s="16"/>
      <c r="I2260" s="16"/>
      <c r="J2260" s="16"/>
      <c r="K2260" s="16"/>
      <c r="L2260" s="16"/>
      <c r="M2260" s="18" t="str">
        <f aca="false">IF(OR(C2260="",D2260=""),"",IF(MOD(COUNTIFS($C$2:C2260,C2260,$D$2:D2260,D2260)*7,10)&lt;3,"teste","treino"))</f>
        <v/>
      </c>
      <c r="N2260" s="16"/>
      <c r="O2260" s="16"/>
      <c r="P2260" s="16"/>
      <c r="Q2260" s="17"/>
    </row>
    <row r="2261" customFormat="false" ht="15" hidden="false" customHeight="false" outlineLevel="0" collapsed="false">
      <c r="A2261" s="15" t="str">
        <f aca="false">IF(B2261="","",ROW()-1)</f>
        <v/>
      </c>
      <c r="B2261" s="16"/>
      <c r="C2261" s="16"/>
      <c r="D2261" s="16"/>
      <c r="E2261" s="16"/>
      <c r="F2261" s="17"/>
      <c r="G2261" s="16"/>
      <c r="H2261" s="16"/>
      <c r="I2261" s="16"/>
      <c r="J2261" s="16"/>
      <c r="K2261" s="16"/>
      <c r="L2261" s="16"/>
      <c r="M2261" s="18" t="str">
        <f aca="false">IF(OR(C2261="",D2261=""),"",IF(MOD(COUNTIFS($C$2:C2261,C2261,$D$2:D2261,D2261)*7,10)&lt;3,"teste","treino"))</f>
        <v/>
      </c>
      <c r="N2261" s="16"/>
      <c r="O2261" s="16"/>
      <c r="P2261" s="16"/>
      <c r="Q2261" s="17"/>
    </row>
    <row r="2262" customFormat="false" ht="15" hidden="false" customHeight="false" outlineLevel="0" collapsed="false">
      <c r="A2262" s="15" t="str">
        <f aca="false">IF(B2262="","",ROW()-1)</f>
        <v/>
      </c>
      <c r="B2262" s="16"/>
      <c r="C2262" s="16"/>
      <c r="D2262" s="16"/>
      <c r="E2262" s="16"/>
      <c r="F2262" s="17"/>
      <c r="G2262" s="16"/>
      <c r="H2262" s="16"/>
      <c r="I2262" s="16"/>
      <c r="J2262" s="16"/>
      <c r="K2262" s="16"/>
      <c r="L2262" s="16"/>
      <c r="M2262" s="18" t="str">
        <f aca="false">IF(OR(C2262="",D2262=""),"",IF(MOD(COUNTIFS($C$2:C2262,C2262,$D$2:D2262,D2262)*7,10)&lt;3,"teste","treino"))</f>
        <v/>
      </c>
      <c r="N2262" s="16"/>
      <c r="O2262" s="16"/>
      <c r="P2262" s="16"/>
      <c r="Q2262" s="17"/>
    </row>
    <row r="2263" customFormat="false" ht="15" hidden="false" customHeight="false" outlineLevel="0" collapsed="false">
      <c r="A2263" s="15" t="str">
        <f aca="false">IF(B2263="","",ROW()-1)</f>
        <v/>
      </c>
      <c r="B2263" s="16"/>
      <c r="C2263" s="16"/>
      <c r="D2263" s="16"/>
      <c r="E2263" s="16"/>
      <c r="F2263" s="17"/>
      <c r="G2263" s="16"/>
      <c r="H2263" s="16"/>
      <c r="I2263" s="16"/>
      <c r="J2263" s="16"/>
      <c r="K2263" s="16"/>
      <c r="L2263" s="16"/>
      <c r="M2263" s="18" t="str">
        <f aca="false">IF(OR(C2263="",D2263=""),"",IF(MOD(COUNTIFS($C$2:C2263,C2263,$D$2:D2263,D2263)*7,10)&lt;3,"teste","treino"))</f>
        <v/>
      </c>
      <c r="N2263" s="16"/>
      <c r="O2263" s="16"/>
      <c r="P2263" s="16"/>
      <c r="Q2263" s="17"/>
    </row>
    <row r="2264" customFormat="false" ht="15" hidden="false" customHeight="false" outlineLevel="0" collapsed="false">
      <c r="A2264" s="15" t="str">
        <f aca="false">IF(B2264="","",ROW()-1)</f>
        <v/>
      </c>
      <c r="B2264" s="16"/>
      <c r="C2264" s="16"/>
      <c r="D2264" s="16"/>
      <c r="E2264" s="16"/>
      <c r="F2264" s="17"/>
      <c r="G2264" s="16"/>
      <c r="H2264" s="16"/>
      <c r="I2264" s="16"/>
      <c r="J2264" s="16"/>
      <c r="K2264" s="16"/>
      <c r="L2264" s="16"/>
      <c r="M2264" s="18" t="str">
        <f aca="false">IF(OR(C2264="",D2264=""),"",IF(MOD(COUNTIFS($C$2:C2264,C2264,$D$2:D2264,D2264)*7,10)&lt;3,"teste","treino"))</f>
        <v/>
      </c>
      <c r="N2264" s="16"/>
      <c r="O2264" s="16"/>
      <c r="P2264" s="16"/>
      <c r="Q2264" s="17"/>
    </row>
    <row r="2265" customFormat="false" ht="15" hidden="false" customHeight="false" outlineLevel="0" collapsed="false">
      <c r="A2265" s="15" t="str">
        <f aca="false">IF(B2265="","",ROW()-1)</f>
        <v/>
      </c>
      <c r="B2265" s="16"/>
      <c r="C2265" s="16"/>
      <c r="D2265" s="16"/>
      <c r="E2265" s="16"/>
      <c r="F2265" s="17"/>
      <c r="G2265" s="16"/>
      <c r="H2265" s="16"/>
      <c r="I2265" s="16"/>
      <c r="J2265" s="16"/>
      <c r="K2265" s="16"/>
      <c r="L2265" s="16"/>
      <c r="M2265" s="18" t="str">
        <f aca="false">IF(OR(C2265="",D2265=""),"",IF(MOD(COUNTIFS($C$2:C2265,C2265,$D$2:D2265,D2265)*7,10)&lt;3,"teste","treino"))</f>
        <v/>
      </c>
      <c r="N2265" s="16"/>
      <c r="O2265" s="16"/>
      <c r="P2265" s="16"/>
      <c r="Q2265" s="17"/>
    </row>
    <row r="2266" customFormat="false" ht="15" hidden="false" customHeight="false" outlineLevel="0" collapsed="false">
      <c r="A2266" s="15" t="str">
        <f aca="false">IF(B2266="","",ROW()-1)</f>
        <v/>
      </c>
      <c r="B2266" s="16"/>
      <c r="C2266" s="16"/>
      <c r="D2266" s="16"/>
      <c r="E2266" s="16"/>
      <c r="F2266" s="17"/>
      <c r="G2266" s="16"/>
      <c r="H2266" s="16"/>
      <c r="I2266" s="16"/>
      <c r="J2266" s="16"/>
      <c r="K2266" s="16"/>
      <c r="L2266" s="16"/>
      <c r="M2266" s="18" t="str">
        <f aca="false">IF(OR(C2266="",D2266=""),"",IF(MOD(COUNTIFS($C$2:C2266,C2266,$D$2:D2266,D2266)*7,10)&lt;3,"teste","treino"))</f>
        <v/>
      </c>
      <c r="N2266" s="16"/>
      <c r="O2266" s="16"/>
      <c r="P2266" s="16"/>
      <c r="Q2266" s="17"/>
    </row>
    <row r="2267" customFormat="false" ht="15" hidden="false" customHeight="false" outlineLevel="0" collapsed="false">
      <c r="A2267" s="15" t="str">
        <f aca="false">IF(B2267="","",ROW()-1)</f>
        <v/>
      </c>
      <c r="B2267" s="16"/>
      <c r="C2267" s="16"/>
      <c r="D2267" s="16"/>
      <c r="E2267" s="16"/>
      <c r="F2267" s="17"/>
      <c r="G2267" s="16"/>
      <c r="H2267" s="16"/>
      <c r="I2267" s="16"/>
      <c r="J2267" s="16"/>
      <c r="K2267" s="16"/>
      <c r="L2267" s="16"/>
      <c r="M2267" s="18" t="str">
        <f aca="false">IF(OR(C2267="",D2267=""),"",IF(MOD(COUNTIFS($C$2:C2267,C2267,$D$2:D2267,D2267)*7,10)&lt;3,"teste","treino"))</f>
        <v/>
      </c>
      <c r="N2267" s="16"/>
      <c r="O2267" s="16"/>
      <c r="P2267" s="16"/>
      <c r="Q2267" s="17"/>
    </row>
    <row r="2268" customFormat="false" ht="15" hidden="false" customHeight="false" outlineLevel="0" collapsed="false">
      <c r="A2268" s="15" t="str">
        <f aca="false">IF(B2268="","",ROW()-1)</f>
        <v/>
      </c>
      <c r="B2268" s="16"/>
      <c r="C2268" s="16"/>
      <c r="D2268" s="16"/>
      <c r="E2268" s="16"/>
      <c r="F2268" s="17"/>
      <c r="G2268" s="16"/>
      <c r="H2268" s="16"/>
      <c r="I2268" s="16"/>
      <c r="J2268" s="16"/>
      <c r="K2268" s="16"/>
      <c r="L2268" s="16"/>
      <c r="M2268" s="18" t="str">
        <f aca="false">IF(OR(C2268="",D2268=""),"",IF(MOD(COUNTIFS($C$2:C2268,C2268,$D$2:D2268,D2268)*7,10)&lt;3,"teste","treino"))</f>
        <v/>
      </c>
      <c r="N2268" s="16"/>
      <c r="O2268" s="16"/>
      <c r="P2268" s="16"/>
      <c r="Q2268" s="17"/>
    </row>
    <row r="2269" customFormat="false" ht="15" hidden="false" customHeight="false" outlineLevel="0" collapsed="false">
      <c r="A2269" s="15" t="str">
        <f aca="false">IF(B2269="","",ROW()-1)</f>
        <v/>
      </c>
      <c r="B2269" s="16"/>
      <c r="C2269" s="16"/>
      <c r="D2269" s="16"/>
      <c r="E2269" s="16"/>
      <c r="F2269" s="17"/>
      <c r="G2269" s="16"/>
      <c r="H2269" s="16"/>
      <c r="I2269" s="16"/>
      <c r="J2269" s="16"/>
      <c r="K2269" s="16"/>
      <c r="L2269" s="16"/>
      <c r="M2269" s="18" t="str">
        <f aca="false">IF(OR(C2269="",D2269=""),"",IF(MOD(COUNTIFS($C$2:C2269,C2269,$D$2:D2269,D2269)*7,10)&lt;3,"teste","treino"))</f>
        <v/>
      </c>
      <c r="N2269" s="16"/>
      <c r="O2269" s="16"/>
      <c r="P2269" s="16"/>
      <c r="Q2269" s="17"/>
    </row>
    <row r="2270" customFormat="false" ht="15" hidden="false" customHeight="false" outlineLevel="0" collapsed="false">
      <c r="A2270" s="15" t="str">
        <f aca="false">IF(B2270="","",ROW()-1)</f>
        <v/>
      </c>
      <c r="B2270" s="16"/>
      <c r="C2270" s="16"/>
      <c r="D2270" s="16"/>
      <c r="E2270" s="16"/>
      <c r="F2270" s="17"/>
      <c r="G2270" s="16"/>
      <c r="H2270" s="16"/>
      <c r="I2270" s="16"/>
      <c r="J2270" s="16"/>
      <c r="K2270" s="16"/>
      <c r="L2270" s="16"/>
      <c r="M2270" s="18" t="str">
        <f aca="false">IF(OR(C2270="",D2270=""),"",IF(MOD(COUNTIFS($C$2:C2270,C2270,$D$2:D2270,D2270)*7,10)&lt;3,"teste","treino"))</f>
        <v/>
      </c>
      <c r="N2270" s="16"/>
      <c r="O2270" s="16"/>
      <c r="P2270" s="16"/>
      <c r="Q2270" s="17"/>
    </row>
    <row r="2271" customFormat="false" ht="15" hidden="false" customHeight="false" outlineLevel="0" collapsed="false">
      <c r="A2271" s="15" t="str">
        <f aca="false">IF(B2271="","",ROW()-1)</f>
        <v/>
      </c>
      <c r="B2271" s="16"/>
      <c r="C2271" s="16"/>
      <c r="D2271" s="16"/>
      <c r="E2271" s="16"/>
      <c r="F2271" s="17"/>
      <c r="G2271" s="16"/>
      <c r="H2271" s="16"/>
      <c r="I2271" s="16"/>
      <c r="J2271" s="16"/>
      <c r="K2271" s="16"/>
      <c r="L2271" s="16"/>
      <c r="M2271" s="18" t="str">
        <f aca="false">IF(OR(C2271="",D2271=""),"",IF(MOD(COUNTIFS($C$2:C2271,C2271,$D$2:D2271,D2271)*7,10)&lt;3,"teste","treino"))</f>
        <v/>
      </c>
      <c r="N2271" s="16"/>
      <c r="O2271" s="16"/>
      <c r="P2271" s="16"/>
      <c r="Q2271" s="17"/>
    </row>
    <row r="2272" customFormat="false" ht="15" hidden="false" customHeight="false" outlineLevel="0" collapsed="false">
      <c r="A2272" s="15" t="str">
        <f aca="false">IF(B2272="","",ROW()-1)</f>
        <v/>
      </c>
      <c r="B2272" s="16"/>
      <c r="C2272" s="16"/>
      <c r="D2272" s="16"/>
      <c r="E2272" s="16"/>
      <c r="F2272" s="17"/>
      <c r="G2272" s="16"/>
      <c r="H2272" s="16"/>
      <c r="I2272" s="16"/>
      <c r="J2272" s="16"/>
      <c r="K2272" s="16"/>
      <c r="L2272" s="16"/>
      <c r="M2272" s="18" t="str">
        <f aca="false">IF(OR(C2272="",D2272=""),"",IF(MOD(COUNTIFS($C$2:C2272,C2272,$D$2:D2272,D2272)*7,10)&lt;3,"teste","treino"))</f>
        <v/>
      </c>
      <c r="N2272" s="16"/>
      <c r="O2272" s="16"/>
      <c r="P2272" s="16"/>
      <c r="Q2272" s="17"/>
    </row>
    <row r="2273" customFormat="false" ht="15" hidden="false" customHeight="false" outlineLevel="0" collapsed="false">
      <c r="A2273" s="15" t="str">
        <f aca="false">IF(B2273="","",ROW()-1)</f>
        <v/>
      </c>
      <c r="B2273" s="16"/>
      <c r="C2273" s="16"/>
      <c r="D2273" s="16"/>
      <c r="E2273" s="16"/>
      <c r="F2273" s="17"/>
      <c r="G2273" s="16"/>
      <c r="H2273" s="16"/>
      <c r="I2273" s="16"/>
      <c r="J2273" s="16"/>
      <c r="K2273" s="16"/>
      <c r="L2273" s="16"/>
      <c r="M2273" s="18" t="str">
        <f aca="false">IF(OR(C2273="",D2273=""),"",IF(MOD(COUNTIFS($C$2:C2273,C2273,$D$2:D2273,D2273)*7,10)&lt;3,"teste","treino"))</f>
        <v/>
      </c>
      <c r="N2273" s="16"/>
      <c r="O2273" s="16"/>
      <c r="P2273" s="16"/>
      <c r="Q2273" s="17"/>
    </row>
    <row r="2274" customFormat="false" ht="15" hidden="false" customHeight="false" outlineLevel="0" collapsed="false">
      <c r="A2274" s="15" t="str">
        <f aca="false">IF(B2274="","",ROW()-1)</f>
        <v/>
      </c>
      <c r="B2274" s="16"/>
      <c r="C2274" s="16"/>
      <c r="D2274" s="16"/>
      <c r="E2274" s="16"/>
      <c r="F2274" s="17"/>
      <c r="G2274" s="16"/>
      <c r="H2274" s="16"/>
      <c r="I2274" s="16"/>
      <c r="J2274" s="16"/>
      <c r="K2274" s="16"/>
      <c r="L2274" s="16"/>
      <c r="M2274" s="18" t="str">
        <f aca="false">IF(OR(C2274="",D2274=""),"",IF(MOD(COUNTIFS($C$2:C2274,C2274,$D$2:D2274,D2274)*7,10)&lt;3,"teste","treino"))</f>
        <v/>
      </c>
      <c r="N2274" s="16"/>
      <c r="O2274" s="16"/>
      <c r="P2274" s="16"/>
      <c r="Q2274" s="17"/>
    </row>
    <row r="2275" customFormat="false" ht="15" hidden="false" customHeight="false" outlineLevel="0" collapsed="false">
      <c r="A2275" s="15" t="str">
        <f aca="false">IF(B2275="","",ROW()-1)</f>
        <v/>
      </c>
      <c r="B2275" s="16"/>
      <c r="C2275" s="16"/>
      <c r="D2275" s="16"/>
      <c r="E2275" s="16"/>
      <c r="F2275" s="17"/>
      <c r="G2275" s="16"/>
      <c r="H2275" s="16"/>
      <c r="I2275" s="16"/>
      <c r="J2275" s="16"/>
      <c r="K2275" s="16"/>
      <c r="L2275" s="16"/>
      <c r="M2275" s="18" t="str">
        <f aca="false">IF(OR(C2275="",D2275=""),"",IF(MOD(COUNTIFS($C$2:C2275,C2275,$D$2:D2275,D2275)*7,10)&lt;3,"teste","treino"))</f>
        <v/>
      </c>
      <c r="N2275" s="16"/>
      <c r="O2275" s="16"/>
      <c r="P2275" s="16"/>
      <c r="Q2275" s="17"/>
    </row>
    <row r="2276" customFormat="false" ht="15" hidden="false" customHeight="false" outlineLevel="0" collapsed="false">
      <c r="A2276" s="15" t="str">
        <f aca="false">IF(B2276="","",ROW()-1)</f>
        <v/>
      </c>
      <c r="B2276" s="16"/>
      <c r="C2276" s="16"/>
      <c r="D2276" s="16"/>
      <c r="E2276" s="16"/>
      <c r="F2276" s="17"/>
      <c r="G2276" s="16"/>
      <c r="H2276" s="16"/>
      <c r="I2276" s="16"/>
      <c r="J2276" s="16"/>
      <c r="K2276" s="16"/>
      <c r="L2276" s="16"/>
      <c r="M2276" s="18" t="str">
        <f aca="false">IF(OR(C2276="",D2276=""),"",IF(MOD(COUNTIFS($C$2:C2276,C2276,$D$2:D2276,D2276)*7,10)&lt;3,"teste","treino"))</f>
        <v/>
      </c>
      <c r="N2276" s="16"/>
      <c r="O2276" s="16"/>
      <c r="P2276" s="16"/>
      <c r="Q2276" s="17"/>
    </row>
    <row r="2277" customFormat="false" ht="15" hidden="false" customHeight="false" outlineLevel="0" collapsed="false">
      <c r="A2277" s="15" t="str">
        <f aca="false">IF(B2277="","",ROW()-1)</f>
        <v/>
      </c>
      <c r="B2277" s="16"/>
      <c r="C2277" s="16"/>
      <c r="D2277" s="16"/>
      <c r="E2277" s="16"/>
      <c r="F2277" s="17"/>
      <c r="G2277" s="16"/>
      <c r="H2277" s="16"/>
      <c r="I2277" s="16"/>
      <c r="J2277" s="16"/>
      <c r="K2277" s="16"/>
      <c r="L2277" s="16"/>
      <c r="M2277" s="18" t="str">
        <f aca="false">IF(OR(C2277="",D2277=""),"",IF(MOD(COUNTIFS($C$2:C2277,C2277,$D$2:D2277,D2277)*7,10)&lt;3,"teste","treino"))</f>
        <v/>
      </c>
      <c r="N2277" s="16"/>
      <c r="O2277" s="16"/>
      <c r="P2277" s="16"/>
      <c r="Q2277" s="17"/>
    </row>
    <row r="2278" customFormat="false" ht="15" hidden="false" customHeight="false" outlineLevel="0" collapsed="false">
      <c r="A2278" s="15" t="str">
        <f aca="false">IF(B2278="","",ROW()-1)</f>
        <v/>
      </c>
      <c r="B2278" s="16"/>
      <c r="C2278" s="16"/>
      <c r="D2278" s="16"/>
      <c r="E2278" s="16"/>
      <c r="F2278" s="17"/>
      <c r="G2278" s="16"/>
      <c r="H2278" s="16"/>
      <c r="I2278" s="16"/>
      <c r="J2278" s="16"/>
      <c r="K2278" s="16"/>
      <c r="L2278" s="16"/>
      <c r="M2278" s="18" t="str">
        <f aca="false">IF(OR(C2278="",D2278=""),"",IF(MOD(COUNTIFS($C$2:C2278,C2278,$D$2:D2278,D2278)*7,10)&lt;3,"teste","treino"))</f>
        <v/>
      </c>
      <c r="N2278" s="16"/>
      <c r="O2278" s="16"/>
      <c r="P2278" s="16"/>
      <c r="Q2278" s="17"/>
    </row>
    <row r="2279" customFormat="false" ht="15" hidden="false" customHeight="false" outlineLevel="0" collapsed="false">
      <c r="A2279" s="15" t="str">
        <f aca="false">IF(B2279="","",ROW()-1)</f>
        <v/>
      </c>
      <c r="B2279" s="16"/>
      <c r="C2279" s="16"/>
      <c r="D2279" s="16"/>
      <c r="E2279" s="16"/>
      <c r="F2279" s="17"/>
      <c r="G2279" s="16"/>
      <c r="H2279" s="16"/>
      <c r="I2279" s="16"/>
      <c r="J2279" s="16"/>
      <c r="K2279" s="16"/>
      <c r="L2279" s="16"/>
      <c r="M2279" s="18" t="str">
        <f aca="false">IF(OR(C2279="",D2279=""),"",IF(MOD(COUNTIFS($C$2:C2279,C2279,$D$2:D2279,D2279)*7,10)&lt;3,"teste","treino"))</f>
        <v/>
      </c>
      <c r="N2279" s="16"/>
      <c r="O2279" s="16"/>
      <c r="P2279" s="16"/>
      <c r="Q2279" s="17"/>
    </row>
    <row r="2280" customFormat="false" ht="15" hidden="false" customHeight="false" outlineLevel="0" collapsed="false">
      <c r="A2280" s="15" t="str">
        <f aca="false">IF(B2280="","",ROW()-1)</f>
        <v/>
      </c>
      <c r="B2280" s="16"/>
      <c r="C2280" s="16"/>
      <c r="D2280" s="16"/>
      <c r="E2280" s="16"/>
      <c r="F2280" s="17"/>
      <c r="G2280" s="16"/>
      <c r="H2280" s="16"/>
      <c r="I2280" s="16"/>
      <c r="J2280" s="16"/>
      <c r="K2280" s="16"/>
      <c r="L2280" s="16"/>
      <c r="M2280" s="18" t="str">
        <f aca="false">IF(OR(C2280="",D2280=""),"",IF(MOD(COUNTIFS($C$2:C2280,C2280,$D$2:D2280,D2280)*7,10)&lt;3,"teste","treino"))</f>
        <v/>
      </c>
      <c r="N2280" s="16"/>
      <c r="O2280" s="16"/>
      <c r="P2280" s="16"/>
      <c r="Q2280" s="17"/>
    </row>
    <row r="2281" customFormat="false" ht="15" hidden="false" customHeight="false" outlineLevel="0" collapsed="false">
      <c r="A2281" s="15" t="str">
        <f aca="false">IF(B2281="","",ROW()-1)</f>
        <v/>
      </c>
      <c r="B2281" s="16"/>
      <c r="C2281" s="16"/>
      <c r="D2281" s="16"/>
      <c r="E2281" s="16"/>
      <c r="F2281" s="17"/>
      <c r="G2281" s="16"/>
      <c r="H2281" s="16"/>
      <c r="I2281" s="16"/>
      <c r="J2281" s="16"/>
      <c r="K2281" s="16"/>
      <c r="L2281" s="16"/>
      <c r="M2281" s="18" t="str">
        <f aca="false">IF(OR(C2281="",D2281=""),"",IF(MOD(COUNTIFS($C$2:C2281,C2281,$D$2:D2281,D2281)*7,10)&lt;3,"teste","treino"))</f>
        <v/>
      </c>
      <c r="N2281" s="16"/>
      <c r="O2281" s="16"/>
      <c r="P2281" s="16"/>
      <c r="Q2281" s="17"/>
    </row>
    <row r="2282" customFormat="false" ht="15" hidden="false" customHeight="false" outlineLevel="0" collapsed="false">
      <c r="A2282" s="15" t="str">
        <f aca="false">IF(B2282="","",ROW()-1)</f>
        <v/>
      </c>
      <c r="B2282" s="16"/>
      <c r="C2282" s="16"/>
      <c r="D2282" s="16"/>
      <c r="E2282" s="16"/>
      <c r="F2282" s="17"/>
      <c r="G2282" s="16"/>
      <c r="H2282" s="16"/>
      <c r="I2282" s="16"/>
      <c r="J2282" s="16"/>
      <c r="K2282" s="16"/>
      <c r="L2282" s="16"/>
      <c r="M2282" s="18" t="str">
        <f aca="false">IF(OR(C2282="",D2282=""),"",IF(MOD(COUNTIFS($C$2:C2282,C2282,$D$2:D2282,D2282)*7,10)&lt;3,"teste","treino"))</f>
        <v/>
      </c>
      <c r="N2282" s="16"/>
      <c r="O2282" s="16"/>
      <c r="P2282" s="16"/>
      <c r="Q2282" s="17"/>
    </row>
    <row r="2283" customFormat="false" ht="15" hidden="false" customHeight="false" outlineLevel="0" collapsed="false">
      <c r="A2283" s="15" t="str">
        <f aca="false">IF(B2283="","",ROW()-1)</f>
        <v/>
      </c>
      <c r="B2283" s="16"/>
      <c r="C2283" s="16"/>
      <c r="D2283" s="16"/>
      <c r="E2283" s="16"/>
      <c r="F2283" s="17"/>
      <c r="G2283" s="16"/>
      <c r="H2283" s="16"/>
      <c r="I2283" s="16"/>
      <c r="J2283" s="16"/>
      <c r="K2283" s="16"/>
      <c r="L2283" s="16"/>
      <c r="M2283" s="18" t="str">
        <f aca="false">IF(OR(C2283="",D2283=""),"",IF(MOD(COUNTIFS($C$2:C2283,C2283,$D$2:D2283,D2283)*7,10)&lt;3,"teste","treino"))</f>
        <v/>
      </c>
      <c r="N2283" s="16"/>
      <c r="O2283" s="16"/>
      <c r="P2283" s="16"/>
      <c r="Q2283" s="17"/>
    </row>
    <row r="2284" customFormat="false" ht="15" hidden="false" customHeight="false" outlineLevel="0" collapsed="false">
      <c r="A2284" s="15" t="str">
        <f aca="false">IF(B2284="","",ROW()-1)</f>
        <v/>
      </c>
      <c r="B2284" s="16"/>
      <c r="C2284" s="16"/>
      <c r="D2284" s="16"/>
      <c r="E2284" s="16"/>
      <c r="F2284" s="17"/>
      <c r="G2284" s="16"/>
      <c r="H2284" s="16"/>
      <c r="I2284" s="16"/>
      <c r="J2284" s="16"/>
      <c r="K2284" s="16"/>
      <c r="L2284" s="16"/>
      <c r="M2284" s="18" t="str">
        <f aca="false">IF(OR(C2284="",D2284=""),"",IF(MOD(COUNTIFS($C$2:C2284,C2284,$D$2:D2284,D2284)*7,10)&lt;3,"teste","treino"))</f>
        <v/>
      </c>
      <c r="N2284" s="16"/>
      <c r="O2284" s="16"/>
      <c r="P2284" s="16"/>
      <c r="Q2284" s="17"/>
    </row>
    <row r="2285" customFormat="false" ht="15" hidden="false" customHeight="false" outlineLevel="0" collapsed="false">
      <c r="A2285" s="15" t="str">
        <f aca="false">IF(B2285="","",ROW()-1)</f>
        <v/>
      </c>
      <c r="B2285" s="16"/>
      <c r="C2285" s="16"/>
      <c r="D2285" s="16"/>
      <c r="E2285" s="16"/>
      <c r="F2285" s="17"/>
      <c r="G2285" s="16"/>
      <c r="H2285" s="16"/>
      <c r="I2285" s="16"/>
      <c r="J2285" s="16"/>
      <c r="K2285" s="16"/>
      <c r="L2285" s="16"/>
      <c r="M2285" s="18" t="str">
        <f aca="false">IF(OR(C2285="",D2285=""),"",IF(MOD(COUNTIFS($C$2:C2285,C2285,$D$2:D2285,D2285)*7,10)&lt;3,"teste","treino"))</f>
        <v/>
      </c>
      <c r="N2285" s="16"/>
      <c r="O2285" s="16"/>
      <c r="P2285" s="16"/>
      <c r="Q2285" s="17"/>
    </row>
    <row r="2286" customFormat="false" ht="15" hidden="false" customHeight="false" outlineLevel="0" collapsed="false">
      <c r="A2286" s="15" t="str">
        <f aca="false">IF(B2286="","",ROW()-1)</f>
        <v/>
      </c>
      <c r="B2286" s="16"/>
      <c r="C2286" s="16"/>
      <c r="D2286" s="16"/>
      <c r="E2286" s="16"/>
      <c r="F2286" s="17"/>
      <c r="G2286" s="16"/>
      <c r="H2286" s="16"/>
      <c r="I2286" s="16"/>
      <c r="J2286" s="16"/>
      <c r="K2286" s="16"/>
      <c r="L2286" s="16"/>
      <c r="M2286" s="18" t="str">
        <f aca="false">IF(OR(C2286="",D2286=""),"",IF(MOD(COUNTIFS($C$2:C2286,C2286,$D$2:D2286,D2286)*7,10)&lt;3,"teste","treino"))</f>
        <v/>
      </c>
      <c r="N2286" s="16"/>
      <c r="O2286" s="16"/>
      <c r="P2286" s="16"/>
      <c r="Q2286" s="17"/>
    </row>
    <row r="2287" customFormat="false" ht="15" hidden="false" customHeight="false" outlineLevel="0" collapsed="false">
      <c r="A2287" s="15" t="str">
        <f aca="false">IF(B2287="","",ROW()-1)</f>
        <v/>
      </c>
      <c r="B2287" s="16"/>
      <c r="C2287" s="16"/>
      <c r="D2287" s="16"/>
      <c r="E2287" s="16"/>
      <c r="F2287" s="17"/>
      <c r="G2287" s="16"/>
      <c r="H2287" s="16"/>
      <c r="I2287" s="16"/>
      <c r="J2287" s="16"/>
      <c r="K2287" s="16"/>
      <c r="L2287" s="16"/>
      <c r="M2287" s="18" t="str">
        <f aca="false">IF(OR(C2287="",D2287=""),"",IF(MOD(COUNTIFS($C$2:C2287,C2287,$D$2:D2287,D2287)*7,10)&lt;3,"teste","treino"))</f>
        <v/>
      </c>
      <c r="N2287" s="16"/>
      <c r="O2287" s="16"/>
      <c r="P2287" s="16"/>
      <c r="Q2287" s="17"/>
    </row>
    <row r="2288" customFormat="false" ht="15" hidden="false" customHeight="false" outlineLevel="0" collapsed="false">
      <c r="A2288" s="15" t="str">
        <f aca="false">IF(B2288="","",ROW()-1)</f>
        <v/>
      </c>
      <c r="B2288" s="16"/>
      <c r="C2288" s="16"/>
      <c r="D2288" s="16"/>
      <c r="E2288" s="16"/>
      <c r="F2288" s="17"/>
      <c r="G2288" s="16"/>
      <c r="H2288" s="16"/>
      <c r="I2288" s="16"/>
      <c r="J2288" s="16"/>
      <c r="K2288" s="16"/>
      <c r="L2288" s="16"/>
      <c r="M2288" s="18" t="str">
        <f aca="false">IF(OR(C2288="",D2288=""),"",IF(MOD(COUNTIFS($C$2:C2288,C2288,$D$2:D2288,D2288)*7,10)&lt;3,"teste","treino"))</f>
        <v/>
      </c>
      <c r="N2288" s="16"/>
      <c r="O2288" s="16"/>
      <c r="P2288" s="16"/>
      <c r="Q2288" s="17"/>
    </row>
    <row r="2289" customFormat="false" ht="15" hidden="false" customHeight="false" outlineLevel="0" collapsed="false">
      <c r="A2289" s="15" t="str">
        <f aca="false">IF(B2289="","",ROW()-1)</f>
        <v/>
      </c>
      <c r="B2289" s="16"/>
      <c r="C2289" s="16"/>
      <c r="D2289" s="16"/>
      <c r="E2289" s="16"/>
      <c r="F2289" s="17"/>
      <c r="G2289" s="16"/>
      <c r="H2289" s="16"/>
      <c r="I2289" s="16"/>
      <c r="J2289" s="16"/>
      <c r="K2289" s="16"/>
      <c r="L2289" s="16"/>
      <c r="M2289" s="18" t="str">
        <f aca="false">IF(OR(C2289="",D2289=""),"",IF(MOD(COUNTIFS($C$2:C2289,C2289,$D$2:D2289,D2289)*7,10)&lt;3,"teste","treino"))</f>
        <v/>
      </c>
      <c r="N2289" s="16"/>
      <c r="O2289" s="16"/>
      <c r="P2289" s="16"/>
      <c r="Q2289" s="17"/>
    </row>
    <row r="2290" customFormat="false" ht="15" hidden="false" customHeight="false" outlineLevel="0" collapsed="false">
      <c r="A2290" s="15" t="str">
        <f aca="false">IF(B2290="","",ROW()-1)</f>
        <v/>
      </c>
      <c r="B2290" s="16"/>
      <c r="C2290" s="16"/>
      <c r="D2290" s="16"/>
      <c r="E2290" s="16"/>
      <c r="F2290" s="17"/>
      <c r="G2290" s="16"/>
      <c r="H2290" s="16"/>
      <c r="I2290" s="16"/>
      <c r="J2290" s="16"/>
      <c r="K2290" s="16"/>
      <c r="L2290" s="16"/>
      <c r="M2290" s="18" t="str">
        <f aca="false">IF(OR(C2290="",D2290=""),"",IF(MOD(COUNTIFS($C$2:C2290,C2290,$D$2:D2290,D2290)*7,10)&lt;3,"teste","treino"))</f>
        <v/>
      </c>
      <c r="N2290" s="16"/>
      <c r="O2290" s="16"/>
      <c r="P2290" s="16"/>
      <c r="Q2290" s="17"/>
    </row>
    <row r="2291" customFormat="false" ht="15" hidden="false" customHeight="false" outlineLevel="0" collapsed="false">
      <c r="A2291" s="15" t="str">
        <f aca="false">IF(B2291="","",ROW()-1)</f>
        <v/>
      </c>
      <c r="B2291" s="16"/>
      <c r="C2291" s="16"/>
      <c r="D2291" s="16"/>
      <c r="E2291" s="16"/>
      <c r="F2291" s="17"/>
      <c r="G2291" s="16"/>
      <c r="H2291" s="16"/>
      <c r="I2291" s="16"/>
      <c r="J2291" s="16"/>
      <c r="K2291" s="16"/>
      <c r="L2291" s="16"/>
      <c r="M2291" s="18" t="str">
        <f aca="false">IF(OR(C2291="",D2291=""),"",IF(MOD(COUNTIFS($C$2:C2291,C2291,$D$2:D2291,D2291)*7,10)&lt;3,"teste","treino"))</f>
        <v/>
      </c>
      <c r="N2291" s="16"/>
      <c r="O2291" s="16"/>
      <c r="P2291" s="16"/>
      <c r="Q2291" s="17"/>
    </row>
    <row r="2292" customFormat="false" ht="15" hidden="false" customHeight="false" outlineLevel="0" collapsed="false">
      <c r="A2292" s="15" t="str">
        <f aca="false">IF(B2292="","",ROW()-1)</f>
        <v/>
      </c>
      <c r="B2292" s="16"/>
      <c r="C2292" s="16"/>
      <c r="D2292" s="16"/>
      <c r="E2292" s="16"/>
      <c r="F2292" s="17"/>
      <c r="G2292" s="16"/>
      <c r="H2292" s="16"/>
      <c r="I2292" s="16"/>
      <c r="J2292" s="16"/>
      <c r="K2292" s="16"/>
      <c r="L2292" s="16"/>
      <c r="M2292" s="18" t="str">
        <f aca="false">IF(OR(C2292="",D2292=""),"",IF(MOD(COUNTIFS($C$2:C2292,C2292,$D$2:D2292,D2292)*7,10)&lt;3,"teste","treino"))</f>
        <v/>
      </c>
      <c r="N2292" s="16"/>
      <c r="O2292" s="16"/>
      <c r="P2292" s="16"/>
      <c r="Q2292" s="17"/>
    </row>
    <row r="2293" customFormat="false" ht="15" hidden="false" customHeight="false" outlineLevel="0" collapsed="false">
      <c r="A2293" s="15" t="str">
        <f aca="false">IF(B2293="","",ROW()-1)</f>
        <v/>
      </c>
      <c r="B2293" s="16"/>
      <c r="C2293" s="16"/>
      <c r="D2293" s="16"/>
      <c r="E2293" s="16"/>
      <c r="F2293" s="17"/>
      <c r="G2293" s="16"/>
      <c r="H2293" s="16"/>
      <c r="I2293" s="16"/>
      <c r="J2293" s="16"/>
      <c r="K2293" s="16"/>
      <c r="L2293" s="16"/>
      <c r="M2293" s="18" t="str">
        <f aca="false">IF(OR(C2293="",D2293=""),"",IF(MOD(COUNTIFS($C$2:C2293,C2293,$D$2:D2293,D2293)*7,10)&lt;3,"teste","treino"))</f>
        <v/>
      </c>
      <c r="N2293" s="16"/>
      <c r="O2293" s="16"/>
      <c r="P2293" s="16"/>
      <c r="Q2293" s="17"/>
    </row>
    <row r="2294" customFormat="false" ht="15" hidden="false" customHeight="false" outlineLevel="0" collapsed="false">
      <c r="A2294" s="15" t="str">
        <f aca="false">IF(B2294="","",ROW()-1)</f>
        <v/>
      </c>
      <c r="B2294" s="16"/>
      <c r="C2294" s="16"/>
      <c r="D2294" s="16"/>
      <c r="E2294" s="16"/>
      <c r="F2294" s="17"/>
      <c r="G2294" s="16"/>
      <c r="H2294" s="16"/>
      <c r="I2294" s="16"/>
      <c r="J2294" s="16"/>
      <c r="K2294" s="16"/>
      <c r="L2294" s="16"/>
      <c r="M2294" s="18" t="str">
        <f aca="false">IF(OR(C2294="",D2294=""),"",IF(MOD(COUNTIFS($C$2:C2294,C2294,$D$2:D2294,D2294)*7,10)&lt;3,"teste","treino"))</f>
        <v/>
      </c>
      <c r="N2294" s="16"/>
      <c r="O2294" s="16"/>
      <c r="P2294" s="16"/>
      <c r="Q2294" s="17"/>
    </row>
    <row r="2295" customFormat="false" ht="15" hidden="false" customHeight="false" outlineLevel="0" collapsed="false">
      <c r="A2295" s="15" t="str">
        <f aca="false">IF(B2295="","",ROW()-1)</f>
        <v/>
      </c>
      <c r="B2295" s="16"/>
      <c r="C2295" s="16"/>
      <c r="D2295" s="16"/>
      <c r="E2295" s="16"/>
      <c r="F2295" s="17"/>
      <c r="G2295" s="16"/>
      <c r="H2295" s="16"/>
      <c r="I2295" s="16"/>
      <c r="J2295" s="16"/>
      <c r="K2295" s="16"/>
      <c r="L2295" s="16"/>
      <c r="M2295" s="18" t="str">
        <f aca="false">IF(OR(C2295="",D2295=""),"",IF(MOD(COUNTIFS($C$2:C2295,C2295,$D$2:D2295,D2295)*7,10)&lt;3,"teste","treino"))</f>
        <v/>
      </c>
      <c r="N2295" s="16"/>
      <c r="O2295" s="16"/>
      <c r="P2295" s="16"/>
      <c r="Q2295" s="17"/>
    </row>
    <row r="2296" customFormat="false" ht="15" hidden="false" customHeight="false" outlineLevel="0" collapsed="false">
      <c r="A2296" s="15" t="str">
        <f aca="false">IF(B2296="","",ROW()-1)</f>
        <v/>
      </c>
      <c r="B2296" s="16"/>
      <c r="C2296" s="16"/>
      <c r="D2296" s="16"/>
      <c r="E2296" s="16"/>
      <c r="F2296" s="17"/>
      <c r="G2296" s="16"/>
      <c r="H2296" s="16"/>
      <c r="I2296" s="16"/>
      <c r="J2296" s="16"/>
      <c r="K2296" s="16"/>
      <c r="L2296" s="16"/>
      <c r="M2296" s="18" t="str">
        <f aca="false">IF(OR(C2296="",D2296=""),"",IF(MOD(COUNTIFS($C$2:C2296,C2296,$D$2:D2296,D2296)*7,10)&lt;3,"teste","treino"))</f>
        <v/>
      </c>
      <c r="N2296" s="16"/>
      <c r="O2296" s="16"/>
      <c r="P2296" s="16"/>
      <c r="Q2296" s="17"/>
    </row>
    <row r="2297" customFormat="false" ht="15" hidden="false" customHeight="false" outlineLevel="0" collapsed="false">
      <c r="A2297" s="15" t="str">
        <f aca="false">IF(B2297="","",ROW()-1)</f>
        <v/>
      </c>
      <c r="B2297" s="16"/>
      <c r="C2297" s="16"/>
      <c r="D2297" s="16"/>
      <c r="E2297" s="16"/>
      <c r="F2297" s="17"/>
      <c r="G2297" s="16"/>
      <c r="H2297" s="16"/>
      <c r="I2297" s="16"/>
      <c r="J2297" s="16"/>
      <c r="K2297" s="16"/>
      <c r="L2297" s="16"/>
      <c r="M2297" s="18" t="str">
        <f aca="false">IF(OR(C2297="",D2297=""),"",IF(MOD(COUNTIFS($C$2:C2297,C2297,$D$2:D2297,D2297)*7,10)&lt;3,"teste","treino"))</f>
        <v/>
      </c>
      <c r="N2297" s="16"/>
      <c r="O2297" s="16"/>
      <c r="P2297" s="16"/>
      <c r="Q2297" s="17"/>
    </row>
    <row r="2298" customFormat="false" ht="15" hidden="false" customHeight="false" outlineLevel="0" collapsed="false">
      <c r="A2298" s="15" t="str">
        <f aca="false">IF(B2298="","",ROW()-1)</f>
        <v/>
      </c>
      <c r="B2298" s="16"/>
      <c r="C2298" s="16"/>
      <c r="D2298" s="16"/>
      <c r="E2298" s="16"/>
      <c r="F2298" s="17"/>
      <c r="G2298" s="16"/>
      <c r="H2298" s="16"/>
      <c r="I2298" s="16"/>
      <c r="J2298" s="16"/>
      <c r="K2298" s="16"/>
      <c r="L2298" s="16"/>
      <c r="M2298" s="18" t="str">
        <f aca="false">IF(OR(C2298="",D2298=""),"",IF(MOD(COUNTIFS($C$2:C2298,C2298,$D$2:D2298,D2298)*7,10)&lt;3,"teste","treino"))</f>
        <v/>
      </c>
      <c r="N2298" s="16"/>
      <c r="O2298" s="16"/>
      <c r="P2298" s="16"/>
      <c r="Q2298" s="17"/>
    </row>
    <row r="2299" customFormat="false" ht="15" hidden="false" customHeight="false" outlineLevel="0" collapsed="false">
      <c r="A2299" s="15" t="str">
        <f aca="false">IF(B2299="","",ROW()-1)</f>
        <v/>
      </c>
      <c r="B2299" s="16"/>
      <c r="C2299" s="16"/>
      <c r="D2299" s="16"/>
      <c r="E2299" s="16"/>
      <c r="F2299" s="17"/>
      <c r="G2299" s="16"/>
      <c r="H2299" s="16"/>
      <c r="I2299" s="16"/>
      <c r="J2299" s="16"/>
      <c r="K2299" s="16"/>
      <c r="L2299" s="16"/>
      <c r="M2299" s="18" t="str">
        <f aca="false">IF(OR(C2299="",D2299=""),"",IF(MOD(COUNTIFS($C$2:C2299,C2299,$D$2:D2299,D2299)*7,10)&lt;3,"teste","treino"))</f>
        <v/>
      </c>
      <c r="N2299" s="16"/>
      <c r="O2299" s="16"/>
      <c r="P2299" s="16"/>
      <c r="Q2299" s="17"/>
    </row>
    <row r="2300" customFormat="false" ht="15" hidden="false" customHeight="false" outlineLevel="0" collapsed="false">
      <c r="A2300" s="15" t="str">
        <f aca="false">IF(B2300="","",ROW()-1)</f>
        <v/>
      </c>
      <c r="B2300" s="16"/>
      <c r="C2300" s="16"/>
      <c r="D2300" s="16"/>
      <c r="E2300" s="16"/>
      <c r="F2300" s="17"/>
      <c r="G2300" s="16"/>
      <c r="H2300" s="16"/>
      <c r="I2300" s="16"/>
      <c r="J2300" s="16"/>
      <c r="K2300" s="16"/>
      <c r="L2300" s="16"/>
      <c r="M2300" s="18" t="str">
        <f aca="false">IF(OR(C2300="",D2300=""),"",IF(MOD(COUNTIFS($C$2:C2300,C2300,$D$2:D2300,D2300)*7,10)&lt;3,"teste","treino"))</f>
        <v/>
      </c>
      <c r="N2300" s="16"/>
      <c r="O2300" s="16"/>
      <c r="P2300" s="16"/>
      <c r="Q2300" s="17"/>
    </row>
    <row r="2301" customFormat="false" ht="15" hidden="false" customHeight="false" outlineLevel="0" collapsed="false">
      <c r="A2301" s="15" t="str">
        <f aca="false">IF(B2301="","",ROW()-1)</f>
        <v/>
      </c>
      <c r="B2301" s="16"/>
      <c r="C2301" s="16"/>
      <c r="D2301" s="16"/>
      <c r="E2301" s="16"/>
      <c r="F2301" s="17"/>
      <c r="G2301" s="16"/>
      <c r="H2301" s="16"/>
      <c r="I2301" s="16"/>
      <c r="J2301" s="16"/>
      <c r="K2301" s="16"/>
      <c r="L2301" s="16"/>
      <c r="M2301" s="18" t="str">
        <f aca="false">IF(OR(C2301="",D2301=""),"",IF(MOD(COUNTIFS($C$2:C2301,C2301,$D$2:D2301,D2301)*7,10)&lt;3,"teste","treino"))</f>
        <v/>
      </c>
      <c r="N2301" s="16"/>
      <c r="O2301" s="16"/>
      <c r="P2301" s="16"/>
      <c r="Q2301" s="17"/>
    </row>
    <row r="2302" customFormat="false" ht="15" hidden="false" customHeight="false" outlineLevel="0" collapsed="false">
      <c r="A2302" s="15" t="str">
        <f aca="false">IF(B2302="","",ROW()-1)</f>
        <v/>
      </c>
      <c r="B2302" s="16"/>
      <c r="C2302" s="16"/>
      <c r="D2302" s="16"/>
      <c r="E2302" s="16"/>
      <c r="F2302" s="17"/>
      <c r="G2302" s="16"/>
      <c r="H2302" s="16"/>
      <c r="I2302" s="16"/>
      <c r="J2302" s="16"/>
      <c r="K2302" s="16"/>
      <c r="L2302" s="16"/>
      <c r="M2302" s="18" t="str">
        <f aca="false">IF(OR(C2302="",D2302=""),"",IF(MOD(COUNTIFS($C$2:C2302,C2302,$D$2:D2302,D2302)*7,10)&lt;3,"teste","treino"))</f>
        <v/>
      </c>
      <c r="N2302" s="16"/>
      <c r="O2302" s="16"/>
      <c r="P2302" s="16"/>
      <c r="Q2302" s="17"/>
    </row>
    <row r="2303" customFormat="false" ht="15" hidden="false" customHeight="false" outlineLevel="0" collapsed="false">
      <c r="A2303" s="15" t="str">
        <f aca="false">IF(B2303="","",ROW()-1)</f>
        <v/>
      </c>
      <c r="B2303" s="16"/>
      <c r="C2303" s="16"/>
      <c r="D2303" s="16"/>
      <c r="E2303" s="16"/>
      <c r="F2303" s="17"/>
      <c r="G2303" s="16"/>
      <c r="H2303" s="16"/>
      <c r="I2303" s="16"/>
      <c r="J2303" s="16"/>
      <c r="K2303" s="16"/>
      <c r="L2303" s="16"/>
      <c r="M2303" s="18" t="str">
        <f aca="false">IF(OR(C2303="",D2303=""),"",IF(MOD(COUNTIFS($C$2:C2303,C2303,$D$2:D2303,D2303)*7,10)&lt;3,"teste","treino"))</f>
        <v/>
      </c>
      <c r="N2303" s="16"/>
      <c r="O2303" s="16"/>
      <c r="P2303" s="16"/>
      <c r="Q2303" s="17"/>
    </row>
    <row r="2304" customFormat="false" ht="15" hidden="false" customHeight="false" outlineLevel="0" collapsed="false">
      <c r="A2304" s="15" t="str">
        <f aca="false">IF(B2304="","",ROW()-1)</f>
        <v/>
      </c>
      <c r="B2304" s="16"/>
      <c r="C2304" s="16"/>
      <c r="D2304" s="16"/>
      <c r="E2304" s="16"/>
      <c r="F2304" s="17"/>
      <c r="G2304" s="16"/>
      <c r="H2304" s="16"/>
      <c r="I2304" s="16"/>
      <c r="J2304" s="16"/>
      <c r="K2304" s="16"/>
      <c r="L2304" s="16"/>
      <c r="M2304" s="18" t="str">
        <f aca="false">IF(OR(C2304="",D2304=""),"",IF(MOD(COUNTIFS($C$2:C2304,C2304,$D$2:D2304,D2304)*7,10)&lt;3,"teste","treino"))</f>
        <v/>
      </c>
      <c r="N2304" s="16"/>
      <c r="O2304" s="16"/>
      <c r="P2304" s="16"/>
      <c r="Q2304" s="17"/>
    </row>
    <row r="2305" customFormat="false" ht="15" hidden="false" customHeight="false" outlineLevel="0" collapsed="false">
      <c r="A2305" s="15" t="str">
        <f aca="false">IF(B2305="","",ROW()-1)</f>
        <v/>
      </c>
      <c r="B2305" s="16"/>
      <c r="C2305" s="16"/>
      <c r="D2305" s="16"/>
      <c r="E2305" s="16"/>
      <c r="F2305" s="17"/>
      <c r="G2305" s="16"/>
      <c r="H2305" s="16"/>
      <c r="I2305" s="16"/>
      <c r="J2305" s="16"/>
      <c r="K2305" s="16"/>
      <c r="L2305" s="16"/>
      <c r="M2305" s="18" t="str">
        <f aca="false">IF(OR(C2305="",D2305=""),"",IF(MOD(COUNTIFS($C$2:C2305,C2305,$D$2:D2305,D2305)*7,10)&lt;3,"teste","treino"))</f>
        <v/>
      </c>
      <c r="N2305" s="16"/>
      <c r="O2305" s="16"/>
      <c r="P2305" s="16"/>
      <c r="Q2305" s="17"/>
    </row>
    <row r="2306" customFormat="false" ht="15" hidden="false" customHeight="false" outlineLevel="0" collapsed="false">
      <c r="A2306" s="15" t="str">
        <f aca="false">IF(B2306="","",ROW()-1)</f>
        <v/>
      </c>
      <c r="B2306" s="16"/>
      <c r="C2306" s="16"/>
      <c r="D2306" s="16"/>
      <c r="E2306" s="16"/>
      <c r="F2306" s="17"/>
      <c r="G2306" s="16"/>
      <c r="H2306" s="16"/>
      <c r="I2306" s="16"/>
      <c r="J2306" s="16"/>
      <c r="K2306" s="16"/>
      <c r="L2306" s="16"/>
      <c r="M2306" s="18" t="str">
        <f aca="false">IF(OR(C2306="",D2306=""),"",IF(MOD(COUNTIFS($C$2:C2306,C2306,$D$2:D2306,D2306)*7,10)&lt;3,"teste","treino"))</f>
        <v/>
      </c>
      <c r="N2306" s="16"/>
      <c r="O2306" s="16"/>
      <c r="P2306" s="16"/>
      <c r="Q2306" s="17"/>
    </row>
    <row r="2307" customFormat="false" ht="15" hidden="false" customHeight="false" outlineLevel="0" collapsed="false">
      <c r="A2307" s="15" t="str">
        <f aca="false">IF(B2307="","",ROW()-1)</f>
        <v/>
      </c>
      <c r="B2307" s="16"/>
      <c r="C2307" s="16"/>
      <c r="D2307" s="16"/>
      <c r="E2307" s="16"/>
      <c r="F2307" s="17"/>
      <c r="G2307" s="16"/>
      <c r="H2307" s="16"/>
      <c r="I2307" s="16"/>
      <c r="J2307" s="16"/>
      <c r="K2307" s="16"/>
      <c r="L2307" s="16"/>
      <c r="M2307" s="18" t="str">
        <f aca="false">IF(OR(C2307="",D2307=""),"",IF(MOD(COUNTIFS($C$2:C2307,C2307,$D$2:D2307,D2307)*7,10)&lt;3,"teste","treino"))</f>
        <v/>
      </c>
      <c r="N2307" s="16"/>
      <c r="O2307" s="16"/>
      <c r="P2307" s="16"/>
      <c r="Q2307" s="17"/>
    </row>
    <row r="2308" customFormat="false" ht="15" hidden="false" customHeight="false" outlineLevel="0" collapsed="false">
      <c r="A2308" s="15" t="str">
        <f aca="false">IF(B2308="","",ROW()-1)</f>
        <v/>
      </c>
      <c r="B2308" s="16"/>
      <c r="C2308" s="16"/>
      <c r="D2308" s="16"/>
      <c r="E2308" s="16"/>
      <c r="F2308" s="17"/>
      <c r="G2308" s="16"/>
      <c r="H2308" s="16"/>
      <c r="I2308" s="16"/>
      <c r="J2308" s="16"/>
      <c r="K2308" s="16"/>
      <c r="L2308" s="16"/>
      <c r="M2308" s="18" t="str">
        <f aca="false">IF(OR(C2308="",D2308=""),"",IF(MOD(COUNTIFS($C$2:C2308,C2308,$D$2:D2308,D2308)*7,10)&lt;3,"teste","treino"))</f>
        <v/>
      </c>
      <c r="N2308" s="16"/>
      <c r="O2308" s="16"/>
      <c r="P2308" s="16"/>
      <c r="Q2308" s="17"/>
    </row>
    <row r="2309" customFormat="false" ht="15" hidden="false" customHeight="false" outlineLevel="0" collapsed="false">
      <c r="A2309" s="15" t="str">
        <f aca="false">IF(B2309="","",ROW()-1)</f>
        <v/>
      </c>
      <c r="B2309" s="16"/>
      <c r="C2309" s="16"/>
      <c r="D2309" s="16"/>
      <c r="E2309" s="16"/>
      <c r="F2309" s="17"/>
      <c r="G2309" s="16"/>
      <c r="H2309" s="16"/>
      <c r="I2309" s="16"/>
      <c r="J2309" s="16"/>
      <c r="K2309" s="16"/>
      <c r="L2309" s="16"/>
      <c r="M2309" s="18" t="str">
        <f aca="false">IF(OR(C2309="",D2309=""),"",IF(MOD(COUNTIFS($C$2:C2309,C2309,$D$2:D2309,D2309)*7,10)&lt;3,"teste","treino"))</f>
        <v/>
      </c>
      <c r="N2309" s="16"/>
      <c r="O2309" s="16"/>
      <c r="P2309" s="16"/>
      <c r="Q2309" s="17"/>
    </row>
    <row r="2310" customFormat="false" ht="15" hidden="false" customHeight="false" outlineLevel="0" collapsed="false">
      <c r="A2310" s="15" t="str">
        <f aca="false">IF(B2310="","",ROW()-1)</f>
        <v/>
      </c>
      <c r="B2310" s="16"/>
      <c r="C2310" s="16"/>
      <c r="D2310" s="16"/>
      <c r="E2310" s="16"/>
      <c r="F2310" s="17"/>
      <c r="G2310" s="16"/>
      <c r="H2310" s="16"/>
      <c r="I2310" s="16"/>
      <c r="J2310" s="16"/>
      <c r="K2310" s="16"/>
      <c r="L2310" s="16"/>
      <c r="M2310" s="18" t="str">
        <f aca="false">IF(OR(C2310="",D2310=""),"",IF(MOD(COUNTIFS($C$2:C2310,C2310,$D$2:D2310,D2310)*7,10)&lt;3,"teste","treino"))</f>
        <v/>
      </c>
      <c r="N2310" s="16"/>
      <c r="O2310" s="16"/>
      <c r="P2310" s="16"/>
      <c r="Q2310" s="17"/>
    </row>
    <row r="2311" customFormat="false" ht="15" hidden="false" customHeight="false" outlineLevel="0" collapsed="false">
      <c r="A2311" s="15" t="str">
        <f aca="false">IF(B2311="","",ROW()-1)</f>
        <v/>
      </c>
      <c r="B2311" s="16"/>
      <c r="C2311" s="16"/>
      <c r="D2311" s="16"/>
      <c r="E2311" s="16"/>
      <c r="F2311" s="17"/>
      <c r="G2311" s="16"/>
      <c r="H2311" s="16"/>
      <c r="I2311" s="16"/>
      <c r="J2311" s="16"/>
      <c r="K2311" s="16"/>
      <c r="L2311" s="16"/>
      <c r="M2311" s="18" t="str">
        <f aca="false">IF(OR(C2311="",D2311=""),"",IF(MOD(COUNTIFS($C$2:C2311,C2311,$D$2:D2311,D2311)*7,10)&lt;3,"teste","treino"))</f>
        <v/>
      </c>
      <c r="N2311" s="16"/>
      <c r="O2311" s="16"/>
      <c r="P2311" s="16"/>
      <c r="Q2311" s="17"/>
    </row>
    <row r="2312" customFormat="false" ht="15" hidden="false" customHeight="false" outlineLevel="0" collapsed="false">
      <c r="A2312" s="15" t="str">
        <f aca="false">IF(B2312="","",ROW()-1)</f>
        <v/>
      </c>
      <c r="B2312" s="16"/>
      <c r="C2312" s="16"/>
      <c r="D2312" s="16"/>
      <c r="E2312" s="16"/>
      <c r="F2312" s="17"/>
      <c r="G2312" s="16"/>
      <c r="H2312" s="16"/>
      <c r="I2312" s="16"/>
      <c r="J2312" s="16"/>
      <c r="K2312" s="16"/>
      <c r="L2312" s="16"/>
      <c r="M2312" s="18" t="str">
        <f aca="false">IF(OR(C2312="",D2312=""),"",IF(MOD(COUNTIFS($C$2:C2312,C2312,$D$2:D2312,D2312)*7,10)&lt;3,"teste","treino"))</f>
        <v/>
      </c>
      <c r="N2312" s="16"/>
      <c r="O2312" s="16"/>
      <c r="P2312" s="16"/>
      <c r="Q2312" s="17"/>
    </row>
    <row r="2313" customFormat="false" ht="15" hidden="false" customHeight="false" outlineLevel="0" collapsed="false">
      <c r="A2313" s="15" t="str">
        <f aca="false">IF(B2313="","",ROW()-1)</f>
        <v/>
      </c>
      <c r="B2313" s="16"/>
      <c r="C2313" s="16"/>
      <c r="D2313" s="16"/>
      <c r="E2313" s="16"/>
      <c r="F2313" s="17"/>
      <c r="G2313" s="16"/>
      <c r="H2313" s="16"/>
      <c r="I2313" s="16"/>
      <c r="J2313" s="16"/>
      <c r="K2313" s="16"/>
      <c r="L2313" s="16"/>
      <c r="M2313" s="18" t="str">
        <f aca="false">IF(OR(C2313="",D2313=""),"",IF(MOD(COUNTIFS($C$2:C2313,C2313,$D$2:D2313,D2313)*7,10)&lt;3,"teste","treino"))</f>
        <v/>
      </c>
      <c r="N2313" s="16"/>
      <c r="O2313" s="16"/>
      <c r="P2313" s="16"/>
      <c r="Q2313" s="17"/>
    </row>
    <row r="2314" customFormat="false" ht="15" hidden="false" customHeight="false" outlineLevel="0" collapsed="false">
      <c r="A2314" s="15" t="str">
        <f aca="false">IF(B2314="","",ROW()-1)</f>
        <v/>
      </c>
      <c r="B2314" s="16"/>
      <c r="C2314" s="16"/>
      <c r="D2314" s="16"/>
      <c r="E2314" s="16"/>
      <c r="F2314" s="17"/>
      <c r="G2314" s="16"/>
      <c r="H2314" s="16"/>
      <c r="I2314" s="16"/>
      <c r="J2314" s="16"/>
      <c r="K2314" s="16"/>
      <c r="L2314" s="16"/>
      <c r="M2314" s="18" t="str">
        <f aca="false">IF(OR(C2314="",D2314=""),"",IF(MOD(COUNTIFS($C$2:C2314,C2314,$D$2:D2314,D2314)*7,10)&lt;3,"teste","treino"))</f>
        <v/>
      </c>
      <c r="N2314" s="16"/>
      <c r="O2314" s="16"/>
      <c r="P2314" s="16"/>
      <c r="Q2314" s="17"/>
    </row>
    <row r="2315" customFormat="false" ht="15" hidden="false" customHeight="false" outlineLevel="0" collapsed="false">
      <c r="A2315" s="15" t="str">
        <f aca="false">IF(B2315="","",ROW()-1)</f>
        <v/>
      </c>
      <c r="B2315" s="16"/>
      <c r="C2315" s="16"/>
      <c r="D2315" s="16"/>
      <c r="E2315" s="16"/>
      <c r="F2315" s="17"/>
      <c r="G2315" s="16"/>
      <c r="H2315" s="16"/>
      <c r="I2315" s="16"/>
      <c r="J2315" s="16"/>
      <c r="K2315" s="16"/>
      <c r="L2315" s="16"/>
      <c r="M2315" s="18" t="str">
        <f aca="false">IF(OR(C2315="",D2315=""),"",IF(MOD(COUNTIFS($C$2:C2315,C2315,$D$2:D2315,D2315)*7,10)&lt;3,"teste","treino"))</f>
        <v/>
      </c>
      <c r="N2315" s="16"/>
      <c r="O2315" s="16"/>
      <c r="P2315" s="16"/>
      <c r="Q2315" s="17"/>
    </row>
    <row r="2316" customFormat="false" ht="15" hidden="false" customHeight="false" outlineLevel="0" collapsed="false">
      <c r="A2316" s="15" t="str">
        <f aca="false">IF(B2316="","",ROW()-1)</f>
        <v/>
      </c>
      <c r="B2316" s="16"/>
      <c r="C2316" s="16"/>
      <c r="D2316" s="16"/>
      <c r="E2316" s="16"/>
      <c r="F2316" s="17"/>
      <c r="G2316" s="16"/>
      <c r="H2316" s="16"/>
      <c r="I2316" s="16"/>
      <c r="J2316" s="16"/>
      <c r="K2316" s="16"/>
      <c r="L2316" s="16"/>
      <c r="M2316" s="18" t="str">
        <f aca="false">IF(OR(C2316="",D2316=""),"",IF(MOD(COUNTIFS($C$2:C2316,C2316,$D$2:D2316,D2316)*7,10)&lt;3,"teste","treino"))</f>
        <v/>
      </c>
      <c r="N2316" s="16"/>
      <c r="O2316" s="16"/>
      <c r="P2316" s="16"/>
      <c r="Q2316" s="17"/>
    </row>
    <row r="2317" customFormat="false" ht="15" hidden="false" customHeight="false" outlineLevel="0" collapsed="false">
      <c r="A2317" s="15" t="str">
        <f aca="false">IF(B2317="","",ROW()-1)</f>
        <v/>
      </c>
      <c r="B2317" s="16"/>
      <c r="C2317" s="16"/>
      <c r="D2317" s="16"/>
      <c r="E2317" s="16"/>
      <c r="F2317" s="17"/>
      <c r="G2317" s="16"/>
      <c r="H2317" s="16"/>
      <c r="I2317" s="16"/>
      <c r="J2317" s="16"/>
      <c r="K2317" s="16"/>
      <c r="L2317" s="16"/>
      <c r="M2317" s="18" t="str">
        <f aca="false">IF(OR(C2317="",D2317=""),"",IF(MOD(COUNTIFS($C$2:C2317,C2317,$D$2:D2317,D2317)*7,10)&lt;3,"teste","treino"))</f>
        <v/>
      </c>
      <c r="N2317" s="16"/>
      <c r="O2317" s="16"/>
      <c r="P2317" s="16"/>
      <c r="Q2317" s="17"/>
    </row>
    <row r="2318" customFormat="false" ht="15" hidden="false" customHeight="false" outlineLevel="0" collapsed="false">
      <c r="A2318" s="15" t="str">
        <f aca="false">IF(B2318="","",ROW()-1)</f>
        <v/>
      </c>
      <c r="B2318" s="16"/>
      <c r="C2318" s="16"/>
      <c r="D2318" s="16"/>
      <c r="E2318" s="16"/>
      <c r="F2318" s="17"/>
      <c r="G2318" s="16"/>
      <c r="H2318" s="16"/>
      <c r="I2318" s="16"/>
      <c r="J2318" s="16"/>
      <c r="K2318" s="16"/>
      <c r="L2318" s="16"/>
      <c r="M2318" s="18" t="str">
        <f aca="false">IF(OR(C2318="",D2318=""),"",IF(MOD(COUNTIFS($C$2:C2318,C2318,$D$2:D2318,D2318)*7,10)&lt;3,"teste","treino"))</f>
        <v/>
      </c>
      <c r="N2318" s="16"/>
      <c r="O2318" s="16"/>
      <c r="P2318" s="16"/>
      <c r="Q2318" s="17"/>
    </row>
    <row r="2319" customFormat="false" ht="15" hidden="false" customHeight="false" outlineLevel="0" collapsed="false">
      <c r="A2319" s="15" t="str">
        <f aca="false">IF(B2319="","",ROW()-1)</f>
        <v/>
      </c>
      <c r="B2319" s="16"/>
      <c r="C2319" s="16"/>
      <c r="D2319" s="16"/>
      <c r="E2319" s="16"/>
      <c r="F2319" s="17"/>
      <c r="G2319" s="16"/>
      <c r="H2319" s="16"/>
      <c r="I2319" s="16"/>
      <c r="J2319" s="16"/>
      <c r="K2319" s="16"/>
      <c r="L2319" s="16"/>
      <c r="M2319" s="18" t="str">
        <f aca="false">IF(OR(C2319="",D2319=""),"",IF(MOD(COUNTIFS($C$2:C2319,C2319,$D$2:D2319,D2319)*7,10)&lt;3,"teste","treino"))</f>
        <v/>
      </c>
      <c r="N2319" s="16"/>
      <c r="O2319" s="16"/>
      <c r="P2319" s="16"/>
      <c r="Q2319" s="17"/>
    </row>
    <row r="2320" customFormat="false" ht="15" hidden="false" customHeight="false" outlineLevel="0" collapsed="false">
      <c r="A2320" s="15" t="str">
        <f aca="false">IF(B2320="","",ROW()-1)</f>
        <v/>
      </c>
      <c r="B2320" s="16"/>
      <c r="C2320" s="16"/>
      <c r="D2320" s="16"/>
      <c r="E2320" s="16"/>
      <c r="F2320" s="17"/>
      <c r="G2320" s="16"/>
      <c r="H2320" s="16"/>
      <c r="I2320" s="16"/>
      <c r="J2320" s="16"/>
      <c r="K2320" s="16"/>
      <c r="L2320" s="16"/>
      <c r="M2320" s="18" t="str">
        <f aca="false">IF(OR(C2320="",D2320=""),"",IF(MOD(COUNTIFS($C$2:C2320,C2320,$D$2:D2320,D2320)*7,10)&lt;3,"teste","treino"))</f>
        <v/>
      </c>
      <c r="N2320" s="16"/>
      <c r="O2320" s="16"/>
      <c r="P2320" s="16"/>
      <c r="Q2320" s="17"/>
    </row>
    <row r="2321" customFormat="false" ht="15" hidden="false" customHeight="false" outlineLevel="0" collapsed="false">
      <c r="A2321" s="15" t="str">
        <f aca="false">IF(B2321="","",ROW()-1)</f>
        <v/>
      </c>
      <c r="B2321" s="16"/>
      <c r="C2321" s="16"/>
      <c r="D2321" s="16"/>
      <c r="E2321" s="16"/>
      <c r="F2321" s="17"/>
      <c r="G2321" s="16"/>
      <c r="H2321" s="16"/>
      <c r="I2321" s="16"/>
      <c r="J2321" s="16"/>
      <c r="K2321" s="16"/>
      <c r="L2321" s="16"/>
      <c r="M2321" s="18" t="str">
        <f aca="false">IF(OR(C2321="",D2321=""),"",IF(MOD(COUNTIFS($C$2:C2321,C2321,$D$2:D2321,D2321)*7,10)&lt;3,"teste","treino"))</f>
        <v/>
      </c>
      <c r="N2321" s="16"/>
      <c r="O2321" s="16"/>
      <c r="P2321" s="16"/>
      <c r="Q2321" s="17"/>
    </row>
    <row r="2322" customFormat="false" ht="15" hidden="false" customHeight="false" outlineLevel="0" collapsed="false">
      <c r="A2322" s="15" t="str">
        <f aca="false">IF(B2322="","",ROW()-1)</f>
        <v/>
      </c>
      <c r="B2322" s="16"/>
      <c r="C2322" s="16"/>
      <c r="D2322" s="16"/>
      <c r="E2322" s="16"/>
      <c r="F2322" s="17"/>
      <c r="G2322" s="16"/>
      <c r="H2322" s="16"/>
      <c r="I2322" s="16"/>
      <c r="J2322" s="16"/>
      <c r="K2322" s="16"/>
      <c r="L2322" s="16"/>
      <c r="M2322" s="18" t="str">
        <f aca="false">IF(OR(C2322="",D2322=""),"",IF(MOD(COUNTIFS($C$2:C2322,C2322,$D$2:D2322,D2322)*7,10)&lt;3,"teste","treino"))</f>
        <v/>
      </c>
      <c r="N2322" s="16"/>
      <c r="O2322" s="16"/>
      <c r="P2322" s="16"/>
      <c r="Q2322" s="17"/>
    </row>
    <row r="2323" customFormat="false" ht="15" hidden="false" customHeight="false" outlineLevel="0" collapsed="false">
      <c r="A2323" s="15" t="str">
        <f aca="false">IF(B2323="","",ROW()-1)</f>
        <v/>
      </c>
      <c r="B2323" s="16"/>
      <c r="C2323" s="16"/>
      <c r="D2323" s="16"/>
      <c r="E2323" s="16"/>
      <c r="F2323" s="17"/>
      <c r="G2323" s="16"/>
      <c r="H2323" s="16"/>
      <c r="I2323" s="16"/>
      <c r="J2323" s="16"/>
      <c r="K2323" s="16"/>
      <c r="L2323" s="16"/>
      <c r="M2323" s="18" t="str">
        <f aca="false">IF(OR(C2323="",D2323=""),"",IF(MOD(COUNTIFS($C$2:C2323,C2323,$D$2:D2323,D2323)*7,10)&lt;3,"teste","treino"))</f>
        <v/>
      </c>
      <c r="N2323" s="16"/>
      <c r="O2323" s="16"/>
      <c r="P2323" s="16"/>
      <c r="Q2323" s="17"/>
    </row>
    <row r="2324" customFormat="false" ht="15" hidden="false" customHeight="false" outlineLevel="0" collapsed="false">
      <c r="A2324" s="15" t="str">
        <f aca="false">IF(B2324="","",ROW()-1)</f>
        <v/>
      </c>
      <c r="B2324" s="16"/>
      <c r="C2324" s="16"/>
      <c r="D2324" s="16"/>
      <c r="E2324" s="16"/>
      <c r="F2324" s="17"/>
      <c r="G2324" s="16"/>
      <c r="H2324" s="16"/>
      <c r="I2324" s="16"/>
      <c r="J2324" s="16"/>
      <c r="K2324" s="16"/>
      <c r="L2324" s="16"/>
      <c r="M2324" s="18" t="str">
        <f aca="false">IF(OR(C2324="",D2324=""),"",IF(MOD(COUNTIFS($C$2:C2324,C2324,$D$2:D2324,D2324)*7,10)&lt;3,"teste","treino"))</f>
        <v/>
      </c>
      <c r="N2324" s="16"/>
      <c r="O2324" s="16"/>
      <c r="P2324" s="16"/>
      <c r="Q2324" s="17"/>
    </row>
    <row r="2325" customFormat="false" ht="15" hidden="false" customHeight="false" outlineLevel="0" collapsed="false">
      <c r="A2325" s="15" t="str">
        <f aca="false">IF(B2325="","",ROW()-1)</f>
        <v/>
      </c>
      <c r="B2325" s="16"/>
      <c r="C2325" s="16"/>
      <c r="D2325" s="16"/>
      <c r="E2325" s="16"/>
      <c r="F2325" s="17"/>
      <c r="G2325" s="16"/>
      <c r="H2325" s="16"/>
      <c r="I2325" s="16"/>
      <c r="J2325" s="16"/>
      <c r="K2325" s="16"/>
      <c r="L2325" s="16"/>
      <c r="M2325" s="18" t="str">
        <f aca="false">IF(OR(C2325="",D2325=""),"",IF(MOD(COUNTIFS($C$2:C2325,C2325,$D$2:D2325,D2325)*7,10)&lt;3,"teste","treino"))</f>
        <v/>
      </c>
      <c r="N2325" s="16"/>
      <c r="O2325" s="16"/>
      <c r="P2325" s="16"/>
      <c r="Q2325" s="17"/>
    </row>
    <row r="2326" customFormat="false" ht="15" hidden="false" customHeight="false" outlineLevel="0" collapsed="false">
      <c r="A2326" s="15" t="str">
        <f aca="false">IF(B2326="","",ROW()-1)</f>
        <v/>
      </c>
      <c r="B2326" s="16"/>
      <c r="C2326" s="16"/>
      <c r="D2326" s="16"/>
      <c r="E2326" s="16"/>
      <c r="F2326" s="17"/>
      <c r="G2326" s="16"/>
      <c r="H2326" s="16"/>
      <c r="I2326" s="16"/>
      <c r="J2326" s="16"/>
      <c r="K2326" s="16"/>
      <c r="L2326" s="16"/>
      <c r="M2326" s="18" t="str">
        <f aca="false">IF(OR(C2326="",D2326=""),"",IF(MOD(COUNTIFS($C$2:C2326,C2326,$D$2:D2326,D2326)*7,10)&lt;3,"teste","treino"))</f>
        <v/>
      </c>
      <c r="N2326" s="16"/>
      <c r="O2326" s="16"/>
      <c r="P2326" s="16"/>
      <c r="Q2326" s="17"/>
    </row>
    <row r="2327" customFormat="false" ht="15" hidden="false" customHeight="false" outlineLevel="0" collapsed="false">
      <c r="A2327" s="15" t="str">
        <f aca="false">IF(B2327="","",ROW()-1)</f>
        <v/>
      </c>
      <c r="B2327" s="16"/>
      <c r="C2327" s="16"/>
      <c r="D2327" s="16"/>
      <c r="E2327" s="16"/>
      <c r="F2327" s="17"/>
      <c r="G2327" s="16"/>
      <c r="H2327" s="16"/>
      <c r="I2327" s="16"/>
      <c r="J2327" s="16"/>
      <c r="K2327" s="16"/>
      <c r="L2327" s="16"/>
      <c r="M2327" s="18" t="str">
        <f aca="false">IF(OR(C2327="",D2327=""),"",IF(MOD(COUNTIFS($C$2:C2327,C2327,$D$2:D2327,D2327)*7,10)&lt;3,"teste","treino"))</f>
        <v/>
      </c>
      <c r="N2327" s="16"/>
      <c r="O2327" s="16"/>
      <c r="P2327" s="16"/>
      <c r="Q2327" s="17"/>
    </row>
    <row r="2328" customFormat="false" ht="15" hidden="false" customHeight="false" outlineLevel="0" collapsed="false">
      <c r="A2328" s="15" t="str">
        <f aca="false">IF(B2328="","",ROW()-1)</f>
        <v/>
      </c>
      <c r="B2328" s="16"/>
      <c r="C2328" s="16"/>
      <c r="D2328" s="16"/>
      <c r="E2328" s="16"/>
      <c r="F2328" s="17"/>
      <c r="G2328" s="16"/>
      <c r="H2328" s="16"/>
      <c r="I2328" s="16"/>
      <c r="J2328" s="16"/>
      <c r="K2328" s="16"/>
      <c r="L2328" s="16"/>
      <c r="M2328" s="18" t="str">
        <f aca="false">IF(OR(C2328="",D2328=""),"",IF(MOD(COUNTIFS($C$2:C2328,C2328,$D$2:D2328,D2328)*7,10)&lt;3,"teste","treino"))</f>
        <v/>
      </c>
      <c r="N2328" s="16"/>
      <c r="O2328" s="16"/>
      <c r="P2328" s="16"/>
      <c r="Q2328" s="17"/>
    </row>
    <row r="2329" customFormat="false" ht="15" hidden="false" customHeight="false" outlineLevel="0" collapsed="false">
      <c r="A2329" s="15" t="str">
        <f aca="false">IF(B2329="","",ROW()-1)</f>
        <v/>
      </c>
      <c r="B2329" s="16"/>
      <c r="C2329" s="16"/>
      <c r="D2329" s="16"/>
      <c r="E2329" s="16"/>
      <c r="F2329" s="17"/>
      <c r="G2329" s="16"/>
      <c r="H2329" s="16"/>
      <c r="I2329" s="16"/>
      <c r="J2329" s="16"/>
      <c r="K2329" s="16"/>
      <c r="L2329" s="16"/>
      <c r="M2329" s="18" t="str">
        <f aca="false">IF(OR(C2329="",D2329=""),"",IF(MOD(COUNTIFS($C$2:C2329,C2329,$D$2:D2329,D2329)*7,10)&lt;3,"teste","treino"))</f>
        <v/>
      </c>
      <c r="N2329" s="16"/>
      <c r="O2329" s="16"/>
      <c r="P2329" s="16"/>
      <c r="Q2329" s="17"/>
    </row>
    <row r="2330" customFormat="false" ht="15" hidden="false" customHeight="false" outlineLevel="0" collapsed="false">
      <c r="A2330" s="15" t="str">
        <f aca="false">IF(B2330="","",ROW()-1)</f>
        <v/>
      </c>
      <c r="B2330" s="16"/>
      <c r="C2330" s="16"/>
      <c r="D2330" s="16"/>
      <c r="E2330" s="16"/>
      <c r="F2330" s="17"/>
      <c r="G2330" s="16"/>
      <c r="H2330" s="16"/>
      <c r="I2330" s="16"/>
      <c r="J2330" s="16"/>
      <c r="K2330" s="16"/>
      <c r="L2330" s="16"/>
      <c r="M2330" s="18" t="str">
        <f aca="false">IF(OR(C2330="",D2330=""),"",IF(MOD(COUNTIFS($C$2:C2330,C2330,$D$2:D2330,D2330)*7,10)&lt;3,"teste","treino"))</f>
        <v/>
      </c>
      <c r="N2330" s="16"/>
      <c r="O2330" s="16"/>
      <c r="P2330" s="16"/>
      <c r="Q2330" s="17"/>
    </row>
    <row r="2331" customFormat="false" ht="15" hidden="false" customHeight="false" outlineLevel="0" collapsed="false">
      <c r="A2331" s="15" t="str">
        <f aca="false">IF(B2331="","",ROW()-1)</f>
        <v/>
      </c>
      <c r="B2331" s="16"/>
      <c r="C2331" s="16"/>
      <c r="D2331" s="16"/>
      <c r="E2331" s="16"/>
      <c r="F2331" s="17"/>
      <c r="G2331" s="16"/>
      <c r="H2331" s="16"/>
      <c r="I2331" s="16"/>
      <c r="J2331" s="16"/>
      <c r="K2331" s="16"/>
      <c r="L2331" s="16"/>
      <c r="M2331" s="18" t="str">
        <f aca="false">IF(OR(C2331="",D2331=""),"",IF(MOD(COUNTIFS($C$2:C2331,C2331,$D$2:D2331,D2331)*7,10)&lt;3,"teste","treino"))</f>
        <v/>
      </c>
      <c r="N2331" s="16"/>
      <c r="O2331" s="16"/>
      <c r="P2331" s="16"/>
      <c r="Q2331" s="17"/>
    </row>
    <row r="2332" customFormat="false" ht="15" hidden="false" customHeight="false" outlineLevel="0" collapsed="false">
      <c r="A2332" s="15" t="str">
        <f aca="false">IF(B2332="","",ROW()-1)</f>
        <v/>
      </c>
      <c r="B2332" s="16"/>
      <c r="C2332" s="16"/>
      <c r="D2332" s="16"/>
      <c r="E2332" s="16"/>
      <c r="F2332" s="17"/>
      <c r="G2332" s="16"/>
      <c r="H2332" s="16"/>
      <c r="I2332" s="16"/>
      <c r="J2332" s="16"/>
      <c r="K2332" s="16"/>
      <c r="L2332" s="16"/>
      <c r="M2332" s="18" t="str">
        <f aca="false">IF(OR(C2332="",D2332=""),"",IF(MOD(COUNTIFS($C$2:C2332,C2332,$D$2:D2332,D2332)*7,10)&lt;3,"teste","treino"))</f>
        <v/>
      </c>
      <c r="N2332" s="16"/>
      <c r="O2332" s="16"/>
      <c r="P2332" s="16"/>
      <c r="Q2332" s="17"/>
    </row>
    <row r="2333" customFormat="false" ht="15" hidden="false" customHeight="false" outlineLevel="0" collapsed="false">
      <c r="A2333" s="15" t="str">
        <f aca="false">IF(B2333="","",ROW()-1)</f>
        <v/>
      </c>
      <c r="B2333" s="16"/>
      <c r="C2333" s="16"/>
      <c r="D2333" s="16"/>
      <c r="E2333" s="16"/>
      <c r="F2333" s="17"/>
      <c r="G2333" s="16"/>
      <c r="H2333" s="16"/>
      <c r="I2333" s="16"/>
      <c r="J2333" s="16"/>
      <c r="K2333" s="16"/>
      <c r="L2333" s="16"/>
      <c r="M2333" s="18" t="str">
        <f aca="false">IF(OR(C2333="",D2333=""),"",IF(MOD(COUNTIFS($C$2:C2333,C2333,$D$2:D2333,D2333)*7,10)&lt;3,"teste","treino"))</f>
        <v/>
      </c>
      <c r="N2333" s="16"/>
      <c r="O2333" s="16"/>
      <c r="P2333" s="16"/>
      <c r="Q2333" s="17"/>
    </row>
    <row r="2334" customFormat="false" ht="15" hidden="false" customHeight="false" outlineLevel="0" collapsed="false">
      <c r="A2334" s="15" t="str">
        <f aca="false">IF(B2334="","",ROW()-1)</f>
        <v/>
      </c>
      <c r="B2334" s="16"/>
      <c r="C2334" s="16"/>
      <c r="D2334" s="16"/>
      <c r="E2334" s="16"/>
      <c r="F2334" s="17"/>
      <c r="G2334" s="16"/>
      <c r="H2334" s="16"/>
      <c r="I2334" s="16"/>
      <c r="J2334" s="16"/>
      <c r="K2334" s="16"/>
      <c r="L2334" s="16"/>
      <c r="M2334" s="18" t="str">
        <f aca="false">IF(OR(C2334="",D2334=""),"",IF(MOD(COUNTIFS($C$2:C2334,C2334,$D$2:D2334,D2334)*7,10)&lt;3,"teste","treino"))</f>
        <v/>
      </c>
      <c r="N2334" s="16"/>
      <c r="O2334" s="16"/>
      <c r="P2334" s="16"/>
      <c r="Q2334" s="17"/>
    </row>
    <row r="2335" customFormat="false" ht="15" hidden="false" customHeight="false" outlineLevel="0" collapsed="false">
      <c r="A2335" s="15" t="str">
        <f aca="false">IF(B2335="","",ROW()-1)</f>
        <v/>
      </c>
      <c r="B2335" s="16"/>
      <c r="C2335" s="16"/>
      <c r="D2335" s="16"/>
      <c r="E2335" s="16"/>
      <c r="F2335" s="17"/>
      <c r="G2335" s="16"/>
      <c r="H2335" s="16"/>
      <c r="I2335" s="16"/>
      <c r="J2335" s="16"/>
      <c r="K2335" s="16"/>
      <c r="L2335" s="16"/>
      <c r="M2335" s="18" t="str">
        <f aca="false">IF(OR(C2335="",D2335=""),"",IF(MOD(COUNTIFS($C$2:C2335,C2335,$D$2:D2335,D2335)*7,10)&lt;3,"teste","treino"))</f>
        <v/>
      </c>
      <c r="N2335" s="16"/>
      <c r="O2335" s="16"/>
      <c r="P2335" s="16"/>
      <c r="Q2335" s="17"/>
    </row>
    <row r="2336" customFormat="false" ht="15" hidden="false" customHeight="false" outlineLevel="0" collapsed="false">
      <c r="A2336" s="15" t="str">
        <f aca="false">IF(B2336="","",ROW()-1)</f>
        <v/>
      </c>
      <c r="B2336" s="16"/>
      <c r="C2336" s="16"/>
      <c r="D2336" s="16"/>
      <c r="E2336" s="16"/>
      <c r="F2336" s="17"/>
      <c r="G2336" s="16"/>
      <c r="H2336" s="16"/>
      <c r="I2336" s="16"/>
      <c r="J2336" s="16"/>
      <c r="K2336" s="16"/>
      <c r="L2336" s="16"/>
      <c r="M2336" s="18" t="str">
        <f aca="false">IF(OR(C2336="",D2336=""),"",IF(MOD(COUNTIFS($C$2:C2336,C2336,$D$2:D2336,D2336)*7,10)&lt;3,"teste","treino"))</f>
        <v/>
      </c>
      <c r="N2336" s="16"/>
      <c r="O2336" s="16"/>
      <c r="P2336" s="16"/>
      <c r="Q2336" s="17"/>
    </row>
    <row r="2337" customFormat="false" ht="15" hidden="false" customHeight="false" outlineLevel="0" collapsed="false">
      <c r="A2337" s="15" t="str">
        <f aca="false">IF(B2337="","",ROW()-1)</f>
        <v/>
      </c>
      <c r="B2337" s="16"/>
      <c r="C2337" s="16"/>
      <c r="D2337" s="16"/>
      <c r="E2337" s="16"/>
      <c r="F2337" s="17"/>
      <c r="G2337" s="16"/>
      <c r="H2337" s="16"/>
      <c r="I2337" s="16"/>
      <c r="J2337" s="16"/>
      <c r="K2337" s="16"/>
      <c r="L2337" s="16"/>
      <c r="M2337" s="18" t="str">
        <f aca="false">IF(OR(C2337="",D2337=""),"",IF(MOD(COUNTIFS($C$2:C2337,C2337,$D$2:D2337,D2337)*7,10)&lt;3,"teste","treino"))</f>
        <v/>
      </c>
      <c r="N2337" s="16"/>
      <c r="O2337" s="16"/>
      <c r="P2337" s="16"/>
      <c r="Q2337" s="17"/>
    </row>
    <row r="2338" customFormat="false" ht="15" hidden="false" customHeight="false" outlineLevel="0" collapsed="false">
      <c r="A2338" s="15" t="str">
        <f aca="false">IF(B2338="","",ROW()-1)</f>
        <v/>
      </c>
      <c r="B2338" s="16"/>
      <c r="C2338" s="16"/>
      <c r="D2338" s="16"/>
      <c r="E2338" s="16"/>
      <c r="F2338" s="17"/>
      <c r="G2338" s="16"/>
      <c r="H2338" s="16"/>
      <c r="I2338" s="16"/>
      <c r="J2338" s="16"/>
      <c r="K2338" s="16"/>
      <c r="L2338" s="16"/>
      <c r="M2338" s="18" t="str">
        <f aca="false">IF(OR(C2338="",D2338=""),"",IF(MOD(COUNTIFS($C$2:C2338,C2338,$D$2:D2338,D2338)*7,10)&lt;3,"teste","treino"))</f>
        <v/>
      </c>
      <c r="N2338" s="16"/>
      <c r="O2338" s="16"/>
      <c r="P2338" s="16"/>
      <c r="Q2338" s="17"/>
    </row>
    <row r="2339" customFormat="false" ht="15" hidden="false" customHeight="false" outlineLevel="0" collapsed="false">
      <c r="A2339" s="15" t="str">
        <f aca="false">IF(B2339="","",ROW()-1)</f>
        <v/>
      </c>
      <c r="B2339" s="16"/>
      <c r="C2339" s="16"/>
      <c r="D2339" s="16"/>
      <c r="E2339" s="16"/>
      <c r="F2339" s="17"/>
      <c r="G2339" s="16"/>
      <c r="H2339" s="16"/>
      <c r="I2339" s="16"/>
      <c r="J2339" s="16"/>
      <c r="K2339" s="16"/>
      <c r="L2339" s="16"/>
      <c r="M2339" s="18" t="str">
        <f aca="false">IF(OR(C2339="",D2339=""),"",IF(MOD(COUNTIFS($C$2:C2339,C2339,$D$2:D2339,D2339)*7,10)&lt;3,"teste","treino"))</f>
        <v/>
      </c>
      <c r="N2339" s="16"/>
      <c r="O2339" s="16"/>
      <c r="P2339" s="16"/>
      <c r="Q2339" s="17"/>
    </row>
    <row r="2340" customFormat="false" ht="15" hidden="false" customHeight="false" outlineLevel="0" collapsed="false">
      <c r="A2340" s="15" t="str">
        <f aca="false">IF(B2340="","",ROW()-1)</f>
        <v/>
      </c>
      <c r="B2340" s="16"/>
      <c r="C2340" s="16"/>
      <c r="D2340" s="16"/>
      <c r="E2340" s="16"/>
      <c r="F2340" s="17"/>
      <c r="G2340" s="16"/>
      <c r="H2340" s="16"/>
      <c r="I2340" s="16"/>
      <c r="J2340" s="16"/>
      <c r="K2340" s="16"/>
      <c r="L2340" s="16"/>
      <c r="M2340" s="18" t="str">
        <f aca="false">IF(OR(C2340="",D2340=""),"",IF(MOD(COUNTIFS($C$2:C2340,C2340,$D$2:D2340,D2340)*7,10)&lt;3,"teste","treino"))</f>
        <v/>
      </c>
      <c r="N2340" s="16"/>
      <c r="O2340" s="16"/>
      <c r="P2340" s="16"/>
      <c r="Q2340" s="17"/>
    </row>
    <row r="2341" customFormat="false" ht="15" hidden="false" customHeight="false" outlineLevel="0" collapsed="false">
      <c r="A2341" s="15" t="str">
        <f aca="false">IF(B2341="","",ROW()-1)</f>
        <v/>
      </c>
      <c r="B2341" s="16"/>
      <c r="C2341" s="16"/>
      <c r="D2341" s="16"/>
      <c r="E2341" s="16"/>
      <c r="F2341" s="17"/>
      <c r="G2341" s="16"/>
      <c r="H2341" s="16"/>
      <c r="I2341" s="16"/>
      <c r="J2341" s="16"/>
      <c r="K2341" s="16"/>
      <c r="L2341" s="16"/>
      <c r="M2341" s="18" t="str">
        <f aca="false">IF(OR(C2341="",D2341=""),"",IF(MOD(COUNTIFS($C$2:C2341,C2341,$D$2:D2341,D2341)*7,10)&lt;3,"teste","treino"))</f>
        <v/>
      </c>
      <c r="N2341" s="16"/>
      <c r="O2341" s="16"/>
      <c r="P2341" s="16"/>
      <c r="Q2341" s="17"/>
    </row>
    <row r="2342" customFormat="false" ht="15" hidden="false" customHeight="false" outlineLevel="0" collapsed="false">
      <c r="A2342" s="15" t="str">
        <f aca="false">IF(B2342="","",ROW()-1)</f>
        <v/>
      </c>
      <c r="B2342" s="16"/>
      <c r="C2342" s="16"/>
      <c r="D2342" s="16"/>
      <c r="E2342" s="16"/>
      <c r="F2342" s="17"/>
      <c r="G2342" s="16"/>
      <c r="H2342" s="16"/>
      <c r="I2342" s="16"/>
      <c r="J2342" s="16"/>
      <c r="K2342" s="16"/>
      <c r="L2342" s="16"/>
      <c r="M2342" s="18" t="str">
        <f aca="false">IF(OR(C2342="",D2342=""),"",IF(MOD(COUNTIFS($C$2:C2342,C2342,$D$2:D2342,D2342)*7,10)&lt;3,"teste","treino"))</f>
        <v/>
      </c>
      <c r="N2342" s="16"/>
      <c r="O2342" s="16"/>
      <c r="P2342" s="16"/>
      <c r="Q2342" s="17"/>
    </row>
    <row r="2343" customFormat="false" ht="15" hidden="false" customHeight="false" outlineLevel="0" collapsed="false">
      <c r="A2343" s="15" t="str">
        <f aca="false">IF(B2343="","",ROW()-1)</f>
        <v/>
      </c>
      <c r="B2343" s="16"/>
      <c r="C2343" s="16"/>
      <c r="D2343" s="16"/>
      <c r="E2343" s="16"/>
      <c r="F2343" s="17"/>
      <c r="G2343" s="16"/>
      <c r="H2343" s="16"/>
      <c r="I2343" s="16"/>
      <c r="J2343" s="16"/>
      <c r="K2343" s="16"/>
      <c r="L2343" s="16"/>
      <c r="M2343" s="18" t="str">
        <f aca="false">IF(OR(C2343="",D2343=""),"",IF(MOD(COUNTIFS($C$2:C2343,C2343,$D$2:D2343,D2343)*7,10)&lt;3,"teste","treino"))</f>
        <v/>
      </c>
      <c r="N2343" s="16"/>
      <c r="O2343" s="16"/>
      <c r="P2343" s="16"/>
      <c r="Q2343" s="17"/>
    </row>
    <row r="2344" customFormat="false" ht="15" hidden="false" customHeight="false" outlineLevel="0" collapsed="false">
      <c r="A2344" s="15" t="str">
        <f aca="false">IF(B2344="","",ROW()-1)</f>
        <v/>
      </c>
      <c r="B2344" s="16"/>
      <c r="C2344" s="16"/>
      <c r="D2344" s="16"/>
      <c r="E2344" s="16"/>
      <c r="F2344" s="17"/>
      <c r="G2344" s="16"/>
      <c r="H2344" s="16"/>
      <c r="I2344" s="16"/>
      <c r="J2344" s="16"/>
      <c r="K2344" s="16"/>
      <c r="L2344" s="16"/>
      <c r="M2344" s="18" t="str">
        <f aca="false">IF(OR(C2344="",D2344=""),"",IF(MOD(COUNTIFS($C$2:C2344,C2344,$D$2:D2344,D2344)*7,10)&lt;3,"teste","treino"))</f>
        <v/>
      </c>
      <c r="N2344" s="16"/>
      <c r="O2344" s="16"/>
      <c r="P2344" s="16"/>
      <c r="Q2344" s="17"/>
    </row>
    <row r="2345" customFormat="false" ht="15" hidden="false" customHeight="false" outlineLevel="0" collapsed="false">
      <c r="A2345" s="15" t="str">
        <f aca="false">IF(B2345="","",ROW()-1)</f>
        <v/>
      </c>
      <c r="B2345" s="16"/>
      <c r="C2345" s="16"/>
      <c r="D2345" s="16"/>
      <c r="E2345" s="16"/>
      <c r="F2345" s="17"/>
      <c r="G2345" s="16"/>
      <c r="H2345" s="16"/>
      <c r="I2345" s="16"/>
      <c r="J2345" s="16"/>
      <c r="K2345" s="16"/>
      <c r="L2345" s="16"/>
      <c r="M2345" s="18" t="str">
        <f aca="false">IF(OR(C2345="",D2345=""),"",IF(MOD(COUNTIFS($C$2:C2345,C2345,$D$2:D2345,D2345)*7,10)&lt;3,"teste","treino"))</f>
        <v/>
      </c>
      <c r="N2345" s="16"/>
      <c r="O2345" s="16"/>
      <c r="P2345" s="16"/>
      <c r="Q2345" s="17"/>
    </row>
    <row r="2346" customFormat="false" ht="15" hidden="false" customHeight="false" outlineLevel="0" collapsed="false">
      <c r="A2346" s="15" t="str">
        <f aca="false">IF(B2346="","",ROW()-1)</f>
        <v/>
      </c>
      <c r="B2346" s="16"/>
      <c r="C2346" s="16"/>
      <c r="D2346" s="16"/>
      <c r="E2346" s="16"/>
      <c r="F2346" s="17"/>
      <c r="G2346" s="16"/>
      <c r="H2346" s="16"/>
      <c r="I2346" s="16"/>
      <c r="J2346" s="16"/>
      <c r="K2346" s="16"/>
      <c r="L2346" s="16"/>
      <c r="M2346" s="18" t="str">
        <f aca="false">IF(OR(C2346="",D2346=""),"",IF(MOD(COUNTIFS($C$2:C2346,C2346,$D$2:D2346,D2346)*7,10)&lt;3,"teste","treino"))</f>
        <v/>
      </c>
      <c r="N2346" s="16"/>
      <c r="O2346" s="16"/>
      <c r="P2346" s="16"/>
      <c r="Q2346" s="17"/>
    </row>
    <row r="2347" customFormat="false" ht="15" hidden="false" customHeight="false" outlineLevel="0" collapsed="false">
      <c r="A2347" s="15" t="str">
        <f aca="false">IF(B2347="","",ROW()-1)</f>
        <v/>
      </c>
      <c r="B2347" s="16"/>
      <c r="C2347" s="16"/>
      <c r="D2347" s="16"/>
      <c r="E2347" s="16"/>
      <c r="F2347" s="17"/>
      <c r="G2347" s="16"/>
      <c r="H2347" s="16"/>
      <c r="I2347" s="16"/>
      <c r="J2347" s="16"/>
      <c r="K2347" s="16"/>
      <c r="L2347" s="16"/>
      <c r="M2347" s="18" t="str">
        <f aca="false">IF(OR(C2347="",D2347=""),"",IF(MOD(COUNTIFS($C$2:C2347,C2347,$D$2:D2347,D2347)*7,10)&lt;3,"teste","treino"))</f>
        <v/>
      </c>
      <c r="N2347" s="16"/>
      <c r="O2347" s="16"/>
      <c r="P2347" s="16"/>
      <c r="Q2347" s="17"/>
    </row>
    <row r="2348" customFormat="false" ht="15" hidden="false" customHeight="false" outlineLevel="0" collapsed="false">
      <c r="A2348" s="15" t="str">
        <f aca="false">IF(B2348="","",ROW()-1)</f>
        <v/>
      </c>
      <c r="B2348" s="16"/>
      <c r="C2348" s="16"/>
      <c r="D2348" s="16"/>
      <c r="E2348" s="16"/>
      <c r="F2348" s="17"/>
      <c r="G2348" s="16"/>
      <c r="H2348" s="16"/>
      <c r="I2348" s="16"/>
      <c r="J2348" s="16"/>
      <c r="K2348" s="16"/>
      <c r="L2348" s="16"/>
      <c r="M2348" s="18" t="str">
        <f aca="false">IF(OR(C2348="",D2348=""),"",IF(MOD(COUNTIFS($C$2:C2348,C2348,$D$2:D2348,D2348)*7,10)&lt;3,"teste","treino"))</f>
        <v/>
      </c>
      <c r="N2348" s="16"/>
      <c r="O2348" s="16"/>
      <c r="P2348" s="16"/>
      <c r="Q2348" s="17"/>
    </row>
    <row r="2349" customFormat="false" ht="15" hidden="false" customHeight="false" outlineLevel="0" collapsed="false">
      <c r="A2349" s="15" t="str">
        <f aca="false">IF(B2349="","",ROW()-1)</f>
        <v/>
      </c>
      <c r="B2349" s="16"/>
      <c r="C2349" s="16"/>
      <c r="D2349" s="16"/>
      <c r="E2349" s="16"/>
      <c r="F2349" s="17"/>
      <c r="G2349" s="16"/>
      <c r="H2349" s="16"/>
      <c r="I2349" s="16"/>
      <c r="J2349" s="16"/>
      <c r="K2349" s="16"/>
      <c r="L2349" s="16"/>
      <c r="M2349" s="18" t="str">
        <f aca="false">IF(OR(C2349="",D2349=""),"",IF(MOD(COUNTIFS($C$2:C2349,C2349,$D$2:D2349,D2349)*7,10)&lt;3,"teste","treino"))</f>
        <v/>
      </c>
      <c r="N2349" s="16"/>
      <c r="O2349" s="16"/>
      <c r="P2349" s="16"/>
      <c r="Q2349" s="17"/>
    </row>
    <row r="2350" customFormat="false" ht="15" hidden="false" customHeight="false" outlineLevel="0" collapsed="false">
      <c r="A2350" s="15" t="str">
        <f aca="false">IF(B2350="","",ROW()-1)</f>
        <v/>
      </c>
      <c r="B2350" s="16"/>
      <c r="C2350" s="16"/>
      <c r="D2350" s="16"/>
      <c r="E2350" s="16"/>
      <c r="F2350" s="17"/>
      <c r="G2350" s="16"/>
      <c r="H2350" s="16"/>
      <c r="I2350" s="16"/>
      <c r="J2350" s="16"/>
      <c r="K2350" s="16"/>
      <c r="L2350" s="16"/>
      <c r="M2350" s="18" t="str">
        <f aca="false">IF(OR(C2350="",D2350=""),"",IF(MOD(COUNTIFS($C$2:C2350,C2350,$D$2:D2350,D2350)*7,10)&lt;3,"teste","treino"))</f>
        <v/>
      </c>
      <c r="N2350" s="16"/>
      <c r="O2350" s="16"/>
      <c r="P2350" s="16"/>
      <c r="Q2350" s="17"/>
    </row>
    <row r="2351" customFormat="false" ht="15" hidden="false" customHeight="false" outlineLevel="0" collapsed="false">
      <c r="A2351" s="15" t="str">
        <f aca="false">IF(B2351="","",ROW()-1)</f>
        <v/>
      </c>
      <c r="B2351" s="16"/>
      <c r="C2351" s="16"/>
      <c r="D2351" s="16"/>
      <c r="E2351" s="16"/>
      <c r="F2351" s="17"/>
      <c r="G2351" s="16"/>
      <c r="H2351" s="16"/>
      <c r="I2351" s="16"/>
      <c r="J2351" s="16"/>
      <c r="K2351" s="16"/>
      <c r="L2351" s="16"/>
      <c r="M2351" s="18" t="str">
        <f aca="false">IF(OR(C2351="",D2351=""),"",IF(MOD(COUNTIFS($C$2:C2351,C2351,$D$2:D2351,D2351)*7,10)&lt;3,"teste","treino"))</f>
        <v/>
      </c>
      <c r="N2351" s="16"/>
      <c r="O2351" s="16"/>
      <c r="P2351" s="16"/>
      <c r="Q2351" s="17"/>
    </row>
    <row r="2352" customFormat="false" ht="15" hidden="false" customHeight="false" outlineLevel="0" collapsed="false">
      <c r="A2352" s="15" t="str">
        <f aca="false">IF(B2352="","",ROW()-1)</f>
        <v/>
      </c>
      <c r="B2352" s="16"/>
      <c r="C2352" s="16"/>
      <c r="D2352" s="16"/>
      <c r="E2352" s="16"/>
      <c r="F2352" s="17"/>
      <c r="G2352" s="16"/>
      <c r="H2352" s="16"/>
      <c r="I2352" s="16"/>
      <c r="J2352" s="16"/>
      <c r="K2352" s="16"/>
      <c r="L2352" s="16"/>
      <c r="M2352" s="18" t="str">
        <f aca="false">IF(OR(C2352="",D2352=""),"",IF(MOD(COUNTIFS($C$2:C2352,C2352,$D$2:D2352,D2352)*7,10)&lt;3,"teste","treino"))</f>
        <v/>
      </c>
      <c r="N2352" s="16"/>
      <c r="O2352" s="16"/>
      <c r="P2352" s="16"/>
      <c r="Q2352" s="17"/>
    </row>
    <row r="2353" customFormat="false" ht="15" hidden="false" customHeight="false" outlineLevel="0" collapsed="false">
      <c r="A2353" s="15" t="str">
        <f aca="false">IF(B2353="","",ROW()-1)</f>
        <v/>
      </c>
      <c r="B2353" s="16"/>
      <c r="C2353" s="16"/>
      <c r="D2353" s="16"/>
      <c r="E2353" s="16"/>
      <c r="F2353" s="17"/>
      <c r="G2353" s="16"/>
      <c r="H2353" s="16"/>
      <c r="I2353" s="16"/>
      <c r="J2353" s="16"/>
      <c r="K2353" s="16"/>
      <c r="L2353" s="16"/>
      <c r="M2353" s="18" t="str">
        <f aca="false">IF(OR(C2353="",D2353=""),"",IF(MOD(COUNTIFS($C$2:C2353,C2353,$D$2:D2353,D2353)*7,10)&lt;3,"teste","treino"))</f>
        <v/>
      </c>
      <c r="N2353" s="16"/>
      <c r="O2353" s="16"/>
      <c r="P2353" s="16"/>
      <c r="Q2353" s="17"/>
    </row>
    <row r="2354" customFormat="false" ht="15" hidden="false" customHeight="false" outlineLevel="0" collapsed="false">
      <c r="A2354" s="15" t="str">
        <f aca="false">IF(B2354="","",ROW()-1)</f>
        <v/>
      </c>
      <c r="B2354" s="16"/>
      <c r="C2354" s="16"/>
      <c r="D2354" s="16"/>
      <c r="E2354" s="16"/>
      <c r="F2354" s="17"/>
      <c r="G2354" s="16"/>
      <c r="H2354" s="16"/>
      <c r="I2354" s="16"/>
      <c r="J2354" s="16"/>
      <c r="K2354" s="16"/>
      <c r="L2354" s="16"/>
      <c r="M2354" s="18" t="str">
        <f aca="false">IF(OR(C2354="",D2354=""),"",IF(MOD(COUNTIFS($C$2:C2354,C2354,$D$2:D2354,D2354)*7,10)&lt;3,"teste","treino"))</f>
        <v/>
      </c>
      <c r="N2354" s="16"/>
      <c r="O2354" s="16"/>
      <c r="P2354" s="16"/>
      <c r="Q2354" s="17"/>
    </row>
    <row r="2355" customFormat="false" ht="15" hidden="false" customHeight="false" outlineLevel="0" collapsed="false">
      <c r="A2355" s="15" t="str">
        <f aca="false">IF(B2355="","",ROW()-1)</f>
        <v/>
      </c>
      <c r="B2355" s="16"/>
      <c r="C2355" s="16"/>
      <c r="D2355" s="16"/>
      <c r="E2355" s="16"/>
      <c r="F2355" s="17"/>
      <c r="G2355" s="16"/>
      <c r="H2355" s="16"/>
      <c r="I2355" s="16"/>
      <c r="J2355" s="16"/>
      <c r="K2355" s="16"/>
      <c r="L2355" s="16"/>
      <c r="M2355" s="18" t="str">
        <f aca="false">IF(OR(C2355="",D2355=""),"",IF(MOD(COUNTIFS($C$2:C2355,C2355,$D$2:D2355,D2355)*7,10)&lt;3,"teste","treino"))</f>
        <v/>
      </c>
      <c r="N2355" s="16"/>
      <c r="O2355" s="16"/>
      <c r="P2355" s="16"/>
      <c r="Q2355" s="17"/>
    </row>
    <row r="2356" customFormat="false" ht="15" hidden="false" customHeight="false" outlineLevel="0" collapsed="false">
      <c r="A2356" s="15" t="str">
        <f aca="false">IF(B2356="","",ROW()-1)</f>
        <v/>
      </c>
      <c r="B2356" s="16"/>
      <c r="C2356" s="16"/>
      <c r="D2356" s="16"/>
      <c r="E2356" s="16"/>
      <c r="F2356" s="17"/>
      <c r="G2356" s="16"/>
      <c r="H2356" s="16"/>
      <c r="I2356" s="16"/>
      <c r="J2356" s="16"/>
      <c r="K2356" s="16"/>
      <c r="L2356" s="16"/>
      <c r="M2356" s="18" t="str">
        <f aca="false">IF(OR(C2356="",D2356=""),"",IF(MOD(COUNTIFS($C$2:C2356,C2356,$D$2:D2356,D2356)*7,10)&lt;3,"teste","treino"))</f>
        <v/>
      </c>
      <c r="N2356" s="16"/>
      <c r="O2356" s="16"/>
      <c r="P2356" s="16"/>
      <c r="Q2356" s="17"/>
    </row>
    <row r="2357" customFormat="false" ht="15" hidden="false" customHeight="false" outlineLevel="0" collapsed="false">
      <c r="A2357" s="15" t="str">
        <f aca="false">IF(B2357="","",ROW()-1)</f>
        <v/>
      </c>
      <c r="B2357" s="16"/>
      <c r="C2357" s="16"/>
      <c r="D2357" s="16"/>
      <c r="E2357" s="16"/>
      <c r="F2357" s="17"/>
      <c r="G2357" s="16"/>
      <c r="H2357" s="16"/>
      <c r="I2357" s="16"/>
      <c r="J2357" s="16"/>
      <c r="K2357" s="16"/>
      <c r="L2357" s="16"/>
      <c r="M2357" s="18" t="str">
        <f aca="false">IF(OR(C2357="",D2357=""),"",IF(MOD(COUNTIFS($C$2:C2357,C2357,$D$2:D2357,D2357)*7,10)&lt;3,"teste","treino"))</f>
        <v/>
      </c>
      <c r="N2357" s="16"/>
      <c r="O2357" s="16"/>
      <c r="P2357" s="16"/>
      <c r="Q2357" s="17"/>
    </row>
    <row r="2358" customFormat="false" ht="15" hidden="false" customHeight="false" outlineLevel="0" collapsed="false">
      <c r="A2358" s="15" t="str">
        <f aca="false">IF(B2358="","",ROW()-1)</f>
        <v/>
      </c>
      <c r="B2358" s="16"/>
      <c r="C2358" s="16"/>
      <c r="D2358" s="16"/>
      <c r="E2358" s="16"/>
      <c r="F2358" s="17"/>
      <c r="G2358" s="16"/>
      <c r="H2358" s="16"/>
      <c r="I2358" s="16"/>
      <c r="J2358" s="16"/>
      <c r="K2358" s="16"/>
      <c r="L2358" s="16"/>
      <c r="M2358" s="18" t="str">
        <f aca="false">IF(OR(C2358="",D2358=""),"",IF(MOD(COUNTIFS($C$2:C2358,C2358,$D$2:D2358,D2358)*7,10)&lt;3,"teste","treino"))</f>
        <v/>
      </c>
      <c r="N2358" s="16"/>
      <c r="O2358" s="16"/>
      <c r="P2358" s="16"/>
      <c r="Q2358" s="17"/>
    </row>
    <row r="2359" customFormat="false" ht="15" hidden="false" customHeight="false" outlineLevel="0" collapsed="false">
      <c r="A2359" s="15" t="str">
        <f aca="false">IF(B2359="","",ROW()-1)</f>
        <v/>
      </c>
      <c r="B2359" s="16"/>
      <c r="C2359" s="16"/>
      <c r="D2359" s="16"/>
      <c r="E2359" s="16"/>
      <c r="F2359" s="17"/>
      <c r="G2359" s="16"/>
      <c r="H2359" s="16"/>
      <c r="I2359" s="16"/>
      <c r="J2359" s="16"/>
      <c r="K2359" s="16"/>
      <c r="L2359" s="16"/>
      <c r="M2359" s="18" t="str">
        <f aca="false">IF(OR(C2359="",D2359=""),"",IF(MOD(COUNTIFS($C$2:C2359,C2359,$D$2:D2359,D2359)*7,10)&lt;3,"teste","treino"))</f>
        <v/>
      </c>
      <c r="N2359" s="16"/>
      <c r="O2359" s="16"/>
      <c r="P2359" s="16"/>
      <c r="Q2359" s="17"/>
    </row>
    <row r="2360" customFormat="false" ht="15" hidden="false" customHeight="false" outlineLevel="0" collapsed="false">
      <c r="A2360" s="15" t="str">
        <f aca="false">IF(B2360="","",ROW()-1)</f>
        <v/>
      </c>
      <c r="B2360" s="16"/>
      <c r="C2360" s="16"/>
      <c r="D2360" s="16"/>
      <c r="E2360" s="16"/>
      <c r="F2360" s="17"/>
      <c r="G2360" s="16"/>
      <c r="H2360" s="16"/>
      <c r="I2360" s="16"/>
      <c r="J2360" s="16"/>
      <c r="K2360" s="16"/>
      <c r="L2360" s="16"/>
      <c r="M2360" s="18" t="str">
        <f aca="false">IF(OR(C2360="",D2360=""),"",IF(MOD(COUNTIFS($C$2:C2360,C2360,$D$2:D2360,D2360)*7,10)&lt;3,"teste","treino"))</f>
        <v/>
      </c>
      <c r="N2360" s="16"/>
      <c r="O2360" s="16"/>
      <c r="P2360" s="16"/>
      <c r="Q2360" s="17"/>
    </row>
    <row r="2361" customFormat="false" ht="15" hidden="false" customHeight="false" outlineLevel="0" collapsed="false">
      <c r="A2361" s="15" t="str">
        <f aca="false">IF(B2361="","",ROW()-1)</f>
        <v/>
      </c>
      <c r="B2361" s="16"/>
      <c r="C2361" s="16"/>
      <c r="D2361" s="16"/>
      <c r="E2361" s="16"/>
      <c r="F2361" s="17"/>
      <c r="G2361" s="16"/>
      <c r="H2361" s="16"/>
      <c r="I2361" s="16"/>
      <c r="J2361" s="16"/>
      <c r="K2361" s="16"/>
      <c r="L2361" s="16"/>
      <c r="M2361" s="18" t="str">
        <f aca="false">IF(OR(C2361="",D2361=""),"",IF(MOD(COUNTIFS($C$2:C2361,C2361,$D$2:D2361,D2361)*7,10)&lt;3,"teste","treino"))</f>
        <v/>
      </c>
      <c r="N2361" s="16"/>
      <c r="O2361" s="16"/>
      <c r="P2361" s="16"/>
      <c r="Q2361" s="17"/>
    </row>
    <row r="2362" customFormat="false" ht="15" hidden="false" customHeight="false" outlineLevel="0" collapsed="false">
      <c r="A2362" s="15" t="str">
        <f aca="false">IF(B2362="","",ROW()-1)</f>
        <v/>
      </c>
      <c r="B2362" s="16"/>
      <c r="C2362" s="16"/>
      <c r="D2362" s="16"/>
      <c r="E2362" s="16"/>
      <c r="F2362" s="17"/>
      <c r="G2362" s="16"/>
      <c r="H2362" s="16"/>
      <c r="I2362" s="16"/>
      <c r="J2362" s="16"/>
      <c r="K2362" s="16"/>
      <c r="L2362" s="16"/>
      <c r="M2362" s="18" t="str">
        <f aca="false">IF(OR(C2362="",D2362=""),"",IF(MOD(COUNTIFS($C$2:C2362,C2362,$D$2:D2362,D2362)*7,10)&lt;3,"teste","treino"))</f>
        <v/>
      </c>
      <c r="N2362" s="16"/>
      <c r="O2362" s="16"/>
      <c r="P2362" s="16"/>
      <c r="Q2362" s="17"/>
    </row>
    <row r="2363" customFormat="false" ht="15" hidden="false" customHeight="false" outlineLevel="0" collapsed="false">
      <c r="A2363" s="15" t="str">
        <f aca="false">IF(B2363="","",ROW()-1)</f>
        <v/>
      </c>
      <c r="B2363" s="16"/>
      <c r="C2363" s="16"/>
      <c r="D2363" s="16"/>
      <c r="E2363" s="16"/>
      <c r="F2363" s="17"/>
      <c r="G2363" s="16"/>
      <c r="H2363" s="16"/>
      <c r="I2363" s="16"/>
      <c r="J2363" s="16"/>
      <c r="K2363" s="16"/>
      <c r="L2363" s="16"/>
      <c r="M2363" s="18" t="str">
        <f aca="false">IF(OR(C2363="",D2363=""),"",IF(MOD(COUNTIFS($C$2:C2363,C2363,$D$2:D2363,D2363)*7,10)&lt;3,"teste","treino"))</f>
        <v/>
      </c>
      <c r="N2363" s="16"/>
      <c r="O2363" s="16"/>
      <c r="P2363" s="16"/>
      <c r="Q2363" s="17"/>
    </row>
    <row r="2364" customFormat="false" ht="15" hidden="false" customHeight="false" outlineLevel="0" collapsed="false">
      <c r="A2364" s="15" t="str">
        <f aca="false">IF(B2364="","",ROW()-1)</f>
        <v/>
      </c>
      <c r="B2364" s="16"/>
      <c r="C2364" s="16"/>
      <c r="D2364" s="16"/>
      <c r="E2364" s="16"/>
      <c r="F2364" s="17"/>
      <c r="G2364" s="16"/>
      <c r="H2364" s="16"/>
      <c r="I2364" s="16"/>
      <c r="J2364" s="16"/>
      <c r="K2364" s="16"/>
      <c r="L2364" s="16"/>
      <c r="M2364" s="18" t="str">
        <f aca="false">IF(OR(C2364="",D2364=""),"",IF(MOD(COUNTIFS($C$2:C2364,C2364,$D$2:D2364,D2364)*7,10)&lt;3,"teste","treino"))</f>
        <v/>
      </c>
      <c r="N2364" s="16"/>
      <c r="O2364" s="16"/>
      <c r="P2364" s="16"/>
      <c r="Q2364" s="17"/>
    </row>
    <row r="2365" customFormat="false" ht="15" hidden="false" customHeight="false" outlineLevel="0" collapsed="false">
      <c r="A2365" s="15" t="str">
        <f aca="false">IF(B2365="","",ROW()-1)</f>
        <v/>
      </c>
      <c r="B2365" s="16"/>
      <c r="C2365" s="16"/>
      <c r="D2365" s="16"/>
      <c r="E2365" s="16"/>
      <c r="F2365" s="17"/>
      <c r="G2365" s="16"/>
      <c r="H2365" s="16"/>
      <c r="I2365" s="16"/>
      <c r="J2365" s="16"/>
      <c r="K2365" s="16"/>
      <c r="L2365" s="16"/>
      <c r="M2365" s="18" t="str">
        <f aca="false">IF(OR(C2365="",D2365=""),"",IF(MOD(COUNTIFS($C$2:C2365,C2365,$D$2:D2365,D2365)*7,10)&lt;3,"teste","treino"))</f>
        <v/>
      </c>
      <c r="N2365" s="16"/>
      <c r="O2365" s="16"/>
      <c r="P2365" s="16"/>
      <c r="Q2365" s="17"/>
    </row>
    <row r="2366" customFormat="false" ht="15" hidden="false" customHeight="false" outlineLevel="0" collapsed="false">
      <c r="A2366" s="15" t="str">
        <f aca="false">IF(B2366="","",ROW()-1)</f>
        <v/>
      </c>
      <c r="B2366" s="16"/>
      <c r="C2366" s="16"/>
      <c r="D2366" s="16"/>
      <c r="E2366" s="16"/>
      <c r="F2366" s="17"/>
      <c r="G2366" s="16"/>
      <c r="H2366" s="16"/>
      <c r="I2366" s="16"/>
      <c r="J2366" s="16"/>
      <c r="K2366" s="16"/>
      <c r="L2366" s="16"/>
      <c r="M2366" s="18" t="str">
        <f aca="false">IF(OR(C2366="",D2366=""),"",IF(MOD(COUNTIFS($C$2:C2366,C2366,$D$2:D2366,D2366)*7,10)&lt;3,"teste","treino"))</f>
        <v/>
      </c>
      <c r="N2366" s="16"/>
      <c r="O2366" s="16"/>
      <c r="P2366" s="16"/>
      <c r="Q2366" s="17"/>
    </row>
    <row r="2367" customFormat="false" ht="15" hidden="false" customHeight="false" outlineLevel="0" collapsed="false">
      <c r="A2367" s="15" t="str">
        <f aca="false">IF(B2367="","",ROW()-1)</f>
        <v/>
      </c>
      <c r="B2367" s="16"/>
      <c r="C2367" s="16"/>
      <c r="D2367" s="16"/>
      <c r="E2367" s="16"/>
      <c r="F2367" s="17"/>
      <c r="G2367" s="16"/>
      <c r="H2367" s="16"/>
      <c r="I2367" s="16"/>
      <c r="J2367" s="16"/>
      <c r="K2367" s="16"/>
      <c r="L2367" s="16"/>
      <c r="M2367" s="18" t="str">
        <f aca="false">IF(OR(C2367="",D2367=""),"",IF(MOD(COUNTIFS($C$2:C2367,C2367,$D$2:D2367,D2367)*7,10)&lt;3,"teste","treino"))</f>
        <v/>
      </c>
      <c r="N2367" s="16"/>
      <c r="O2367" s="16"/>
      <c r="P2367" s="16"/>
      <c r="Q2367" s="17"/>
    </row>
    <row r="2368" customFormat="false" ht="15" hidden="false" customHeight="false" outlineLevel="0" collapsed="false">
      <c r="A2368" s="15" t="str">
        <f aca="false">IF(B2368="","",ROW()-1)</f>
        <v/>
      </c>
      <c r="B2368" s="16"/>
      <c r="C2368" s="16"/>
      <c r="D2368" s="16"/>
      <c r="E2368" s="16"/>
      <c r="F2368" s="17"/>
      <c r="G2368" s="16"/>
      <c r="H2368" s="16"/>
      <c r="I2368" s="16"/>
      <c r="J2368" s="16"/>
      <c r="K2368" s="16"/>
      <c r="L2368" s="16"/>
      <c r="M2368" s="18" t="str">
        <f aca="false">IF(OR(C2368="",D2368=""),"",IF(MOD(COUNTIFS($C$2:C2368,C2368,$D$2:D2368,D2368)*7,10)&lt;3,"teste","treino"))</f>
        <v/>
      </c>
      <c r="N2368" s="16"/>
      <c r="O2368" s="16"/>
      <c r="P2368" s="16"/>
      <c r="Q2368" s="17"/>
    </row>
    <row r="2369" customFormat="false" ht="15" hidden="false" customHeight="false" outlineLevel="0" collapsed="false">
      <c r="A2369" s="15" t="str">
        <f aca="false">IF(B2369="","",ROW()-1)</f>
        <v/>
      </c>
      <c r="B2369" s="16"/>
      <c r="C2369" s="16"/>
      <c r="D2369" s="16"/>
      <c r="E2369" s="16"/>
      <c r="F2369" s="17"/>
      <c r="G2369" s="16"/>
      <c r="H2369" s="16"/>
      <c r="I2369" s="16"/>
      <c r="J2369" s="16"/>
      <c r="K2369" s="16"/>
      <c r="L2369" s="16"/>
      <c r="M2369" s="18" t="str">
        <f aca="false">IF(OR(C2369="",D2369=""),"",IF(MOD(COUNTIFS($C$2:C2369,C2369,$D$2:D2369,D2369)*7,10)&lt;3,"teste","treino"))</f>
        <v/>
      </c>
      <c r="N2369" s="16"/>
      <c r="O2369" s="16"/>
      <c r="P2369" s="16"/>
      <c r="Q2369" s="17"/>
    </row>
    <row r="2370" customFormat="false" ht="15" hidden="false" customHeight="false" outlineLevel="0" collapsed="false">
      <c r="A2370" s="15" t="str">
        <f aca="false">IF(B2370="","",ROW()-1)</f>
        <v/>
      </c>
      <c r="B2370" s="16"/>
      <c r="C2370" s="16"/>
      <c r="D2370" s="16"/>
      <c r="E2370" s="16"/>
      <c r="F2370" s="17"/>
      <c r="G2370" s="16"/>
      <c r="H2370" s="16"/>
      <c r="I2370" s="16"/>
      <c r="J2370" s="16"/>
      <c r="K2370" s="16"/>
      <c r="L2370" s="16"/>
      <c r="M2370" s="18" t="str">
        <f aca="false">IF(OR(C2370="",D2370=""),"",IF(MOD(COUNTIFS($C$2:C2370,C2370,$D$2:D2370,D2370)*7,10)&lt;3,"teste","treino"))</f>
        <v/>
      </c>
      <c r="N2370" s="16"/>
      <c r="O2370" s="16"/>
      <c r="P2370" s="16"/>
      <c r="Q2370" s="17"/>
    </row>
    <row r="2371" customFormat="false" ht="15" hidden="false" customHeight="false" outlineLevel="0" collapsed="false">
      <c r="A2371" s="15" t="str">
        <f aca="false">IF(B2371="","",ROW()-1)</f>
        <v/>
      </c>
      <c r="B2371" s="16"/>
      <c r="C2371" s="16"/>
      <c r="D2371" s="16"/>
      <c r="E2371" s="16"/>
      <c r="F2371" s="17"/>
      <c r="G2371" s="16"/>
      <c r="H2371" s="16"/>
      <c r="I2371" s="16"/>
      <c r="J2371" s="16"/>
      <c r="K2371" s="16"/>
      <c r="L2371" s="16"/>
      <c r="M2371" s="18" t="str">
        <f aca="false">IF(OR(C2371="",D2371=""),"",IF(MOD(COUNTIFS($C$2:C2371,C2371,$D$2:D2371,D2371)*7,10)&lt;3,"teste","treino"))</f>
        <v/>
      </c>
      <c r="N2371" s="16"/>
      <c r="O2371" s="16"/>
      <c r="P2371" s="16"/>
      <c r="Q2371" s="17"/>
    </row>
    <row r="2372" customFormat="false" ht="15" hidden="false" customHeight="false" outlineLevel="0" collapsed="false">
      <c r="A2372" s="15" t="str">
        <f aca="false">IF(B2372="","",ROW()-1)</f>
        <v/>
      </c>
      <c r="B2372" s="16"/>
      <c r="C2372" s="16"/>
      <c r="D2372" s="16"/>
      <c r="E2372" s="16"/>
      <c r="F2372" s="17"/>
      <c r="G2372" s="16"/>
      <c r="H2372" s="16"/>
      <c r="I2372" s="16"/>
      <c r="J2372" s="16"/>
      <c r="K2372" s="16"/>
      <c r="L2372" s="16"/>
      <c r="M2372" s="18" t="str">
        <f aca="false">IF(OR(C2372="",D2372=""),"",IF(MOD(COUNTIFS($C$2:C2372,C2372,$D$2:D2372,D2372)*7,10)&lt;3,"teste","treino"))</f>
        <v/>
      </c>
      <c r="N2372" s="16"/>
      <c r="O2372" s="16"/>
      <c r="P2372" s="16"/>
      <c r="Q2372" s="17"/>
    </row>
    <row r="2373" customFormat="false" ht="15" hidden="false" customHeight="false" outlineLevel="0" collapsed="false">
      <c r="A2373" s="15" t="str">
        <f aca="false">IF(B2373="","",ROW()-1)</f>
        <v/>
      </c>
      <c r="B2373" s="16"/>
      <c r="C2373" s="16"/>
      <c r="D2373" s="16"/>
      <c r="E2373" s="16"/>
      <c r="F2373" s="17"/>
      <c r="G2373" s="16"/>
      <c r="H2373" s="16"/>
      <c r="I2373" s="16"/>
      <c r="J2373" s="16"/>
      <c r="K2373" s="16"/>
      <c r="L2373" s="16"/>
      <c r="M2373" s="18" t="str">
        <f aca="false">IF(OR(C2373="",D2373=""),"",IF(MOD(COUNTIFS($C$2:C2373,C2373,$D$2:D2373,D2373)*7,10)&lt;3,"teste","treino"))</f>
        <v/>
      </c>
      <c r="N2373" s="16"/>
      <c r="O2373" s="16"/>
      <c r="P2373" s="16"/>
      <c r="Q2373" s="17"/>
    </row>
    <row r="2374" customFormat="false" ht="15" hidden="false" customHeight="false" outlineLevel="0" collapsed="false">
      <c r="A2374" s="15" t="str">
        <f aca="false">IF(B2374="","",ROW()-1)</f>
        <v/>
      </c>
      <c r="B2374" s="16"/>
      <c r="C2374" s="16"/>
      <c r="D2374" s="16"/>
      <c r="E2374" s="16"/>
      <c r="F2374" s="17"/>
      <c r="G2374" s="16"/>
      <c r="H2374" s="16"/>
      <c r="I2374" s="16"/>
      <c r="J2374" s="16"/>
      <c r="K2374" s="16"/>
      <c r="L2374" s="16"/>
      <c r="M2374" s="18" t="str">
        <f aca="false">IF(OR(C2374="",D2374=""),"",IF(MOD(COUNTIFS($C$2:C2374,C2374,$D$2:D2374,D2374)*7,10)&lt;3,"teste","treino"))</f>
        <v/>
      </c>
      <c r="N2374" s="16"/>
      <c r="O2374" s="16"/>
      <c r="P2374" s="16"/>
      <c r="Q2374" s="17"/>
    </row>
    <row r="2375" customFormat="false" ht="15" hidden="false" customHeight="false" outlineLevel="0" collapsed="false">
      <c r="A2375" s="15" t="str">
        <f aca="false">IF(B2375="","",ROW()-1)</f>
        <v/>
      </c>
      <c r="B2375" s="16"/>
      <c r="C2375" s="16"/>
      <c r="D2375" s="16"/>
      <c r="E2375" s="16"/>
      <c r="F2375" s="17"/>
      <c r="G2375" s="16"/>
      <c r="H2375" s="16"/>
      <c r="I2375" s="16"/>
      <c r="J2375" s="16"/>
      <c r="K2375" s="16"/>
      <c r="L2375" s="16"/>
      <c r="M2375" s="18" t="str">
        <f aca="false">IF(OR(C2375="",D2375=""),"",IF(MOD(COUNTIFS($C$2:C2375,C2375,$D$2:D2375,D2375)*7,10)&lt;3,"teste","treino"))</f>
        <v/>
      </c>
      <c r="N2375" s="16"/>
      <c r="O2375" s="16"/>
      <c r="P2375" s="16"/>
      <c r="Q2375" s="17"/>
    </row>
    <row r="2376" customFormat="false" ht="15" hidden="false" customHeight="false" outlineLevel="0" collapsed="false">
      <c r="A2376" s="15" t="str">
        <f aca="false">IF(B2376="","",ROW()-1)</f>
        <v/>
      </c>
      <c r="B2376" s="16"/>
      <c r="C2376" s="16"/>
      <c r="D2376" s="16"/>
      <c r="E2376" s="16"/>
      <c r="F2376" s="17"/>
      <c r="G2376" s="16"/>
      <c r="H2376" s="16"/>
      <c r="I2376" s="16"/>
      <c r="J2376" s="16"/>
      <c r="K2376" s="16"/>
      <c r="L2376" s="16"/>
      <c r="M2376" s="18" t="str">
        <f aca="false">IF(OR(C2376="",D2376=""),"",IF(MOD(COUNTIFS($C$2:C2376,C2376,$D$2:D2376,D2376)*7,10)&lt;3,"teste","treino"))</f>
        <v/>
      </c>
      <c r="N2376" s="16"/>
      <c r="O2376" s="16"/>
      <c r="P2376" s="16"/>
      <c r="Q2376" s="17"/>
    </row>
    <row r="2377" customFormat="false" ht="15" hidden="false" customHeight="false" outlineLevel="0" collapsed="false">
      <c r="A2377" s="15" t="str">
        <f aca="false">IF(B2377="","",ROW()-1)</f>
        <v/>
      </c>
      <c r="B2377" s="16"/>
      <c r="C2377" s="16"/>
      <c r="D2377" s="16"/>
      <c r="E2377" s="16"/>
      <c r="F2377" s="17"/>
      <c r="G2377" s="16"/>
      <c r="H2377" s="16"/>
      <c r="I2377" s="16"/>
      <c r="J2377" s="16"/>
      <c r="K2377" s="16"/>
      <c r="L2377" s="16"/>
      <c r="M2377" s="18" t="str">
        <f aca="false">IF(OR(C2377="",D2377=""),"",IF(MOD(COUNTIFS($C$2:C2377,C2377,$D$2:D2377,D2377)*7,10)&lt;3,"teste","treino"))</f>
        <v/>
      </c>
      <c r="N2377" s="16"/>
      <c r="O2377" s="16"/>
      <c r="P2377" s="16"/>
      <c r="Q2377" s="17"/>
    </row>
    <row r="2378" customFormat="false" ht="15" hidden="false" customHeight="false" outlineLevel="0" collapsed="false">
      <c r="A2378" s="15" t="str">
        <f aca="false">IF(B2378="","",ROW()-1)</f>
        <v/>
      </c>
      <c r="B2378" s="16"/>
      <c r="C2378" s="16"/>
      <c r="D2378" s="16"/>
      <c r="E2378" s="16"/>
      <c r="F2378" s="17"/>
      <c r="G2378" s="16"/>
      <c r="H2378" s="16"/>
      <c r="I2378" s="16"/>
      <c r="J2378" s="16"/>
      <c r="K2378" s="16"/>
      <c r="L2378" s="16"/>
      <c r="M2378" s="18" t="str">
        <f aca="false">IF(OR(C2378="",D2378=""),"",IF(MOD(COUNTIFS($C$2:C2378,C2378,$D$2:D2378,D2378)*7,10)&lt;3,"teste","treino"))</f>
        <v/>
      </c>
      <c r="N2378" s="16"/>
      <c r="O2378" s="16"/>
      <c r="P2378" s="16"/>
      <c r="Q2378" s="17"/>
    </row>
    <row r="2379" customFormat="false" ht="15" hidden="false" customHeight="false" outlineLevel="0" collapsed="false">
      <c r="A2379" s="15" t="str">
        <f aca="false">IF(B2379="","",ROW()-1)</f>
        <v/>
      </c>
      <c r="B2379" s="16"/>
      <c r="C2379" s="16"/>
      <c r="D2379" s="16"/>
      <c r="E2379" s="16"/>
      <c r="F2379" s="17"/>
      <c r="G2379" s="16"/>
      <c r="H2379" s="16"/>
      <c r="I2379" s="16"/>
      <c r="J2379" s="16"/>
      <c r="K2379" s="16"/>
      <c r="L2379" s="16"/>
      <c r="M2379" s="18" t="str">
        <f aca="false">IF(OR(C2379="",D2379=""),"",IF(MOD(COUNTIFS($C$2:C2379,C2379,$D$2:D2379,D2379)*7,10)&lt;3,"teste","treino"))</f>
        <v/>
      </c>
      <c r="N2379" s="16"/>
      <c r="O2379" s="16"/>
      <c r="P2379" s="16"/>
      <c r="Q2379" s="17"/>
    </row>
    <row r="2380" customFormat="false" ht="15" hidden="false" customHeight="false" outlineLevel="0" collapsed="false">
      <c r="A2380" s="15" t="str">
        <f aca="false">IF(B2380="","",ROW()-1)</f>
        <v/>
      </c>
      <c r="B2380" s="16"/>
      <c r="C2380" s="16"/>
      <c r="D2380" s="16"/>
      <c r="E2380" s="16"/>
      <c r="F2380" s="17"/>
      <c r="G2380" s="16"/>
      <c r="H2380" s="16"/>
      <c r="I2380" s="16"/>
      <c r="J2380" s="16"/>
      <c r="K2380" s="16"/>
      <c r="L2380" s="16"/>
      <c r="M2380" s="18" t="str">
        <f aca="false">IF(OR(C2380="",D2380=""),"",IF(MOD(COUNTIFS($C$2:C2380,C2380,$D$2:D2380,D2380)*7,10)&lt;3,"teste","treino"))</f>
        <v/>
      </c>
      <c r="N2380" s="16"/>
      <c r="O2380" s="16"/>
      <c r="P2380" s="16"/>
      <c r="Q2380" s="17"/>
    </row>
    <row r="2381" customFormat="false" ht="15" hidden="false" customHeight="false" outlineLevel="0" collapsed="false">
      <c r="A2381" s="15" t="str">
        <f aca="false">IF(B2381="","",ROW()-1)</f>
        <v/>
      </c>
      <c r="B2381" s="16"/>
      <c r="C2381" s="16"/>
      <c r="D2381" s="16"/>
      <c r="E2381" s="16"/>
      <c r="F2381" s="17"/>
      <c r="G2381" s="16"/>
      <c r="H2381" s="16"/>
      <c r="I2381" s="16"/>
      <c r="J2381" s="16"/>
      <c r="K2381" s="16"/>
      <c r="L2381" s="16"/>
      <c r="M2381" s="18" t="str">
        <f aca="false">IF(OR(C2381="",D2381=""),"",IF(MOD(COUNTIFS($C$2:C2381,C2381,$D$2:D2381,D2381)*7,10)&lt;3,"teste","treino"))</f>
        <v/>
      </c>
      <c r="N2381" s="16"/>
      <c r="O2381" s="16"/>
      <c r="P2381" s="16"/>
      <c r="Q2381" s="17"/>
    </row>
    <row r="2382" customFormat="false" ht="15" hidden="false" customHeight="false" outlineLevel="0" collapsed="false">
      <c r="A2382" s="15" t="str">
        <f aca="false">IF(B2382="","",ROW()-1)</f>
        <v/>
      </c>
      <c r="B2382" s="16"/>
      <c r="C2382" s="16"/>
      <c r="D2382" s="16"/>
      <c r="E2382" s="16"/>
      <c r="F2382" s="17"/>
      <c r="G2382" s="16"/>
      <c r="H2382" s="16"/>
      <c r="I2382" s="16"/>
      <c r="J2382" s="16"/>
      <c r="K2382" s="16"/>
      <c r="L2382" s="16"/>
      <c r="M2382" s="18" t="str">
        <f aca="false">IF(OR(C2382="",D2382=""),"",IF(MOD(COUNTIFS($C$2:C2382,C2382,$D$2:D2382,D2382)*7,10)&lt;3,"teste","treino"))</f>
        <v/>
      </c>
      <c r="N2382" s="16"/>
      <c r="O2382" s="16"/>
      <c r="P2382" s="16"/>
      <c r="Q2382" s="17"/>
    </row>
    <row r="2383" customFormat="false" ht="15" hidden="false" customHeight="false" outlineLevel="0" collapsed="false">
      <c r="A2383" s="15" t="str">
        <f aca="false">IF(B2383="","",ROW()-1)</f>
        <v/>
      </c>
      <c r="B2383" s="16"/>
      <c r="C2383" s="16"/>
      <c r="D2383" s="16"/>
      <c r="E2383" s="16"/>
      <c r="F2383" s="17"/>
      <c r="G2383" s="16"/>
      <c r="H2383" s="16"/>
      <c r="I2383" s="16"/>
      <c r="J2383" s="16"/>
      <c r="K2383" s="16"/>
      <c r="L2383" s="16"/>
      <c r="M2383" s="18" t="str">
        <f aca="false">IF(OR(C2383="",D2383=""),"",IF(MOD(COUNTIFS($C$2:C2383,C2383,$D$2:D2383,D2383)*7,10)&lt;3,"teste","treino"))</f>
        <v/>
      </c>
      <c r="N2383" s="16"/>
      <c r="O2383" s="16"/>
      <c r="P2383" s="16"/>
      <c r="Q2383" s="17"/>
    </row>
    <row r="2384" customFormat="false" ht="15" hidden="false" customHeight="false" outlineLevel="0" collapsed="false">
      <c r="A2384" s="15" t="str">
        <f aca="false">IF(B2384="","",ROW()-1)</f>
        <v/>
      </c>
      <c r="B2384" s="16"/>
      <c r="C2384" s="16"/>
      <c r="D2384" s="16"/>
      <c r="E2384" s="16"/>
      <c r="F2384" s="17"/>
      <c r="G2384" s="16"/>
      <c r="H2384" s="16"/>
      <c r="I2384" s="16"/>
      <c r="J2384" s="16"/>
      <c r="K2384" s="16"/>
      <c r="L2384" s="16"/>
      <c r="M2384" s="18" t="str">
        <f aca="false">IF(OR(C2384="",D2384=""),"",IF(MOD(COUNTIFS($C$2:C2384,C2384,$D$2:D2384,D2384)*7,10)&lt;3,"teste","treino"))</f>
        <v/>
      </c>
      <c r="N2384" s="16"/>
      <c r="O2384" s="16"/>
      <c r="P2384" s="16"/>
      <c r="Q2384" s="17"/>
    </row>
    <row r="2385" customFormat="false" ht="15" hidden="false" customHeight="false" outlineLevel="0" collapsed="false">
      <c r="A2385" s="15" t="str">
        <f aca="false">IF(B2385="","",ROW()-1)</f>
        <v/>
      </c>
      <c r="B2385" s="16"/>
      <c r="C2385" s="16"/>
      <c r="D2385" s="16"/>
      <c r="E2385" s="16"/>
      <c r="F2385" s="17"/>
      <c r="G2385" s="16"/>
      <c r="H2385" s="16"/>
      <c r="I2385" s="16"/>
      <c r="J2385" s="16"/>
      <c r="K2385" s="16"/>
      <c r="L2385" s="16"/>
      <c r="M2385" s="18" t="str">
        <f aca="false">IF(OR(C2385="",D2385=""),"",IF(MOD(COUNTIFS($C$2:C2385,C2385,$D$2:D2385,D2385)*7,10)&lt;3,"teste","treino"))</f>
        <v/>
      </c>
      <c r="N2385" s="16"/>
      <c r="O2385" s="16"/>
      <c r="P2385" s="16"/>
      <c r="Q2385" s="17"/>
    </row>
    <row r="2386" customFormat="false" ht="15" hidden="false" customHeight="false" outlineLevel="0" collapsed="false">
      <c r="A2386" s="15" t="str">
        <f aca="false">IF(B2386="","",ROW()-1)</f>
        <v/>
      </c>
      <c r="B2386" s="16"/>
      <c r="C2386" s="16"/>
      <c r="D2386" s="16"/>
      <c r="E2386" s="16"/>
      <c r="F2386" s="17"/>
      <c r="G2386" s="16"/>
      <c r="H2386" s="16"/>
      <c r="I2386" s="16"/>
      <c r="J2386" s="16"/>
      <c r="K2386" s="16"/>
      <c r="L2386" s="16"/>
      <c r="M2386" s="18" t="str">
        <f aca="false">IF(OR(C2386="",D2386=""),"",IF(MOD(COUNTIFS($C$2:C2386,C2386,$D$2:D2386,D2386)*7,10)&lt;3,"teste","treino"))</f>
        <v/>
      </c>
      <c r="N2386" s="16"/>
      <c r="O2386" s="16"/>
      <c r="P2386" s="16"/>
      <c r="Q2386" s="17"/>
    </row>
    <row r="2387" customFormat="false" ht="15" hidden="false" customHeight="false" outlineLevel="0" collapsed="false">
      <c r="A2387" s="15" t="str">
        <f aca="false">IF(B2387="","",ROW()-1)</f>
        <v/>
      </c>
      <c r="B2387" s="16"/>
      <c r="C2387" s="16"/>
      <c r="D2387" s="16"/>
      <c r="E2387" s="16"/>
      <c r="F2387" s="17"/>
      <c r="G2387" s="16"/>
      <c r="H2387" s="16"/>
      <c r="I2387" s="16"/>
      <c r="J2387" s="16"/>
      <c r="K2387" s="16"/>
      <c r="L2387" s="16"/>
      <c r="M2387" s="18" t="str">
        <f aca="false">IF(OR(C2387="",D2387=""),"",IF(MOD(COUNTIFS($C$2:C2387,C2387,$D$2:D2387,D2387)*7,10)&lt;3,"teste","treino"))</f>
        <v/>
      </c>
      <c r="N2387" s="16"/>
      <c r="O2387" s="16"/>
      <c r="P2387" s="16"/>
      <c r="Q2387" s="17"/>
    </row>
    <row r="2388" customFormat="false" ht="15" hidden="false" customHeight="false" outlineLevel="0" collapsed="false">
      <c r="A2388" s="15" t="str">
        <f aca="false">IF(B2388="","",ROW()-1)</f>
        <v/>
      </c>
      <c r="B2388" s="16"/>
      <c r="C2388" s="16"/>
      <c r="D2388" s="16"/>
      <c r="E2388" s="16"/>
      <c r="F2388" s="17"/>
      <c r="G2388" s="16"/>
      <c r="H2388" s="16"/>
      <c r="I2388" s="16"/>
      <c r="J2388" s="16"/>
      <c r="K2388" s="16"/>
      <c r="L2388" s="16"/>
      <c r="M2388" s="18" t="str">
        <f aca="false">IF(OR(C2388="",D2388=""),"",IF(MOD(COUNTIFS($C$2:C2388,C2388,$D$2:D2388,D2388)*7,10)&lt;3,"teste","treino"))</f>
        <v/>
      </c>
      <c r="N2388" s="16"/>
      <c r="O2388" s="16"/>
      <c r="P2388" s="16"/>
      <c r="Q2388" s="17"/>
    </row>
    <row r="2389" customFormat="false" ht="15" hidden="false" customHeight="false" outlineLevel="0" collapsed="false">
      <c r="A2389" s="15" t="str">
        <f aca="false">IF(B2389="","",ROW()-1)</f>
        <v/>
      </c>
      <c r="B2389" s="16"/>
      <c r="C2389" s="16"/>
      <c r="D2389" s="16"/>
      <c r="E2389" s="16"/>
      <c r="F2389" s="17"/>
      <c r="G2389" s="16"/>
      <c r="H2389" s="16"/>
      <c r="I2389" s="16"/>
      <c r="J2389" s="16"/>
      <c r="K2389" s="16"/>
      <c r="L2389" s="16"/>
      <c r="M2389" s="18" t="str">
        <f aca="false">IF(OR(C2389="",D2389=""),"",IF(MOD(COUNTIFS($C$2:C2389,C2389,$D$2:D2389,D2389)*7,10)&lt;3,"teste","treino"))</f>
        <v/>
      </c>
      <c r="N2389" s="16"/>
      <c r="O2389" s="16"/>
      <c r="P2389" s="16"/>
      <c r="Q2389" s="17"/>
    </row>
    <row r="2390" customFormat="false" ht="15" hidden="false" customHeight="false" outlineLevel="0" collapsed="false">
      <c r="A2390" s="15" t="str">
        <f aca="false">IF(B2390="","",ROW()-1)</f>
        <v/>
      </c>
      <c r="B2390" s="16"/>
      <c r="C2390" s="16"/>
      <c r="D2390" s="16"/>
      <c r="E2390" s="16"/>
      <c r="F2390" s="17"/>
      <c r="G2390" s="16"/>
      <c r="H2390" s="16"/>
      <c r="I2390" s="16"/>
      <c r="J2390" s="16"/>
      <c r="K2390" s="16"/>
      <c r="L2390" s="16"/>
      <c r="M2390" s="18" t="str">
        <f aca="false">IF(OR(C2390="",D2390=""),"",IF(MOD(COUNTIFS($C$2:C2390,C2390,$D$2:D2390,D2390)*7,10)&lt;3,"teste","treino"))</f>
        <v/>
      </c>
      <c r="N2390" s="16"/>
      <c r="O2390" s="16"/>
      <c r="P2390" s="16"/>
      <c r="Q2390" s="17"/>
    </row>
    <row r="2391" customFormat="false" ht="15" hidden="false" customHeight="false" outlineLevel="0" collapsed="false">
      <c r="A2391" s="15" t="str">
        <f aca="false">IF(B2391="","",ROW()-1)</f>
        <v/>
      </c>
      <c r="B2391" s="16"/>
      <c r="C2391" s="16"/>
      <c r="D2391" s="16"/>
      <c r="E2391" s="16"/>
      <c r="F2391" s="17"/>
      <c r="G2391" s="16"/>
      <c r="H2391" s="16"/>
      <c r="I2391" s="16"/>
      <c r="J2391" s="16"/>
      <c r="K2391" s="16"/>
      <c r="L2391" s="16"/>
      <c r="M2391" s="18" t="str">
        <f aca="false">IF(OR(C2391="",D2391=""),"",IF(MOD(COUNTIFS($C$2:C2391,C2391,$D$2:D2391,D2391)*7,10)&lt;3,"teste","treino"))</f>
        <v/>
      </c>
      <c r="N2391" s="16"/>
      <c r="O2391" s="16"/>
      <c r="P2391" s="16"/>
      <c r="Q2391" s="17"/>
    </row>
    <row r="2392" customFormat="false" ht="15" hidden="false" customHeight="false" outlineLevel="0" collapsed="false">
      <c r="A2392" s="15" t="str">
        <f aca="false">IF(B2392="","",ROW()-1)</f>
        <v/>
      </c>
      <c r="B2392" s="16"/>
      <c r="C2392" s="16"/>
      <c r="D2392" s="16"/>
      <c r="E2392" s="16"/>
      <c r="F2392" s="17"/>
      <c r="G2392" s="16"/>
      <c r="H2392" s="16"/>
      <c r="I2392" s="16"/>
      <c r="J2392" s="16"/>
      <c r="K2392" s="16"/>
      <c r="L2392" s="16"/>
      <c r="M2392" s="18" t="str">
        <f aca="false">IF(OR(C2392="",D2392=""),"",IF(MOD(COUNTIFS($C$2:C2392,C2392,$D$2:D2392,D2392)*7,10)&lt;3,"teste","treino"))</f>
        <v/>
      </c>
      <c r="N2392" s="16"/>
      <c r="O2392" s="16"/>
      <c r="P2392" s="16"/>
      <c r="Q2392" s="17"/>
    </row>
    <row r="2393" customFormat="false" ht="15" hidden="false" customHeight="false" outlineLevel="0" collapsed="false">
      <c r="A2393" s="15" t="str">
        <f aca="false">IF(B2393="","",ROW()-1)</f>
        <v/>
      </c>
      <c r="B2393" s="16"/>
      <c r="C2393" s="16"/>
      <c r="D2393" s="16"/>
      <c r="E2393" s="16"/>
      <c r="F2393" s="17"/>
      <c r="G2393" s="16"/>
      <c r="H2393" s="16"/>
      <c r="I2393" s="16"/>
      <c r="J2393" s="16"/>
      <c r="K2393" s="16"/>
      <c r="L2393" s="16"/>
      <c r="M2393" s="18" t="str">
        <f aca="false">IF(OR(C2393="",D2393=""),"",IF(MOD(COUNTIFS($C$2:C2393,C2393,$D$2:D2393,D2393)*7,10)&lt;3,"teste","treino"))</f>
        <v/>
      </c>
      <c r="N2393" s="16"/>
      <c r="O2393" s="16"/>
      <c r="P2393" s="16"/>
      <c r="Q2393" s="17"/>
    </row>
    <row r="2394" customFormat="false" ht="15" hidden="false" customHeight="false" outlineLevel="0" collapsed="false">
      <c r="A2394" s="15" t="str">
        <f aca="false">IF(B2394="","",ROW()-1)</f>
        <v/>
      </c>
      <c r="B2394" s="16"/>
      <c r="C2394" s="16"/>
      <c r="D2394" s="16"/>
      <c r="E2394" s="16"/>
      <c r="F2394" s="17"/>
      <c r="G2394" s="16"/>
      <c r="H2394" s="16"/>
      <c r="I2394" s="16"/>
      <c r="J2394" s="16"/>
      <c r="K2394" s="16"/>
      <c r="L2394" s="16"/>
      <c r="M2394" s="18" t="str">
        <f aca="false">IF(OR(C2394="",D2394=""),"",IF(MOD(COUNTIFS($C$2:C2394,C2394,$D$2:D2394,D2394)*7,10)&lt;3,"teste","treino"))</f>
        <v/>
      </c>
      <c r="N2394" s="16"/>
      <c r="O2394" s="16"/>
      <c r="P2394" s="16"/>
      <c r="Q2394" s="17"/>
    </row>
    <row r="2395" customFormat="false" ht="15" hidden="false" customHeight="false" outlineLevel="0" collapsed="false">
      <c r="A2395" s="15" t="str">
        <f aca="false">IF(B2395="","",ROW()-1)</f>
        <v/>
      </c>
      <c r="B2395" s="16"/>
      <c r="C2395" s="16"/>
      <c r="D2395" s="16"/>
      <c r="E2395" s="16"/>
      <c r="F2395" s="17"/>
      <c r="G2395" s="16"/>
      <c r="H2395" s="16"/>
      <c r="I2395" s="16"/>
      <c r="J2395" s="16"/>
      <c r="K2395" s="16"/>
      <c r="L2395" s="16"/>
      <c r="M2395" s="18" t="str">
        <f aca="false">IF(OR(C2395="",D2395=""),"",IF(MOD(COUNTIFS($C$2:C2395,C2395,$D$2:D2395,D2395)*7,10)&lt;3,"teste","treino"))</f>
        <v/>
      </c>
      <c r="N2395" s="16"/>
      <c r="O2395" s="16"/>
      <c r="P2395" s="16"/>
      <c r="Q2395" s="17"/>
    </row>
    <row r="2396" customFormat="false" ht="15" hidden="false" customHeight="false" outlineLevel="0" collapsed="false">
      <c r="A2396" s="15" t="str">
        <f aca="false">IF(B2396="","",ROW()-1)</f>
        <v/>
      </c>
      <c r="B2396" s="16"/>
      <c r="C2396" s="16"/>
      <c r="D2396" s="16"/>
      <c r="E2396" s="16"/>
      <c r="F2396" s="17"/>
      <c r="G2396" s="16"/>
      <c r="H2396" s="16"/>
      <c r="I2396" s="16"/>
      <c r="J2396" s="16"/>
      <c r="K2396" s="16"/>
      <c r="L2396" s="16"/>
      <c r="M2396" s="18" t="str">
        <f aca="false">IF(OR(C2396="",D2396=""),"",IF(MOD(COUNTIFS($C$2:C2396,C2396,$D$2:D2396,D2396)*7,10)&lt;3,"teste","treino"))</f>
        <v/>
      </c>
      <c r="N2396" s="16"/>
      <c r="O2396" s="16"/>
      <c r="P2396" s="16"/>
      <c r="Q2396" s="17"/>
    </row>
    <row r="2397" customFormat="false" ht="15" hidden="false" customHeight="false" outlineLevel="0" collapsed="false">
      <c r="A2397" s="15" t="str">
        <f aca="false">IF(B2397="","",ROW()-1)</f>
        <v/>
      </c>
      <c r="B2397" s="16"/>
      <c r="C2397" s="16"/>
      <c r="D2397" s="16"/>
      <c r="E2397" s="16"/>
      <c r="F2397" s="17"/>
      <c r="G2397" s="16"/>
      <c r="H2397" s="16"/>
      <c r="I2397" s="16"/>
      <c r="J2397" s="16"/>
      <c r="K2397" s="16"/>
      <c r="L2397" s="16"/>
      <c r="M2397" s="18" t="str">
        <f aca="false">IF(OR(C2397="",D2397=""),"",IF(MOD(COUNTIFS($C$2:C2397,C2397,$D$2:D2397,D2397)*7,10)&lt;3,"teste","treino"))</f>
        <v/>
      </c>
      <c r="N2397" s="16"/>
      <c r="O2397" s="16"/>
      <c r="P2397" s="16"/>
      <c r="Q2397" s="17"/>
    </row>
    <row r="2398" customFormat="false" ht="15" hidden="false" customHeight="false" outlineLevel="0" collapsed="false">
      <c r="A2398" s="15" t="str">
        <f aca="false">IF(B2398="","",ROW()-1)</f>
        <v/>
      </c>
      <c r="B2398" s="16"/>
      <c r="C2398" s="16"/>
      <c r="D2398" s="16"/>
      <c r="E2398" s="16"/>
      <c r="F2398" s="17"/>
      <c r="G2398" s="16"/>
      <c r="H2398" s="16"/>
      <c r="I2398" s="16"/>
      <c r="J2398" s="16"/>
      <c r="K2398" s="16"/>
      <c r="L2398" s="16"/>
      <c r="M2398" s="18" t="str">
        <f aca="false">IF(OR(C2398="",D2398=""),"",IF(MOD(COUNTIFS($C$2:C2398,C2398,$D$2:D2398,D2398)*7,10)&lt;3,"teste","treino"))</f>
        <v/>
      </c>
      <c r="N2398" s="16"/>
      <c r="O2398" s="16"/>
      <c r="P2398" s="16"/>
      <c r="Q2398" s="17"/>
    </row>
    <row r="2399" customFormat="false" ht="15" hidden="false" customHeight="false" outlineLevel="0" collapsed="false">
      <c r="A2399" s="15" t="str">
        <f aca="false">IF(B2399="","",ROW()-1)</f>
        <v/>
      </c>
      <c r="B2399" s="16"/>
      <c r="C2399" s="16"/>
      <c r="D2399" s="16"/>
      <c r="E2399" s="16"/>
      <c r="F2399" s="17"/>
      <c r="G2399" s="16"/>
      <c r="H2399" s="16"/>
      <c r="I2399" s="16"/>
      <c r="J2399" s="16"/>
      <c r="K2399" s="16"/>
      <c r="L2399" s="16"/>
      <c r="M2399" s="18" t="str">
        <f aca="false">IF(OR(C2399="",D2399=""),"",IF(MOD(COUNTIFS($C$2:C2399,C2399,$D$2:D2399,D2399)*7,10)&lt;3,"teste","treino"))</f>
        <v/>
      </c>
      <c r="N2399" s="16"/>
      <c r="O2399" s="16"/>
      <c r="P2399" s="16"/>
      <c r="Q2399" s="17"/>
    </row>
    <row r="2400" customFormat="false" ht="15" hidden="false" customHeight="false" outlineLevel="0" collapsed="false">
      <c r="A2400" s="15" t="str">
        <f aca="false">IF(B2400="","",ROW()-1)</f>
        <v/>
      </c>
      <c r="B2400" s="16"/>
      <c r="C2400" s="16"/>
      <c r="D2400" s="16"/>
      <c r="E2400" s="16"/>
      <c r="F2400" s="17"/>
      <c r="G2400" s="16"/>
      <c r="H2400" s="16"/>
      <c r="I2400" s="16"/>
      <c r="J2400" s="16"/>
      <c r="K2400" s="16"/>
      <c r="L2400" s="16"/>
      <c r="M2400" s="18" t="str">
        <f aca="false">IF(OR(C2400="",D2400=""),"",IF(MOD(COUNTIFS($C$2:C2400,C2400,$D$2:D2400,D2400)*7,10)&lt;3,"teste","treino"))</f>
        <v/>
      </c>
      <c r="N2400" s="16"/>
      <c r="O2400" s="16"/>
      <c r="P2400" s="16"/>
      <c r="Q2400" s="17"/>
    </row>
    <row r="2401" customFormat="false" ht="15" hidden="false" customHeight="false" outlineLevel="0" collapsed="false">
      <c r="A2401" s="15" t="str">
        <f aca="false">IF(B2401="","",ROW()-1)</f>
        <v/>
      </c>
      <c r="B2401" s="16"/>
      <c r="C2401" s="16"/>
      <c r="D2401" s="16"/>
      <c r="E2401" s="16"/>
      <c r="F2401" s="17"/>
      <c r="G2401" s="16"/>
      <c r="H2401" s="16"/>
      <c r="I2401" s="16"/>
      <c r="J2401" s="16"/>
      <c r="K2401" s="16"/>
      <c r="L2401" s="16"/>
      <c r="M2401" s="18" t="str">
        <f aca="false">IF(OR(C2401="",D2401=""),"",IF(MOD(COUNTIFS($C$2:C2401,C2401,$D$2:D2401,D2401)*7,10)&lt;3,"teste","treino"))</f>
        <v/>
      </c>
      <c r="N2401" s="16"/>
      <c r="O2401" s="16"/>
      <c r="P2401" s="16"/>
      <c r="Q2401" s="17"/>
    </row>
    <row r="2402" customFormat="false" ht="15" hidden="false" customHeight="false" outlineLevel="0" collapsed="false">
      <c r="A2402" s="15" t="str">
        <f aca="false">IF(B2402="","",ROW()-1)</f>
        <v/>
      </c>
      <c r="B2402" s="16"/>
      <c r="C2402" s="16"/>
      <c r="D2402" s="16"/>
      <c r="E2402" s="16"/>
      <c r="F2402" s="17"/>
      <c r="G2402" s="16"/>
      <c r="H2402" s="16"/>
      <c r="I2402" s="16"/>
      <c r="J2402" s="16"/>
      <c r="K2402" s="16"/>
      <c r="L2402" s="16"/>
      <c r="M2402" s="18" t="str">
        <f aca="false">IF(OR(C2402="",D2402=""),"",IF(MOD(COUNTIFS($C$2:C2402,C2402,$D$2:D2402,D2402)*7,10)&lt;3,"teste","treino"))</f>
        <v/>
      </c>
      <c r="N2402" s="16"/>
      <c r="O2402" s="16"/>
      <c r="P2402" s="16"/>
      <c r="Q2402" s="17"/>
    </row>
    <row r="2403" customFormat="false" ht="15" hidden="false" customHeight="false" outlineLevel="0" collapsed="false">
      <c r="A2403" s="15" t="str">
        <f aca="false">IF(B2403="","",ROW()-1)</f>
        <v/>
      </c>
      <c r="B2403" s="16"/>
      <c r="C2403" s="16"/>
      <c r="D2403" s="16"/>
      <c r="E2403" s="16"/>
      <c r="F2403" s="17"/>
      <c r="G2403" s="16"/>
      <c r="H2403" s="16"/>
      <c r="I2403" s="16"/>
      <c r="J2403" s="16"/>
      <c r="K2403" s="16"/>
      <c r="L2403" s="16"/>
      <c r="M2403" s="18" t="str">
        <f aca="false">IF(OR(C2403="",D2403=""),"",IF(MOD(COUNTIFS($C$2:C2403,C2403,$D$2:D2403,D2403)*7,10)&lt;3,"teste","treino"))</f>
        <v/>
      </c>
      <c r="N2403" s="16"/>
      <c r="O2403" s="16"/>
      <c r="P2403" s="16"/>
      <c r="Q2403" s="17"/>
    </row>
    <row r="2404" customFormat="false" ht="15" hidden="false" customHeight="false" outlineLevel="0" collapsed="false">
      <c r="A2404" s="15" t="str">
        <f aca="false">IF(B2404="","",ROW()-1)</f>
        <v/>
      </c>
      <c r="B2404" s="16"/>
      <c r="C2404" s="16"/>
      <c r="D2404" s="16"/>
      <c r="E2404" s="16"/>
      <c r="F2404" s="17"/>
      <c r="G2404" s="16"/>
      <c r="H2404" s="16"/>
      <c r="I2404" s="16"/>
      <c r="J2404" s="16"/>
      <c r="K2404" s="16"/>
      <c r="L2404" s="16"/>
      <c r="M2404" s="18" t="str">
        <f aca="false">IF(OR(C2404="",D2404=""),"",IF(MOD(COUNTIFS($C$2:C2404,C2404,$D$2:D2404,D2404)*7,10)&lt;3,"teste","treino"))</f>
        <v/>
      </c>
      <c r="N2404" s="16"/>
      <c r="O2404" s="16"/>
      <c r="P2404" s="16"/>
      <c r="Q2404" s="17"/>
    </row>
    <row r="2405" customFormat="false" ht="15" hidden="false" customHeight="false" outlineLevel="0" collapsed="false">
      <c r="A2405" s="15" t="str">
        <f aca="false">IF(B2405="","",ROW()-1)</f>
        <v/>
      </c>
      <c r="B2405" s="16"/>
      <c r="C2405" s="16"/>
      <c r="D2405" s="16"/>
      <c r="E2405" s="16"/>
      <c r="F2405" s="17"/>
      <c r="G2405" s="16"/>
      <c r="H2405" s="16"/>
      <c r="I2405" s="16"/>
      <c r="J2405" s="16"/>
      <c r="K2405" s="16"/>
      <c r="L2405" s="16"/>
      <c r="M2405" s="18" t="str">
        <f aca="false">IF(OR(C2405="",D2405=""),"",IF(MOD(COUNTIFS($C$2:C2405,C2405,$D$2:D2405,D2405)*7,10)&lt;3,"teste","treino"))</f>
        <v/>
      </c>
      <c r="N2405" s="16"/>
      <c r="O2405" s="16"/>
      <c r="P2405" s="16"/>
      <c r="Q2405" s="17"/>
    </row>
    <row r="2406" customFormat="false" ht="15" hidden="false" customHeight="false" outlineLevel="0" collapsed="false">
      <c r="A2406" s="15" t="str">
        <f aca="false">IF(B2406="","",ROW()-1)</f>
        <v/>
      </c>
      <c r="B2406" s="16"/>
      <c r="C2406" s="16"/>
      <c r="D2406" s="16"/>
      <c r="E2406" s="16"/>
      <c r="F2406" s="17"/>
      <c r="G2406" s="16"/>
      <c r="H2406" s="16"/>
      <c r="I2406" s="16"/>
      <c r="J2406" s="16"/>
      <c r="K2406" s="16"/>
      <c r="L2406" s="16"/>
      <c r="M2406" s="18" t="str">
        <f aca="false">IF(OR(C2406="",D2406=""),"",IF(MOD(COUNTIFS($C$2:C2406,C2406,$D$2:D2406,D2406)*7,10)&lt;3,"teste","treino"))</f>
        <v/>
      </c>
      <c r="N2406" s="16"/>
      <c r="O2406" s="16"/>
      <c r="P2406" s="16"/>
      <c r="Q2406" s="17"/>
    </row>
    <row r="2407" customFormat="false" ht="15" hidden="false" customHeight="false" outlineLevel="0" collapsed="false">
      <c r="A2407" s="15" t="str">
        <f aca="false">IF(B2407="","",ROW()-1)</f>
        <v/>
      </c>
      <c r="B2407" s="16"/>
      <c r="C2407" s="16"/>
      <c r="D2407" s="16"/>
      <c r="E2407" s="16"/>
      <c r="F2407" s="17"/>
      <c r="G2407" s="16"/>
      <c r="H2407" s="16"/>
      <c r="I2407" s="16"/>
      <c r="J2407" s="16"/>
      <c r="K2407" s="16"/>
      <c r="L2407" s="16"/>
      <c r="M2407" s="18" t="str">
        <f aca="false">IF(OR(C2407="",D2407=""),"",IF(MOD(COUNTIFS($C$2:C2407,C2407,$D$2:D2407,D2407)*7,10)&lt;3,"teste","treino"))</f>
        <v/>
      </c>
      <c r="N2407" s="16"/>
      <c r="O2407" s="16"/>
      <c r="P2407" s="16"/>
      <c r="Q2407" s="17"/>
    </row>
    <row r="2408" customFormat="false" ht="15" hidden="false" customHeight="false" outlineLevel="0" collapsed="false">
      <c r="A2408" s="15" t="str">
        <f aca="false">IF(B2408="","",ROW()-1)</f>
        <v/>
      </c>
      <c r="B2408" s="16"/>
      <c r="C2408" s="16"/>
      <c r="D2408" s="16"/>
      <c r="E2408" s="16"/>
      <c r="F2408" s="17"/>
      <c r="G2408" s="16"/>
      <c r="H2408" s="16"/>
      <c r="I2408" s="16"/>
      <c r="J2408" s="16"/>
      <c r="K2408" s="16"/>
      <c r="L2408" s="16"/>
      <c r="M2408" s="18" t="str">
        <f aca="false">IF(OR(C2408="",D2408=""),"",IF(MOD(COUNTIFS($C$2:C2408,C2408,$D$2:D2408,D2408)*7,10)&lt;3,"teste","treino"))</f>
        <v/>
      </c>
      <c r="N2408" s="16"/>
      <c r="O2408" s="16"/>
      <c r="P2408" s="16"/>
      <c r="Q2408" s="17"/>
    </row>
    <row r="2409" customFormat="false" ht="15" hidden="false" customHeight="false" outlineLevel="0" collapsed="false">
      <c r="A2409" s="15" t="str">
        <f aca="false">IF(B2409="","",ROW()-1)</f>
        <v/>
      </c>
      <c r="B2409" s="16"/>
      <c r="C2409" s="16"/>
      <c r="D2409" s="16"/>
      <c r="E2409" s="16"/>
      <c r="F2409" s="17"/>
      <c r="G2409" s="16"/>
      <c r="H2409" s="16"/>
      <c r="I2409" s="16"/>
      <c r="J2409" s="16"/>
      <c r="K2409" s="16"/>
      <c r="L2409" s="16"/>
      <c r="M2409" s="18" t="str">
        <f aca="false">IF(OR(C2409="",D2409=""),"",IF(MOD(COUNTIFS($C$2:C2409,C2409,$D$2:D2409,D2409)*7,10)&lt;3,"teste","treino"))</f>
        <v/>
      </c>
      <c r="N2409" s="16"/>
      <c r="O2409" s="16"/>
      <c r="P2409" s="16"/>
      <c r="Q2409" s="17"/>
    </row>
    <row r="2410" customFormat="false" ht="15" hidden="false" customHeight="false" outlineLevel="0" collapsed="false">
      <c r="A2410" s="15" t="str">
        <f aca="false">IF(B2410="","",ROW()-1)</f>
        <v/>
      </c>
      <c r="B2410" s="16"/>
      <c r="C2410" s="16"/>
      <c r="D2410" s="16"/>
      <c r="E2410" s="16"/>
      <c r="F2410" s="17"/>
      <c r="G2410" s="16"/>
      <c r="H2410" s="16"/>
      <c r="I2410" s="16"/>
      <c r="J2410" s="16"/>
      <c r="K2410" s="16"/>
      <c r="L2410" s="16"/>
      <c r="M2410" s="18" t="str">
        <f aca="false">IF(OR(C2410="",D2410=""),"",IF(MOD(COUNTIFS($C$2:C2410,C2410,$D$2:D2410,D2410)*7,10)&lt;3,"teste","treino"))</f>
        <v/>
      </c>
      <c r="N2410" s="16"/>
      <c r="O2410" s="16"/>
      <c r="P2410" s="16"/>
      <c r="Q2410" s="17"/>
    </row>
    <row r="2411" customFormat="false" ht="15" hidden="false" customHeight="false" outlineLevel="0" collapsed="false">
      <c r="A2411" s="15" t="str">
        <f aca="false">IF(B2411="","",ROW()-1)</f>
        <v/>
      </c>
      <c r="B2411" s="16"/>
      <c r="C2411" s="16"/>
      <c r="D2411" s="16"/>
      <c r="E2411" s="16"/>
      <c r="F2411" s="17"/>
      <c r="G2411" s="16"/>
      <c r="H2411" s="16"/>
      <c r="I2411" s="16"/>
      <c r="J2411" s="16"/>
      <c r="K2411" s="16"/>
      <c r="L2411" s="16"/>
      <c r="M2411" s="18" t="str">
        <f aca="false">IF(OR(C2411="",D2411=""),"",IF(MOD(COUNTIFS($C$2:C2411,C2411,$D$2:D2411,D2411)*7,10)&lt;3,"teste","treino"))</f>
        <v/>
      </c>
      <c r="N2411" s="16"/>
      <c r="O2411" s="16"/>
      <c r="P2411" s="16"/>
      <c r="Q2411" s="17"/>
    </row>
    <row r="2412" customFormat="false" ht="15" hidden="false" customHeight="false" outlineLevel="0" collapsed="false">
      <c r="A2412" s="15" t="str">
        <f aca="false">IF(B2412="","",ROW()-1)</f>
        <v/>
      </c>
      <c r="B2412" s="16"/>
      <c r="C2412" s="16"/>
      <c r="D2412" s="16"/>
      <c r="E2412" s="16"/>
      <c r="F2412" s="17"/>
      <c r="G2412" s="16"/>
      <c r="H2412" s="16"/>
      <c r="I2412" s="16"/>
      <c r="J2412" s="16"/>
      <c r="K2412" s="16"/>
      <c r="L2412" s="16"/>
      <c r="M2412" s="18" t="str">
        <f aca="false">IF(OR(C2412="",D2412=""),"",IF(MOD(COUNTIFS($C$2:C2412,C2412,$D$2:D2412,D2412)*7,10)&lt;3,"teste","treino"))</f>
        <v/>
      </c>
      <c r="N2412" s="16"/>
      <c r="O2412" s="16"/>
      <c r="P2412" s="16"/>
      <c r="Q2412" s="17"/>
    </row>
    <row r="2413" customFormat="false" ht="15" hidden="false" customHeight="false" outlineLevel="0" collapsed="false">
      <c r="A2413" s="15" t="str">
        <f aca="false">IF(B2413="","",ROW()-1)</f>
        <v/>
      </c>
      <c r="B2413" s="16"/>
      <c r="C2413" s="16"/>
      <c r="D2413" s="16"/>
      <c r="E2413" s="16"/>
      <c r="F2413" s="17"/>
      <c r="G2413" s="16"/>
      <c r="H2413" s="16"/>
      <c r="I2413" s="16"/>
      <c r="J2413" s="16"/>
      <c r="K2413" s="16"/>
      <c r="L2413" s="16"/>
      <c r="M2413" s="18" t="str">
        <f aca="false">IF(OR(C2413="",D2413=""),"",IF(MOD(COUNTIFS($C$2:C2413,C2413,$D$2:D2413,D2413)*7,10)&lt;3,"teste","treino"))</f>
        <v/>
      </c>
      <c r="N2413" s="16"/>
      <c r="O2413" s="16"/>
      <c r="P2413" s="16"/>
      <c r="Q2413" s="17"/>
    </row>
    <row r="2414" customFormat="false" ht="15" hidden="false" customHeight="false" outlineLevel="0" collapsed="false">
      <c r="A2414" s="15" t="str">
        <f aca="false">IF(B2414="","",ROW()-1)</f>
        <v/>
      </c>
      <c r="B2414" s="16"/>
      <c r="C2414" s="16"/>
      <c r="D2414" s="16"/>
      <c r="E2414" s="16"/>
      <c r="F2414" s="17"/>
      <c r="G2414" s="16"/>
      <c r="H2414" s="16"/>
      <c r="I2414" s="16"/>
      <c r="J2414" s="16"/>
      <c r="K2414" s="16"/>
      <c r="L2414" s="16"/>
      <c r="M2414" s="18" t="str">
        <f aca="false">IF(OR(C2414="",D2414=""),"",IF(MOD(COUNTIFS($C$2:C2414,C2414,$D$2:D2414,D2414)*7,10)&lt;3,"teste","treino"))</f>
        <v/>
      </c>
      <c r="N2414" s="16"/>
      <c r="O2414" s="16"/>
      <c r="P2414" s="16"/>
      <c r="Q2414" s="17"/>
    </row>
    <row r="2415" customFormat="false" ht="15" hidden="false" customHeight="false" outlineLevel="0" collapsed="false">
      <c r="A2415" s="15" t="str">
        <f aca="false">IF(B2415="","",ROW()-1)</f>
        <v/>
      </c>
      <c r="B2415" s="16"/>
      <c r="C2415" s="16"/>
      <c r="D2415" s="16"/>
      <c r="E2415" s="16"/>
      <c r="F2415" s="17"/>
      <c r="G2415" s="16"/>
      <c r="H2415" s="16"/>
      <c r="I2415" s="16"/>
      <c r="J2415" s="16"/>
      <c r="K2415" s="16"/>
      <c r="L2415" s="16"/>
      <c r="M2415" s="18" t="str">
        <f aca="false">IF(OR(C2415="",D2415=""),"",IF(MOD(COUNTIFS($C$2:C2415,C2415,$D$2:D2415,D2415)*7,10)&lt;3,"teste","treino"))</f>
        <v/>
      </c>
      <c r="N2415" s="16"/>
      <c r="O2415" s="16"/>
      <c r="P2415" s="16"/>
      <c r="Q2415" s="17"/>
    </row>
    <row r="2416" customFormat="false" ht="15" hidden="false" customHeight="false" outlineLevel="0" collapsed="false">
      <c r="A2416" s="15" t="str">
        <f aca="false">IF(B2416="","",ROW()-1)</f>
        <v/>
      </c>
      <c r="B2416" s="16"/>
      <c r="C2416" s="16"/>
      <c r="D2416" s="16"/>
      <c r="E2416" s="16"/>
      <c r="F2416" s="17"/>
      <c r="G2416" s="16"/>
      <c r="H2416" s="16"/>
      <c r="I2416" s="16"/>
      <c r="J2416" s="16"/>
      <c r="K2416" s="16"/>
      <c r="L2416" s="16"/>
      <c r="M2416" s="18" t="str">
        <f aca="false">IF(OR(C2416="",D2416=""),"",IF(MOD(COUNTIFS($C$2:C2416,C2416,$D$2:D2416,D2416)*7,10)&lt;3,"teste","treino"))</f>
        <v/>
      </c>
      <c r="N2416" s="16"/>
      <c r="O2416" s="16"/>
      <c r="P2416" s="16"/>
      <c r="Q2416" s="17"/>
    </row>
    <row r="2417" customFormat="false" ht="15" hidden="false" customHeight="false" outlineLevel="0" collapsed="false">
      <c r="A2417" s="15" t="str">
        <f aca="false">IF(B2417="","",ROW()-1)</f>
        <v/>
      </c>
      <c r="B2417" s="16"/>
      <c r="C2417" s="16"/>
      <c r="D2417" s="16"/>
      <c r="E2417" s="16"/>
      <c r="F2417" s="17"/>
      <c r="G2417" s="16"/>
      <c r="H2417" s="16"/>
      <c r="I2417" s="16"/>
      <c r="J2417" s="16"/>
      <c r="K2417" s="16"/>
      <c r="L2417" s="16"/>
      <c r="M2417" s="18" t="str">
        <f aca="false">IF(OR(C2417="",D2417=""),"",IF(MOD(COUNTIFS($C$2:C2417,C2417,$D$2:D2417,D2417)*7,10)&lt;3,"teste","treino"))</f>
        <v/>
      </c>
      <c r="N2417" s="16"/>
      <c r="O2417" s="16"/>
      <c r="P2417" s="16"/>
      <c r="Q2417" s="17"/>
    </row>
    <row r="2418" customFormat="false" ht="15" hidden="false" customHeight="false" outlineLevel="0" collapsed="false">
      <c r="A2418" s="15" t="str">
        <f aca="false">IF(B2418="","",ROW()-1)</f>
        <v/>
      </c>
      <c r="B2418" s="16"/>
      <c r="C2418" s="16"/>
      <c r="D2418" s="16"/>
      <c r="E2418" s="16"/>
      <c r="F2418" s="17"/>
      <c r="G2418" s="16"/>
      <c r="H2418" s="16"/>
      <c r="I2418" s="16"/>
      <c r="J2418" s="16"/>
      <c r="K2418" s="16"/>
      <c r="L2418" s="16"/>
      <c r="M2418" s="18" t="str">
        <f aca="false">IF(OR(C2418="",D2418=""),"",IF(MOD(COUNTIFS($C$2:C2418,C2418,$D$2:D2418,D2418)*7,10)&lt;3,"teste","treino"))</f>
        <v/>
      </c>
      <c r="N2418" s="16"/>
      <c r="O2418" s="16"/>
      <c r="P2418" s="16"/>
      <c r="Q2418" s="17"/>
    </row>
    <row r="2419" customFormat="false" ht="15" hidden="false" customHeight="false" outlineLevel="0" collapsed="false">
      <c r="A2419" s="15" t="str">
        <f aca="false">IF(B2419="","",ROW()-1)</f>
        <v/>
      </c>
      <c r="B2419" s="16"/>
      <c r="C2419" s="16"/>
      <c r="D2419" s="16"/>
      <c r="E2419" s="16"/>
      <c r="F2419" s="17"/>
      <c r="G2419" s="16"/>
      <c r="H2419" s="16"/>
      <c r="I2419" s="16"/>
      <c r="J2419" s="16"/>
      <c r="K2419" s="16"/>
      <c r="L2419" s="16"/>
      <c r="M2419" s="18" t="str">
        <f aca="false">IF(OR(C2419="",D2419=""),"",IF(MOD(COUNTIFS($C$2:C2419,C2419,$D$2:D2419,D2419)*7,10)&lt;3,"teste","treino"))</f>
        <v/>
      </c>
      <c r="N2419" s="16"/>
      <c r="O2419" s="16"/>
      <c r="P2419" s="16"/>
      <c r="Q2419" s="17"/>
    </row>
    <row r="2420" customFormat="false" ht="15" hidden="false" customHeight="false" outlineLevel="0" collapsed="false">
      <c r="A2420" s="15" t="str">
        <f aca="false">IF(B2420="","",ROW()-1)</f>
        <v/>
      </c>
      <c r="B2420" s="16"/>
      <c r="C2420" s="16"/>
      <c r="D2420" s="16"/>
      <c r="E2420" s="16"/>
      <c r="F2420" s="17"/>
      <c r="G2420" s="16"/>
      <c r="H2420" s="16"/>
      <c r="I2420" s="16"/>
      <c r="J2420" s="16"/>
      <c r="K2420" s="16"/>
      <c r="L2420" s="16"/>
      <c r="M2420" s="18" t="str">
        <f aca="false">IF(OR(C2420="",D2420=""),"",IF(MOD(COUNTIFS($C$2:C2420,C2420,$D$2:D2420,D2420)*7,10)&lt;3,"teste","treino"))</f>
        <v/>
      </c>
      <c r="N2420" s="16"/>
      <c r="O2420" s="16"/>
      <c r="P2420" s="16"/>
      <c r="Q2420" s="17"/>
    </row>
    <row r="2421" customFormat="false" ht="15" hidden="false" customHeight="false" outlineLevel="0" collapsed="false">
      <c r="A2421" s="15" t="str">
        <f aca="false">IF(B2421="","",ROW()-1)</f>
        <v/>
      </c>
      <c r="B2421" s="16"/>
      <c r="C2421" s="16"/>
      <c r="D2421" s="16"/>
      <c r="E2421" s="16"/>
      <c r="F2421" s="17"/>
      <c r="G2421" s="16"/>
      <c r="H2421" s="16"/>
      <c r="I2421" s="16"/>
      <c r="J2421" s="16"/>
      <c r="K2421" s="16"/>
      <c r="L2421" s="16"/>
      <c r="M2421" s="18" t="str">
        <f aca="false">IF(OR(C2421="",D2421=""),"",IF(MOD(COUNTIFS($C$2:C2421,C2421,$D$2:D2421,D2421)*7,10)&lt;3,"teste","treino"))</f>
        <v/>
      </c>
      <c r="N2421" s="16"/>
      <c r="O2421" s="16"/>
      <c r="P2421" s="16"/>
      <c r="Q2421" s="17"/>
    </row>
    <row r="2422" customFormat="false" ht="15" hidden="false" customHeight="false" outlineLevel="0" collapsed="false">
      <c r="A2422" s="15" t="str">
        <f aca="false">IF(B2422="","",ROW()-1)</f>
        <v/>
      </c>
      <c r="B2422" s="16"/>
      <c r="C2422" s="16"/>
      <c r="D2422" s="16"/>
      <c r="E2422" s="16"/>
      <c r="F2422" s="17"/>
      <c r="G2422" s="16"/>
      <c r="H2422" s="16"/>
      <c r="I2422" s="16"/>
      <c r="J2422" s="16"/>
      <c r="K2422" s="16"/>
      <c r="L2422" s="16"/>
      <c r="M2422" s="18" t="str">
        <f aca="false">IF(OR(C2422="",D2422=""),"",IF(MOD(COUNTIFS($C$2:C2422,C2422,$D$2:D2422,D2422)*7,10)&lt;3,"teste","treino"))</f>
        <v/>
      </c>
      <c r="N2422" s="16"/>
      <c r="O2422" s="16"/>
      <c r="P2422" s="16"/>
      <c r="Q2422" s="17"/>
    </row>
    <row r="2423" customFormat="false" ht="15" hidden="false" customHeight="false" outlineLevel="0" collapsed="false">
      <c r="A2423" s="15" t="str">
        <f aca="false">IF(B2423="","",ROW()-1)</f>
        <v/>
      </c>
      <c r="B2423" s="16"/>
      <c r="C2423" s="16"/>
      <c r="D2423" s="16"/>
      <c r="E2423" s="16"/>
      <c r="F2423" s="17"/>
      <c r="G2423" s="16"/>
      <c r="H2423" s="16"/>
      <c r="I2423" s="16"/>
      <c r="J2423" s="16"/>
      <c r="K2423" s="16"/>
      <c r="L2423" s="16"/>
      <c r="M2423" s="18" t="str">
        <f aca="false">IF(OR(C2423="",D2423=""),"",IF(MOD(COUNTIFS($C$2:C2423,C2423,$D$2:D2423,D2423)*7,10)&lt;3,"teste","treino"))</f>
        <v/>
      </c>
      <c r="N2423" s="16"/>
      <c r="O2423" s="16"/>
      <c r="P2423" s="16"/>
      <c r="Q2423" s="17"/>
    </row>
    <row r="2424" customFormat="false" ht="15" hidden="false" customHeight="false" outlineLevel="0" collapsed="false">
      <c r="A2424" s="15" t="str">
        <f aca="false">IF(B2424="","",ROW()-1)</f>
        <v/>
      </c>
      <c r="B2424" s="16"/>
      <c r="C2424" s="16"/>
      <c r="D2424" s="16"/>
      <c r="E2424" s="16"/>
      <c r="F2424" s="17"/>
      <c r="G2424" s="16"/>
      <c r="H2424" s="16"/>
      <c r="I2424" s="16"/>
      <c r="J2424" s="16"/>
      <c r="K2424" s="16"/>
      <c r="L2424" s="16"/>
      <c r="M2424" s="18" t="str">
        <f aca="false">IF(OR(C2424="",D2424=""),"",IF(MOD(COUNTIFS($C$2:C2424,C2424,$D$2:D2424,D2424)*7,10)&lt;3,"teste","treino"))</f>
        <v/>
      </c>
      <c r="N2424" s="16"/>
      <c r="O2424" s="16"/>
      <c r="P2424" s="16"/>
      <c r="Q2424" s="17"/>
    </row>
    <row r="2425" customFormat="false" ht="15" hidden="false" customHeight="false" outlineLevel="0" collapsed="false">
      <c r="A2425" s="15" t="str">
        <f aca="false">IF(B2425="","",ROW()-1)</f>
        <v/>
      </c>
      <c r="B2425" s="16"/>
      <c r="C2425" s="16"/>
      <c r="D2425" s="16"/>
      <c r="E2425" s="16"/>
      <c r="F2425" s="17"/>
      <c r="G2425" s="16"/>
      <c r="H2425" s="16"/>
      <c r="I2425" s="16"/>
      <c r="J2425" s="16"/>
      <c r="K2425" s="16"/>
      <c r="L2425" s="16"/>
      <c r="M2425" s="18" t="str">
        <f aca="false">IF(OR(C2425="",D2425=""),"",IF(MOD(COUNTIFS($C$2:C2425,C2425,$D$2:D2425,D2425)*7,10)&lt;3,"teste","treino"))</f>
        <v/>
      </c>
      <c r="N2425" s="16"/>
      <c r="O2425" s="16"/>
      <c r="P2425" s="16"/>
      <c r="Q2425" s="17"/>
    </row>
    <row r="2426" customFormat="false" ht="15" hidden="false" customHeight="false" outlineLevel="0" collapsed="false">
      <c r="A2426" s="15" t="str">
        <f aca="false">IF(B2426="","",ROW()-1)</f>
        <v/>
      </c>
      <c r="B2426" s="16"/>
      <c r="C2426" s="16"/>
      <c r="D2426" s="16"/>
      <c r="E2426" s="16"/>
      <c r="F2426" s="17"/>
      <c r="G2426" s="16"/>
      <c r="H2426" s="16"/>
      <c r="I2426" s="16"/>
      <c r="J2426" s="16"/>
      <c r="K2426" s="16"/>
      <c r="L2426" s="16"/>
      <c r="M2426" s="18" t="str">
        <f aca="false">IF(OR(C2426="",D2426=""),"",IF(MOD(COUNTIFS($C$2:C2426,C2426,$D$2:D2426,D2426)*7,10)&lt;3,"teste","treino"))</f>
        <v/>
      </c>
      <c r="N2426" s="16"/>
      <c r="O2426" s="16"/>
      <c r="P2426" s="16"/>
      <c r="Q2426" s="17"/>
    </row>
    <row r="2427" customFormat="false" ht="15" hidden="false" customHeight="false" outlineLevel="0" collapsed="false">
      <c r="A2427" s="15" t="str">
        <f aca="false">IF(B2427="","",ROW()-1)</f>
        <v/>
      </c>
      <c r="B2427" s="16"/>
      <c r="C2427" s="16"/>
      <c r="D2427" s="16"/>
      <c r="E2427" s="16"/>
      <c r="F2427" s="17"/>
      <c r="G2427" s="16"/>
      <c r="H2427" s="16"/>
      <c r="I2427" s="16"/>
      <c r="J2427" s="16"/>
      <c r="K2427" s="16"/>
      <c r="L2427" s="16"/>
      <c r="M2427" s="18" t="str">
        <f aca="false">IF(OR(C2427="",D2427=""),"",IF(MOD(COUNTIFS($C$2:C2427,C2427,$D$2:D2427,D2427)*7,10)&lt;3,"teste","treino"))</f>
        <v/>
      </c>
      <c r="N2427" s="16"/>
      <c r="O2427" s="16"/>
      <c r="P2427" s="16"/>
      <c r="Q2427" s="17"/>
    </row>
    <row r="2428" customFormat="false" ht="15" hidden="false" customHeight="false" outlineLevel="0" collapsed="false">
      <c r="A2428" s="15" t="str">
        <f aca="false">IF(B2428="","",ROW()-1)</f>
        <v/>
      </c>
      <c r="B2428" s="16"/>
      <c r="C2428" s="16"/>
      <c r="D2428" s="16"/>
      <c r="E2428" s="16"/>
      <c r="F2428" s="17"/>
      <c r="G2428" s="16"/>
      <c r="H2428" s="16"/>
      <c r="I2428" s="16"/>
      <c r="J2428" s="16"/>
      <c r="K2428" s="16"/>
      <c r="L2428" s="16"/>
      <c r="M2428" s="18" t="str">
        <f aca="false">IF(OR(C2428="",D2428=""),"",IF(MOD(COUNTIFS($C$2:C2428,C2428,$D$2:D2428,D2428)*7,10)&lt;3,"teste","treino"))</f>
        <v/>
      </c>
      <c r="N2428" s="16"/>
      <c r="O2428" s="16"/>
      <c r="P2428" s="16"/>
      <c r="Q2428" s="17"/>
    </row>
    <row r="2429" customFormat="false" ht="15" hidden="false" customHeight="false" outlineLevel="0" collapsed="false">
      <c r="A2429" s="15" t="str">
        <f aca="false">IF(B2429="","",ROW()-1)</f>
        <v/>
      </c>
      <c r="B2429" s="16"/>
      <c r="C2429" s="16"/>
      <c r="D2429" s="16"/>
      <c r="E2429" s="16"/>
      <c r="F2429" s="17"/>
      <c r="G2429" s="16"/>
      <c r="H2429" s="16"/>
      <c r="I2429" s="16"/>
      <c r="J2429" s="16"/>
      <c r="K2429" s="16"/>
      <c r="L2429" s="16"/>
      <c r="M2429" s="18" t="str">
        <f aca="false">IF(OR(C2429="",D2429=""),"",IF(MOD(COUNTIFS($C$2:C2429,C2429,$D$2:D2429,D2429)*7,10)&lt;3,"teste","treino"))</f>
        <v/>
      </c>
      <c r="N2429" s="16"/>
      <c r="O2429" s="16"/>
      <c r="P2429" s="16"/>
      <c r="Q2429" s="17"/>
    </row>
    <row r="2430" customFormat="false" ht="15" hidden="false" customHeight="false" outlineLevel="0" collapsed="false">
      <c r="A2430" s="15" t="str">
        <f aca="false">IF(B2430="","",ROW()-1)</f>
        <v/>
      </c>
      <c r="B2430" s="16"/>
      <c r="C2430" s="16"/>
      <c r="D2430" s="16"/>
      <c r="E2430" s="16"/>
      <c r="F2430" s="17"/>
      <c r="G2430" s="16"/>
      <c r="H2430" s="16"/>
      <c r="I2430" s="16"/>
      <c r="J2430" s="16"/>
      <c r="K2430" s="16"/>
      <c r="L2430" s="16"/>
      <c r="M2430" s="18" t="str">
        <f aca="false">IF(OR(C2430="",D2430=""),"",IF(MOD(COUNTIFS($C$2:C2430,C2430,$D$2:D2430,D2430)*7,10)&lt;3,"teste","treino"))</f>
        <v/>
      </c>
      <c r="N2430" s="16"/>
      <c r="O2430" s="16"/>
      <c r="P2430" s="16"/>
      <c r="Q2430" s="17"/>
    </row>
    <row r="2431" customFormat="false" ht="15" hidden="false" customHeight="false" outlineLevel="0" collapsed="false">
      <c r="A2431" s="15" t="str">
        <f aca="false">IF(B2431="","",ROW()-1)</f>
        <v/>
      </c>
      <c r="B2431" s="16"/>
      <c r="C2431" s="16"/>
      <c r="D2431" s="16"/>
      <c r="E2431" s="16"/>
      <c r="F2431" s="17"/>
      <c r="G2431" s="16"/>
      <c r="H2431" s="16"/>
      <c r="I2431" s="16"/>
      <c r="J2431" s="16"/>
      <c r="K2431" s="16"/>
      <c r="L2431" s="16"/>
      <c r="M2431" s="18" t="str">
        <f aca="false">IF(OR(C2431="",D2431=""),"",IF(MOD(COUNTIFS($C$2:C2431,C2431,$D$2:D2431,D2431)*7,10)&lt;3,"teste","treino"))</f>
        <v/>
      </c>
      <c r="N2431" s="16"/>
      <c r="O2431" s="16"/>
      <c r="P2431" s="16"/>
      <c r="Q2431" s="17"/>
    </row>
    <row r="2432" customFormat="false" ht="15" hidden="false" customHeight="false" outlineLevel="0" collapsed="false">
      <c r="A2432" s="15" t="str">
        <f aca="false">IF(B2432="","",ROW()-1)</f>
        <v/>
      </c>
      <c r="B2432" s="16"/>
      <c r="C2432" s="16"/>
      <c r="D2432" s="16"/>
      <c r="E2432" s="16"/>
      <c r="F2432" s="17"/>
      <c r="G2432" s="16"/>
      <c r="H2432" s="16"/>
      <c r="I2432" s="16"/>
      <c r="J2432" s="16"/>
      <c r="K2432" s="16"/>
      <c r="L2432" s="16"/>
      <c r="M2432" s="18" t="str">
        <f aca="false">IF(OR(C2432="",D2432=""),"",IF(MOD(COUNTIFS($C$2:C2432,C2432,$D$2:D2432,D2432)*7,10)&lt;3,"teste","treino"))</f>
        <v/>
      </c>
      <c r="N2432" s="16"/>
      <c r="O2432" s="16"/>
      <c r="P2432" s="16"/>
      <c r="Q2432" s="17"/>
    </row>
    <row r="2433" customFormat="false" ht="15" hidden="false" customHeight="false" outlineLevel="0" collapsed="false">
      <c r="A2433" s="15" t="str">
        <f aca="false">IF(B2433="","",ROW()-1)</f>
        <v/>
      </c>
      <c r="B2433" s="16"/>
      <c r="C2433" s="16"/>
      <c r="D2433" s="16"/>
      <c r="E2433" s="16"/>
      <c r="F2433" s="17"/>
      <c r="G2433" s="16"/>
      <c r="H2433" s="16"/>
      <c r="I2433" s="16"/>
      <c r="J2433" s="16"/>
      <c r="K2433" s="16"/>
      <c r="L2433" s="16"/>
      <c r="M2433" s="18" t="str">
        <f aca="false">IF(OR(C2433="",D2433=""),"",IF(MOD(COUNTIFS($C$2:C2433,C2433,$D$2:D2433,D2433)*7,10)&lt;3,"teste","treino"))</f>
        <v/>
      </c>
      <c r="N2433" s="16"/>
      <c r="O2433" s="16"/>
      <c r="P2433" s="16"/>
      <c r="Q2433" s="17"/>
    </row>
    <row r="2434" customFormat="false" ht="15" hidden="false" customHeight="false" outlineLevel="0" collapsed="false">
      <c r="A2434" s="15" t="str">
        <f aca="false">IF(B2434="","",ROW()-1)</f>
        <v/>
      </c>
      <c r="B2434" s="16"/>
      <c r="C2434" s="16"/>
      <c r="D2434" s="16"/>
      <c r="E2434" s="16"/>
      <c r="F2434" s="17"/>
      <c r="G2434" s="16"/>
      <c r="H2434" s="16"/>
      <c r="I2434" s="16"/>
      <c r="J2434" s="16"/>
      <c r="K2434" s="16"/>
      <c r="L2434" s="16"/>
      <c r="M2434" s="18" t="str">
        <f aca="false">IF(OR(C2434="",D2434=""),"",IF(MOD(COUNTIFS($C$2:C2434,C2434,$D$2:D2434,D2434)*7,10)&lt;3,"teste","treino"))</f>
        <v/>
      </c>
      <c r="N2434" s="16"/>
      <c r="O2434" s="16"/>
      <c r="P2434" s="16"/>
      <c r="Q2434" s="17"/>
    </row>
    <row r="2435" customFormat="false" ht="15" hidden="false" customHeight="false" outlineLevel="0" collapsed="false">
      <c r="A2435" s="15" t="str">
        <f aca="false">IF(B2435="","",ROW()-1)</f>
        <v/>
      </c>
      <c r="B2435" s="16"/>
      <c r="C2435" s="16"/>
      <c r="D2435" s="16"/>
      <c r="E2435" s="16"/>
      <c r="F2435" s="17"/>
      <c r="G2435" s="16"/>
      <c r="H2435" s="16"/>
      <c r="I2435" s="16"/>
      <c r="J2435" s="16"/>
      <c r="K2435" s="16"/>
      <c r="L2435" s="16"/>
      <c r="M2435" s="18" t="str">
        <f aca="false">IF(OR(C2435="",D2435=""),"",IF(MOD(COUNTIFS($C$2:C2435,C2435,$D$2:D2435,D2435)*7,10)&lt;3,"teste","treino"))</f>
        <v/>
      </c>
      <c r="N2435" s="16"/>
      <c r="O2435" s="16"/>
      <c r="P2435" s="16"/>
      <c r="Q2435" s="17"/>
    </row>
    <row r="2436" customFormat="false" ht="15" hidden="false" customHeight="false" outlineLevel="0" collapsed="false">
      <c r="A2436" s="15" t="str">
        <f aca="false">IF(B2436="","",ROW()-1)</f>
        <v/>
      </c>
      <c r="B2436" s="16"/>
      <c r="C2436" s="16"/>
      <c r="D2436" s="16"/>
      <c r="E2436" s="16"/>
      <c r="F2436" s="17"/>
      <c r="G2436" s="16"/>
      <c r="H2436" s="16"/>
      <c r="I2436" s="16"/>
      <c r="J2436" s="16"/>
      <c r="K2436" s="16"/>
      <c r="L2436" s="16"/>
      <c r="M2436" s="18" t="str">
        <f aca="false">IF(OR(C2436="",D2436=""),"",IF(MOD(COUNTIFS($C$2:C2436,C2436,$D$2:D2436,D2436)*7,10)&lt;3,"teste","treino"))</f>
        <v/>
      </c>
      <c r="N2436" s="16"/>
      <c r="O2436" s="16"/>
      <c r="P2436" s="16"/>
      <c r="Q2436" s="17"/>
    </row>
    <row r="2437" customFormat="false" ht="15" hidden="false" customHeight="false" outlineLevel="0" collapsed="false">
      <c r="A2437" s="15" t="str">
        <f aca="false">IF(B2437="","",ROW()-1)</f>
        <v/>
      </c>
      <c r="B2437" s="16"/>
      <c r="C2437" s="16"/>
      <c r="D2437" s="16"/>
      <c r="E2437" s="16"/>
      <c r="F2437" s="17"/>
      <c r="G2437" s="16"/>
      <c r="H2437" s="16"/>
      <c r="I2437" s="16"/>
      <c r="J2437" s="16"/>
      <c r="K2437" s="16"/>
      <c r="L2437" s="16"/>
      <c r="M2437" s="18" t="str">
        <f aca="false">IF(OR(C2437="",D2437=""),"",IF(MOD(COUNTIFS($C$2:C2437,C2437,$D$2:D2437,D2437)*7,10)&lt;3,"teste","treino"))</f>
        <v/>
      </c>
      <c r="N2437" s="16"/>
      <c r="O2437" s="16"/>
      <c r="P2437" s="16"/>
      <c r="Q2437" s="17"/>
    </row>
    <row r="2438" customFormat="false" ht="15" hidden="false" customHeight="false" outlineLevel="0" collapsed="false">
      <c r="A2438" s="15" t="str">
        <f aca="false">IF(B2438="","",ROW()-1)</f>
        <v/>
      </c>
      <c r="B2438" s="16"/>
      <c r="C2438" s="16"/>
      <c r="D2438" s="16"/>
      <c r="E2438" s="16"/>
      <c r="F2438" s="17"/>
      <c r="G2438" s="16"/>
      <c r="H2438" s="16"/>
      <c r="I2438" s="16"/>
      <c r="J2438" s="16"/>
      <c r="K2438" s="16"/>
      <c r="L2438" s="16"/>
      <c r="M2438" s="18" t="str">
        <f aca="false">IF(OR(C2438="",D2438=""),"",IF(MOD(COUNTIFS($C$2:C2438,C2438,$D$2:D2438,D2438)*7,10)&lt;3,"teste","treino"))</f>
        <v/>
      </c>
      <c r="N2438" s="16"/>
      <c r="O2438" s="16"/>
      <c r="P2438" s="16"/>
      <c r="Q2438" s="17"/>
    </row>
    <row r="2439" customFormat="false" ht="15" hidden="false" customHeight="false" outlineLevel="0" collapsed="false">
      <c r="A2439" s="15" t="str">
        <f aca="false">IF(B2439="","",ROW()-1)</f>
        <v/>
      </c>
      <c r="B2439" s="16"/>
      <c r="C2439" s="16"/>
      <c r="D2439" s="16"/>
      <c r="E2439" s="16"/>
      <c r="F2439" s="17"/>
      <c r="G2439" s="16"/>
      <c r="H2439" s="16"/>
      <c r="I2439" s="16"/>
      <c r="J2439" s="16"/>
      <c r="K2439" s="16"/>
      <c r="L2439" s="16"/>
      <c r="M2439" s="18" t="str">
        <f aca="false">IF(OR(C2439="",D2439=""),"",IF(MOD(COUNTIFS($C$2:C2439,C2439,$D$2:D2439,D2439)*7,10)&lt;3,"teste","treino"))</f>
        <v/>
      </c>
      <c r="N2439" s="16"/>
      <c r="O2439" s="16"/>
      <c r="P2439" s="16"/>
      <c r="Q2439" s="17"/>
    </row>
    <row r="2440" customFormat="false" ht="15" hidden="false" customHeight="false" outlineLevel="0" collapsed="false">
      <c r="A2440" s="15" t="str">
        <f aca="false">IF(B2440="","",ROW()-1)</f>
        <v/>
      </c>
      <c r="B2440" s="16"/>
      <c r="C2440" s="16"/>
      <c r="D2440" s="16"/>
      <c r="E2440" s="16"/>
      <c r="F2440" s="17"/>
      <c r="G2440" s="16"/>
      <c r="H2440" s="16"/>
      <c r="I2440" s="16"/>
      <c r="J2440" s="16"/>
      <c r="K2440" s="16"/>
      <c r="L2440" s="16"/>
      <c r="M2440" s="18" t="str">
        <f aca="false">IF(OR(C2440="",D2440=""),"",IF(MOD(COUNTIFS($C$2:C2440,C2440,$D$2:D2440,D2440)*7,10)&lt;3,"teste","treino"))</f>
        <v/>
      </c>
      <c r="N2440" s="16"/>
      <c r="O2440" s="16"/>
      <c r="P2440" s="16"/>
      <c r="Q2440" s="17"/>
    </row>
    <row r="2441" customFormat="false" ht="15" hidden="false" customHeight="false" outlineLevel="0" collapsed="false">
      <c r="A2441" s="15" t="str">
        <f aca="false">IF(B2441="","",ROW()-1)</f>
        <v/>
      </c>
      <c r="B2441" s="16"/>
      <c r="C2441" s="16"/>
      <c r="D2441" s="16"/>
      <c r="E2441" s="16"/>
      <c r="F2441" s="17"/>
      <c r="G2441" s="16"/>
      <c r="H2441" s="16"/>
      <c r="I2441" s="16"/>
      <c r="J2441" s="16"/>
      <c r="K2441" s="16"/>
      <c r="L2441" s="16"/>
      <c r="M2441" s="18" t="str">
        <f aca="false">IF(OR(C2441="",D2441=""),"",IF(MOD(COUNTIFS($C$2:C2441,C2441,$D$2:D2441,D2441)*7,10)&lt;3,"teste","treino"))</f>
        <v/>
      </c>
      <c r="N2441" s="16"/>
      <c r="O2441" s="16"/>
      <c r="P2441" s="16"/>
      <c r="Q2441" s="17"/>
    </row>
    <row r="2442" customFormat="false" ht="15" hidden="false" customHeight="false" outlineLevel="0" collapsed="false">
      <c r="A2442" s="15" t="str">
        <f aca="false">IF(B2442="","",ROW()-1)</f>
        <v/>
      </c>
      <c r="B2442" s="16"/>
      <c r="C2442" s="16"/>
      <c r="D2442" s="16"/>
      <c r="E2442" s="16"/>
      <c r="F2442" s="17"/>
      <c r="G2442" s="16"/>
      <c r="H2442" s="16"/>
      <c r="I2442" s="16"/>
      <c r="J2442" s="16"/>
      <c r="K2442" s="16"/>
      <c r="L2442" s="16"/>
      <c r="M2442" s="18" t="str">
        <f aca="false">IF(OR(C2442="",D2442=""),"",IF(MOD(COUNTIFS($C$2:C2442,C2442,$D$2:D2442,D2442)*7,10)&lt;3,"teste","treino"))</f>
        <v/>
      </c>
      <c r="N2442" s="16"/>
      <c r="O2442" s="16"/>
      <c r="P2442" s="16"/>
      <c r="Q2442" s="17"/>
    </row>
    <row r="2443" customFormat="false" ht="15" hidden="false" customHeight="false" outlineLevel="0" collapsed="false">
      <c r="A2443" s="15" t="str">
        <f aca="false">IF(B2443="","",ROW()-1)</f>
        <v/>
      </c>
      <c r="B2443" s="16"/>
      <c r="C2443" s="16"/>
      <c r="D2443" s="16"/>
      <c r="E2443" s="16"/>
      <c r="F2443" s="17"/>
      <c r="G2443" s="16"/>
      <c r="H2443" s="16"/>
      <c r="I2443" s="16"/>
      <c r="J2443" s="16"/>
      <c r="K2443" s="16"/>
      <c r="L2443" s="16"/>
      <c r="M2443" s="18" t="str">
        <f aca="false">IF(OR(C2443="",D2443=""),"",IF(MOD(COUNTIFS($C$2:C2443,C2443,$D$2:D2443,D2443)*7,10)&lt;3,"teste","treino"))</f>
        <v/>
      </c>
      <c r="N2443" s="16"/>
      <c r="O2443" s="16"/>
      <c r="P2443" s="16"/>
      <c r="Q2443" s="17"/>
    </row>
    <row r="2444" customFormat="false" ht="15" hidden="false" customHeight="false" outlineLevel="0" collapsed="false">
      <c r="A2444" s="15" t="str">
        <f aca="false">IF(B2444="","",ROW()-1)</f>
        <v/>
      </c>
      <c r="B2444" s="16"/>
      <c r="C2444" s="16"/>
      <c r="D2444" s="16"/>
      <c r="E2444" s="16"/>
      <c r="F2444" s="17"/>
      <c r="G2444" s="16"/>
      <c r="H2444" s="16"/>
      <c r="I2444" s="16"/>
      <c r="J2444" s="16"/>
      <c r="K2444" s="16"/>
      <c r="L2444" s="16"/>
      <c r="M2444" s="18" t="str">
        <f aca="false">IF(OR(C2444="",D2444=""),"",IF(MOD(COUNTIFS($C$2:C2444,C2444,$D$2:D2444,D2444)*7,10)&lt;3,"teste","treino"))</f>
        <v/>
      </c>
      <c r="N2444" s="16"/>
      <c r="O2444" s="16"/>
      <c r="P2444" s="16"/>
      <c r="Q2444" s="17"/>
    </row>
    <row r="2445" customFormat="false" ht="15" hidden="false" customHeight="false" outlineLevel="0" collapsed="false">
      <c r="A2445" s="15" t="str">
        <f aca="false">IF(B2445="","",ROW()-1)</f>
        <v/>
      </c>
      <c r="B2445" s="16"/>
      <c r="C2445" s="16"/>
      <c r="D2445" s="16"/>
      <c r="E2445" s="16"/>
      <c r="F2445" s="17"/>
      <c r="G2445" s="16"/>
      <c r="H2445" s="16"/>
      <c r="I2445" s="16"/>
      <c r="J2445" s="16"/>
      <c r="K2445" s="16"/>
      <c r="L2445" s="16"/>
      <c r="M2445" s="18" t="str">
        <f aca="false">IF(OR(C2445="",D2445=""),"",IF(MOD(COUNTIFS($C$2:C2445,C2445,$D$2:D2445,D2445)*7,10)&lt;3,"teste","treino"))</f>
        <v/>
      </c>
      <c r="N2445" s="16"/>
      <c r="O2445" s="16"/>
      <c r="P2445" s="16"/>
      <c r="Q2445" s="17"/>
    </row>
    <row r="2446" customFormat="false" ht="15" hidden="false" customHeight="false" outlineLevel="0" collapsed="false">
      <c r="A2446" s="15" t="str">
        <f aca="false">IF(B2446="","",ROW()-1)</f>
        <v/>
      </c>
      <c r="B2446" s="16"/>
      <c r="C2446" s="16"/>
      <c r="D2446" s="16"/>
      <c r="E2446" s="16"/>
      <c r="F2446" s="17"/>
      <c r="G2446" s="16"/>
      <c r="H2446" s="16"/>
      <c r="I2446" s="16"/>
      <c r="J2446" s="16"/>
      <c r="K2446" s="16"/>
      <c r="L2446" s="16"/>
      <c r="M2446" s="18" t="str">
        <f aca="false">IF(OR(C2446="",D2446=""),"",IF(MOD(COUNTIFS($C$2:C2446,C2446,$D$2:D2446,D2446)*7,10)&lt;3,"teste","treino"))</f>
        <v/>
      </c>
      <c r="N2446" s="16"/>
      <c r="O2446" s="16"/>
      <c r="P2446" s="16"/>
      <c r="Q2446" s="17"/>
    </row>
    <row r="2447" customFormat="false" ht="15" hidden="false" customHeight="false" outlineLevel="0" collapsed="false">
      <c r="A2447" s="15" t="str">
        <f aca="false">IF(B2447="","",ROW()-1)</f>
        <v/>
      </c>
      <c r="B2447" s="16"/>
      <c r="C2447" s="16"/>
      <c r="D2447" s="16"/>
      <c r="E2447" s="16"/>
      <c r="F2447" s="17"/>
      <c r="G2447" s="16"/>
      <c r="H2447" s="16"/>
      <c r="I2447" s="16"/>
      <c r="J2447" s="16"/>
      <c r="K2447" s="16"/>
      <c r="L2447" s="16"/>
      <c r="M2447" s="18" t="str">
        <f aca="false">IF(OR(C2447="",D2447=""),"",IF(MOD(COUNTIFS($C$2:C2447,C2447,$D$2:D2447,D2447)*7,10)&lt;3,"teste","treino"))</f>
        <v/>
      </c>
      <c r="N2447" s="16"/>
      <c r="O2447" s="16"/>
      <c r="P2447" s="16"/>
      <c r="Q2447" s="17"/>
    </row>
    <row r="2448" customFormat="false" ht="15" hidden="false" customHeight="false" outlineLevel="0" collapsed="false">
      <c r="A2448" s="15" t="str">
        <f aca="false">IF(B2448="","",ROW()-1)</f>
        <v/>
      </c>
      <c r="B2448" s="16"/>
      <c r="C2448" s="16"/>
      <c r="D2448" s="16"/>
      <c r="E2448" s="16"/>
      <c r="F2448" s="17"/>
      <c r="G2448" s="16"/>
      <c r="H2448" s="16"/>
      <c r="I2448" s="16"/>
      <c r="J2448" s="16"/>
      <c r="K2448" s="16"/>
      <c r="L2448" s="16"/>
      <c r="M2448" s="18" t="str">
        <f aca="false">IF(OR(C2448="",D2448=""),"",IF(MOD(COUNTIFS($C$2:C2448,C2448,$D$2:D2448,D2448)*7,10)&lt;3,"teste","treino"))</f>
        <v/>
      </c>
      <c r="N2448" s="16"/>
      <c r="O2448" s="16"/>
      <c r="P2448" s="16"/>
      <c r="Q2448" s="17"/>
    </row>
    <row r="2449" customFormat="false" ht="15" hidden="false" customHeight="false" outlineLevel="0" collapsed="false">
      <c r="A2449" s="15" t="str">
        <f aca="false">IF(B2449="","",ROW()-1)</f>
        <v/>
      </c>
      <c r="B2449" s="16"/>
      <c r="C2449" s="16"/>
      <c r="D2449" s="16"/>
      <c r="E2449" s="16"/>
      <c r="F2449" s="17"/>
      <c r="G2449" s="16"/>
      <c r="H2449" s="16"/>
      <c r="I2449" s="16"/>
      <c r="J2449" s="16"/>
      <c r="K2449" s="16"/>
      <c r="L2449" s="16"/>
      <c r="M2449" s="18" t="str">
        <f aca="false">IF(OR(C2449="",D2449=""),"",IF(MOD(COUNTIFS($C$2:C2449,C2449,$D$2:D2449,D2449)*7,10)&lt;3,"teste","treino"))</f>
        <v/>
      </c>
      <c r="N2449" s="16"/>
      <c r="O2449" s="16"/>
      <c r="P2449" s="16"/>
      <c r="Q2449" s="17"/>
    </row>
    <row r="2450" customFormat="false" ht="15" hidden="false" customHeight="false" outlineLevel="0" collapsed="false">
      <c r="A2450" s="15" t="str">
        <f aca="false">IF(B2450="","",ROW()-1)</f>
        <v/>
      </c>
      <c r="B2450" s="16"/>
      <c r="C2450" s="16"/>
      <c r="D2450" s="16"/>
      <c r="E2450" s="16"/>
      <c r="F2450" s="17"/>
      <c r="G2450" s="16"/>
      <c r="H2450" s="16"/>
      <c r="I2450" s="16"/>
      <c r="J2450" s="16"/>
      <c r="K2450" s="16"/>
      <c r="L2450" s="16"/>
      <c r="M2450" s="18" t="str">
        <f aca="false">IF(OR(C2450="",D2450=""),"",IF(MOD(COUNTIFS($C$2:C2450,C2450,$D$2:D2450,D2450)*7,10)&lt;3,"teste","treino"))</f>
        <v/>
      </c>
      <c r="N2450" s="16"/>
      <c r="O2450" s="16"/>
      <c r="P2450" s="16"/>
      <c r="Q2450" s="17"/>
    </row>
    <row r="2451" customFormat="false" ht="15" hidden="false" customHeight="false" outlineLevel="0" collapsed="false">
      <c r="A2451" s="15" t="str">
        <f aca="false">IF(B2451="","",ROW()-1)</f>
        <v/>
      </c>
      <c r="B2451" s="16"/>
      <c r="C2451" s="16"/>
      <c r="D2451" s="16"/>
      <c r="E2451" s="16"/>
      <c r="F2451" s="17"/>
      <c r="G2451" s="16"/>
      <c r="H2451" s="16"/>
      <c r="I2451" s="16"/>
      <c r="J2451" s="16"/>
      <c r="K2451" s="16"/>
      <c r="L2451" s="16"/>
      <c r="M2451" s="18" t="str">
        <f aca="false">IF(OR(C2451="",D2451=""),"",IF(MOD(COUNTIFS($C$2:C2451,C2451,$D$2:D2451,D2451)*7,10)&lt;3,"teste","treino"))</f>
        <v/>
      </c>
      <c r="N2451" s="16"/>
      <c r="O2451" s="16"/>
      <c r="P2451" s="16"/>
      <c r="Q2451" s="17"/>
    </row>
    <row r="2452" customFormat="false" ht="15" hidden="false" customHeight="false" outlineLevel="0" collapsed="false">
      <c r="A2452" s="15" t="str">
        <f aca="false">IF(B2452="","",ROW()-1)</f>
        <v/>
      </c>
      <c r="B2452" s="16"/>
      <c r="C2452" s="16"/>
      <c r="D2452" s="16"/>
      <c r="E2452" s="16"/>
      <c r="F2452" s="17"/>
      <c r="G2452" s="16"/>
      <c r="H2452" s="16"/>
      <c r="I2452" s="16"/>
      <c r="J2452" s="16"/>
      <c r="K2452" s="16"/>
      <c r="L2452" s="16"/>
      <c r="M2452" s="18" t="str">
        <f aca="false">IF(OR(C2452="",D2452=""),"",IF(MOD(COUNTIFS($C$2:C2452,C2452,$D$2:D2452,D2452)*7,10)&lt;3,"teste","treino"))</f>
        <v/>
      </c>
      <c r="N2452" s="16"/>
      <c r="O2452" s="16"/>
      <c r="P2452" s="16"/>
      <c r="Q2452" s="17"/>
    </row>
    <row r="2453" customFormat="false" ht="15" hidden="false" customHeight="false" outlineLevel="0" collapsed="false">
      <c r="A2453" s="15" t="str">
        <f aca="false">IF(B2453="","",ROW()-1)</f>
        <v/>
      </c>
      <c r="B2453" s="16"/>
      <c r="C2453" s="16"/>
      <c r="D2453" s="16"/>
      <c r="E2453" s="16"/>
      <c r="F2453" s="17"/>
      <c r="G2453" s="16"/>
      <c r="H2453" s="16"/>
      <c r="I2453" s="16"/>
      <c r="J2453" s="16"/>
      <c r="K2453" s="16"/>
      <c r="L2453" s="16"/>
      <c r="M2453" s="18" t="str">
        <f aca="false">IF(OR(C2453="",D2453=""),"",IF(MOD(COUNTIFS($C$2:C2453,C2453,$D$2:D2453,D2453)*7,10)&lt;3,"teste","treino"))</f>
        <v/>
      </c>
      <c r="N2453" s="16"/>
      <c r="O2453" s="16"/>
      <c r="P2453" s="16"/>
      <c r="Q2453" s="17"/>
    </row>
    <row r="2454" customFormat="false" ht="15" hidden="false" customHeight="false" outlineLevel="0" collapsed="false">
      <c r="A2454" s="15" t="str">
        <f aca="false">IF(B2454="","",ROW()-1)</f>
        <v/>
      </c>
      <c r="B2454" s="16"/>
      <c r="C2454" s="16"/>
      <c r="D2454" s="16"/>
      <c r="E2454" s="16"/>
      <c r="F2454" s="17"/>
      <c r="G2454" s="16"/>
      <c r="H2454" s="16"/>
      <c r="I2454" s="16"/>
      <c r="J2454" s="16"/>
      <c r="K2454" s="16"/>
      <c r="L2454" s="16"/>
      <c r="M2454" s="18" t="str">
        <f aca="false">IF(OR(C2454="",D2454=""),"",IF(MOD(COUNTIFS($C$2:C2454,C2454,$D$2:D2454,D2454)*7,10)&lt;3,"teste","treino"))</f>
        <v/>
      </c>
      <c r="N2454" s="16"/>
      <c r="O2454" s="16"/>
      <c r="P2454" s="16"/>
      <c r="Q2454" s="17"/>
    </row>
    <row r="2455" customFormat="false" ht="15" hidden="false" customHeight="false" outlineLevel="0" collapsed="false">
      <c r="A2455" s="15" t="str">
        <f aca="false">IF(B2455="","",ROW()-1)</f>
        <v/>
      </c>
      <c r="B2455" s="16"/>
      <c r="C2455" s="16"/>
      <c r="D2455" s="16"/>
      <c r="E2455" s="16"/>
      <c r="F2455" s="17"/>
      <c r="G2455" s="16"/>
      <c r="H2455" s="16"/>
      <c r="I2455" s="16"/>
      <c r="J2455" s="16"/>
      <c r="K2455" s="16"/>
      <c r="L2455" s="16"/>
      <c r="M2455" s="18" t="str">
        <f aca="false">IF(OR(C2455="",D2455=""),"",IF(MOD(COUNTIFS($C$2:C2455,C2455,$D$2:D2455,D2455)*7,10)&lt;3,"teste","treino"))</f>
        <v/>
      </c>
      <c r="N2455" s="16"/>
      <c r="O2455" s="16"/>
      <c r="P2455" s="16"/>
      <c r="Q2455" s="17"/>
    </row>
    <row r="2456" customFormat="false" ht="15" hidden="false" customHeight="false" outlineLevel="0" collapsed="false">
      <c r="A2456" s="15" t="str">
        <f aca="false">IF(B2456="","",ROW()-1)</f>
        <v/>
      </c>
      <c r="B2456" s="16"/>
      <c r="C2456" s="16"/>
      <c r="D2456" s="16"/>
      <c r="E2456" s="16"/>
      <c r="F2456" s="17"/>
      <c r="G2456" s="16"/>
      <c r="H2456" s="16"/>
      <c r="I2456" s="16"/>
      <c r="J2456" s="16"/>
      <c r="K2456" s="16"/>
      <c r="L2456" s="16"/>
      <c r="M2456" s="18" t="str">
        <f aca="false">IF(OR(C2456="",D2456=""),"",IF(MOD(COUNTIFS($C$2:C2456,C2456,$D$2:D2456,D2456)*7,10)&lt;3,"teste","treino"))</f>
        <v/>
      </c>
      <c r="N2456" s="16"/>
      <c r="O2456" s="16"/>
      <c r="P2456" s="16"/>
      <c r="Q2456" s="17"/>
    </row>
    <row r="2457" customFormat="false" ht="15" hidden="false" customHeight="false" outlineLevel="0" collapsed="false">
      <c r="A2457" s="15" t="str">
        <f aca="false">IF(B2457="","",ROW()-1)</f>
        <v/>
      </c>
      <c r="B2457" s="16"/>
      <c r="C2457" s="16"/>
      <c r="D2457" s="16"/>
      <c r="E2457" s="16"/>
      <c r="F2457" s="17"/>
      <c r="G2457" s="16"/>
      <c r="H2457" s="16"/>
      <c r="I2457" s="16"/>
      <c r="J2457" s="16"/>
      <c r="K2457" s="16"/>
      <c r="L2457" s="16"/>
      <c r="M2457" s="18" t="str">
        <f aca="false">IF(OR(C2457="",D2457=""),"",IF(MOD(COUNTIFS($C$2:C2457,C2457,$D$2:D2457,D2457)*7,10)&lt;3,"teste","treino"))</f>
        <v/>
      </c>
      <c r="N2457" s="16"/>
      <c r="O2457" s="16"/>
      <c r="P2457" s="16"/>
      <c r="Q2457" s="17"/>
    </row>
    <row r="2458" customFormat="false" ht="15" hidden="false" customHeight="false" outlineLevel="0" collapsed="false">
      <c r="A2458" s="15" t="str">
        <f aca="false">IF(B2458="","",ROW()-1)</f>
        <v/>
      </c>
      <c r="B2458" s="16"/>
      <c r="C2458" s="16"/>
      <c r="D2458" s="16"/>
      <c r="E2458" s="16"/>
      <c r="F2458" s="17"/>
      <c r="G2458" s="16"/>
      <c r="H2458" s="16"/>
      <c r="I2458" s="16"/>
      <c r="J2458" s="16"/>
      <c r="K2458" s="16"/>
      <c r="L2458" s="16"/>
      <c r="M2458" s="18" t="str">
        <f aca="false">IF(OR(C2458="",D2458=""),"",IF(MOD(COUNTIFS($C$2:C2458,C2458,$D$2:D2458,D2458)*7,10)&lt;3,"teste","treino"))</f>
        <v/>
      </c>
      <c r="N2458" s="16"/>
      <c r="O2458" s="16"/>
      <c r="P2458" s="16"/>
      <c r="Q2458" s="17"/>
    </row>
    <row r="2459" customFormat="false" ht="15" hidden="false" customHeight="false" outlineLevel="0" collapsed="false">
      <c r="A2459" s="15" t="str">
        <f aca="false">IF(B2459="","",ROW()-1)</f>
        <v/>
      </c>
      <c r="B2459" s="16"/>
      <c r="C2459" s="16"/>
      <c r="D2459" s="16"/>
      <c r="E2459" s="16"/>
      <c r="F2459" s="17"/>
      <c r="G2459" s="16"/>
      <c r="H2459" s="16"/>
      <c r="I2459" s="16"/>
      <c r="J2459" s="16"/>
      <c r="K2459" s="16"/>
      <c r="L2459" s="16"/>
      <c r="M2459" s="18" t="str">
        <f aca="false">IF(OR(C2459="",D2459=""),"",IF(MOD(COUNTIFS($C$2:C2459,C2459,$D$2:D2459,D2459)*7,10)&lt;3,"teste","treino"))</f>
        <v/>
      </c>
      <c r="N2459" s="16"/>
      <c r="O2459" s="16"/>
      <c r="P2459" s="16"/>
      <c r="Q2459" s="17"/>
    </row>
    <row r="2460" customFormat="false" ht="15" hidden="false" customHeight="false" outlineLevel="0" collapsed="false">
      <c r="A2460" s="15" t="str">
        <f aca="false">IF(B2460="","",ROW()-1)</f>
        <v/>
      </c>
      <c r="B2460" s="16"/>
      <c r="C2460" s="16"/>
      <c r="D2460" s="16"/>
      <c r="E2460" s="16"/>
      <c r="F2460" s="17"/>
      <c r="G2460" s="16"/>
      <c r="H2460" s="16"/>
      <c r="I2460" s="16"/>
      <c r="J2460" s="16"/>
      <c r="K2460" s="16"/>
      <c r="L2460" s="16"/>
      <c r="M2460" s="18" t="str">
        <f aca="false">IF(OR(C2460="",D2460=""),"",IF(MOD(COUNTIFS($C$2:C2460,C2460,$D$2:D2460,D2460)*7,10)&lt;3,"teste","treino"))</f>
        <v/>
      </c>
      <c r="N2460" s="16"/>
      <c r="O2460" s="16"/>
      <c r="P2460" s="16"/>
      <c r="Q2460" s="17"/>
    </row>
    <row r="2461" customFormat="false" ht="15" hidden="false" customHeight="false" outlineLevel="0" collapsed="false">
      <c r="A2461" s="15" t="str">
        <f aca="false">IF(B2461="","",ROW()-1)</f>
        <v/>
      </c>
      <c r="B2461" s="16"/>
      <c r="C2461" s="16"/>
      <c r="D2461" s="16"/>
      <c r="E2461" s="16"/>
      <c r="F2461" s="17"/>
      <c r="G2461" s="16"/>
      <c r="H2461" s="16"/>
      <c r="I2461" s="16"/>
      <c r="J2461" s="16"/>
      <c r="K2461" s="16"/>
      <c r="L2461" s="16"/>
      <c r="M2461" s="18" t="str">
        <f aca="false">IF(OR(C2461="",D2461=""),"",IF(MOD(COUNTIFS($C$2:C2461,C2461,$D$2:D2461,D2461)*7,10)&lt;3,"teste","treino"))</f>
        <v/>
      </c>
      <c r="N2461" s="16"/>
      <c r="O2461" s="16"/>
      <c r="P2461" s="16"/>
      <c r="Q2461" s="17"/>
    </row>
    <row r="2462" customFormat="false" ht="15" hidden="false" customHeight="false" outlineLevel="0" collapsed="false">
      <c r="A2462" s="15" t="str">
        <f aca="false">IF(B2462="","",ROW()-1)</f>
        <v/>
      </c>
      <c r="B2462" s="16"/>
      <c r="C2462" s="16"/>
      <c r="D2462" s="16"/>
      <c r="E2462" s="16"/>
      <c r="F2462" s="17"/>
      <c r="G2462" s="16"/>
      <c r="H2462" s="16"/>
      <c r="I2462" s="16"/>
      <c r="J2462" s="16"/>
      <c r="K2462" s="16"/>
      <c r="L2462" s="16"/>
      <c r="M2462" s="18" t="str">
        <f aca="false">IF(OR(C2462="",D2462=""),"",IF(MOD(COUNTIFS($C$2:C2462,C2462,$D$2:D2462,D2462)*7,10)&lt;3,"teste","treino"))</f>
        <v/>
      </c>
      <c r="N2462" s="16"/>
      <c r="O2462" s="16"/>
      <c r="P2462" s="16"/>
      <c r="Q2462" s="17"/>
    </row>
    <row r="2463" customFormat="false" ht="15" hidden="false" customHeight="false" outlineLevel="0" collapsed="false">
      <c r="A2463" s="15" t="str">
        <f aca="false">IF(B2463="","",ROW()-1)</f>
        <v/>
      </c>
      <c r="B2463" s="16"/>
      <c r="C2463" s="16"/>
      <c r="D2463" s="16"/>
      <c r="E2463" s="16"/>
      <c r="F2463" s="17"/>
      <c r="G2463" s="16"/>
      <c r="H2463" s="16"/>
      <c r="I2463" s="16"/>
      <c r="J2463" s="16"/>
      <c r="K2463" s="16"/>
      <c r="L2463" s="16"/>
      <c r="M2463" s="18" t="str">
        <f aca="false">IF(OR(C2463="",D2463=""),"",IF(MOD(COUNTIFS($C$2:C2463,C2463,$D$2:D2463,D2463)*7,10)&lt;3,"teste","treino"))</f>
        <v/>
      </c>
      <c r="N2463" s="16"/>
      <c r="O2463" s="16"/>
      <c r="P2463" s="16"/>
      <c r="Q2463" s="17"/>
    </row>
    <row r="2464" customFormat="false" ht="15" hidden="false" customHeight="false" outlineLevel="0" collapsed="false">
      <c r="A2464" s="15" t="str">
        <f aca="false">IF(B2464="","",ROW()-1)</f>
        <v/>
      </c>
      <c r="B2464" s="16"/>
      <c r="C2464" s="16"/>
      <c r="D2464" s="16"/>
      <c r="E2464" s="16"/>
      <c r="F2464" s="17"/>
      <c r="G2464" s="16"/>
      <c r="H2464" s="16"/>
      <c r="I2464" s="16"/>
      <c r="J2464" s="16"/>
      <c r="K2464" s="16"/>
      <c r="L2464" s="16"/>
      <c r="M2464" s="18" t="str">
        <f aca="false">IF(OR(C2464="",D2464=""),"",IF(MOD(COUNTIFS($C$2:C2464,C2464,$D$2:D2464,D2464)*7,10)&lt;3,"teste","treino"))</f>
        <v/>
      </c>
      <c r="N2464" s="16"/>
      <c r="O2464" s="16"/>
      <c r="P2464" s="16"/>
      <c r="Q2464" s="17"/>
    </row>
    <row r="2465" customFormat="false" ht="15" hidden="false" customHeight="false" outlineLevel="0" collapsed="false">
      <c r="A2465" s="15" t="str">
        <f aca="false">IF(B2465="","",ROW()-1)</f>
        <v/>
      </c>
      <c r="B2465" s="16"/>
      <c r="C2465" s="16"/>
      <c r="D2465" s="16"/>
      <c r="E2465" s="16"/>
      <c r="F2465" s="17"/>
      <c r="G2465" s="16"/>
      <c r="H2465" s="16"/>
      <c r="I2465" s="16"/>
      <c r="J2465" s="16"/>
      <c r="K2465" s="16"/>
      <c r="L2465" s="16"/>
      <c r="M2465" s="18" t="str">
        <f aca="false">IF(OR(C2465="",D2465=""),"",IF(MOD(COUNTIFS($C$2:C2465,C2465,$D$2:D2465,D2465)*7,10)&lt;3,"teste","treino"))</f>
        <v/>
      </c>
      <c r="N2465" s="16"/>
      <c r="O2465" s="16"/>
      <c r="P2465" s="16"/>
      <c r="Q2465" s="17"/>
    </row>
    <row r="2466" customFormat="false" ht="15" hidden="false" customHeight="false" outlineLevel="0" collapsed="false">
      <c r="A2466" s="15" t="str">
        <f aca="false">IF(B2466="","",ROW()-1)</f>
        <v/>
      </c>
      <c r="B2466" s="16"/>
      <c r="C2466" s="16"/>
      <c r="D2466" s="16"/>
      <c r="E2466" s="16"/>
      <c r="F2466" s="17"/>
      <c r="G2466" s="16"/>
      <c r="H2466" s="16"/>
      <c r="I2466" s="16"/>
      <c r="J2466" s="16"/>
      <c r="K2466" s="16"/>
      <c r="L2466" s="16"/>
      <c r="M2466" s="18" t="str">
        <f aca="false">IF(OR(C2466="",D2466=""),"",IF(MOD(COUNTIFS($C$2:C2466,C2466,$D$2:D2466,D2466)*7,10)&lt;3,"teste","treino"))</f>
        <v/>
      </c>
      <c r="N2466" s="16"/>
      <c r="O2466" s="16"/>
      <c r="P2466" s="16"/>
      <c r="Q2466" s="17"/>
    </row>
    <row r="2467" customFormat="false" ht="15" hidden="false" customHeight="false" outlineLevel="0" collapsed="false">
      <c r="A2467" s="15" t="str">
        <f aca="false">IF(B2467="","",ROW()-1)</f>
        <v/>
      </c>
      <c r="B2467" s="16"/>
      <c r="C2467" s="16"/>
      <c r="D2467" s="16"/>
      <c r="E2467" s="16"/>
      <c r="F2467" s="17"/>
      <c r="G2467" s="16"/>
      <c r="H2467" s="16"/>
      <c r="I2467" s="16"/>
      <c r="J2467" s="16"/>
      <c r="K2467" s="16"/>
      <c r="L2467" s="16"/>
      <c r="M2467" s="18" t="str">
        <f aca="false">IF(OR(C2467="",D2467=""),"",IF(MOD(COUNTIFS($C$2:C2467,C2467,$D$2:D2467,D2467)*7,10)&lt;3,"teste","treino"))</f>
        <v/>
      </c>
      <c r="N2467" s="16"/>
      <c r="O2467" s="16"/>
      <c r="P2467" s="16"/>
      <c r="Q2467" s="17"/>
    </row>
    <row r="2468" customFormat="false" ht="15" hidden="false" customHeight="false" outlineLevel="0" collapsed="false">
      <c r="A2468" s="15" t="str">
        <f aca="false">IF(B2468="","",ROW()-1)</f>
        <v/>
      </c>
      <c r="B2468" s="16"/>
      <c r="C2468" s="16"/>
      <c r="D2468" s="16"/>
      <c r="E2468" s="16"/>
      <c r="F2468" s="17"/>
      <c r="G2468" s="16"/>
      <c r="H2468" s="16"/>
      <c r="I2468" s="16"/>
      <c r="J2468" s="16"/>
      <c r="K2468" s="16"/>
      <c r="L2468" s="16"/>
      <c r="M2468" s="18" t="str">
        <f aca="false">IF(OR(C2468="",D2468=""),"",IF(MOD(COUNTIFS($C$2:C2468,C2468,$D$2:D2468,D2468)*7,10)&lt;3,"teste","treino"))</f>
        <v/>
      </c>
      <c r="N2468" s="16"/>
      <c r="O2468" s="16"/>
      <c r="P2468" s="16"/>
      <c r="Q2468" s="17"/>
    </row>
    <row r="2469" customFormat="false" ht="15" hidden="false" customHeight="false" outlineLevel="0" collapsed="false">
      <c r="A2469" s="15" t="str">
        <f aca="false">IF(B2469="","",ROW()-1)</f>
        <v/>
      </c>
      <c r="B2469" s="16"/>
      <c r="C2469" s="16"/>
      <c r="D2469" s="16"/>
      <c r="E2469" s="16"/>
      <c r="F2469" s="17"/>
      <c r="G2469" s="16"/>
      <c r="H2469" s="16"/>
      <c r="I2469" s="16"/>
      <c r="J2469" s="16"/>
      <c r="K2469" s="16"/>
      <c r="L2469" s="16"/>
      <c r="M2469" s="18" t="str">
        <f aca="false">IF(OR(C2469="",D2469=""),"",IF(MOD(COUNTIFS($C$2:C2469,C2469,$D$2:D2469,D2469)*7,10)&lt;3,"teste","treino"))</f>
        <v/>
      </c>
      <c r="N2469" s="16"/>
      <c r="O2469" s="16"/>
      <c r="P2469" s="16"/>
      <c r="Q2469" s="17"/>
    </row>
    <row r="2470" customFormat="false" ht="15" hidden="false" customHeight="false" outlineLevel="0" collapsed="false">
      <c r="A2470" s="15" t="str">
        <f aca="false">IF(B2470="","",ROW()-1)</f>
        <v/>
      </c>
      <c r="B2470" s="16"/>
      <c r="C2470" s="16"/>
      <c r="D2470" s="16"/>
      <c r="E2470" s="16"/>
      <c r="F2470" s="17"/>
      <c r="G2470" s="16"/>
      <c r="H2470" s="16"/>
      <c r="I2470" s="16"/>
      <c r="J2470" s="16"/>
      <c r="K2470" s="16"/>
      <c r="L2470" s="16"/>
      <c r="M2470" s="18" t="str">
        <f aca="false">IF(OR(C2470="",D2470=""),"",IF(MOD(COUNTIFS($C$2:C2470,C2470,$D$2:D2470,D2470)*7,10)&lt;3,"teste","treino"))</f>
        <v/>
      </c>
      <c r="N2470" s="16"/>
      <c r="O2470" s="16"/>
      <c r="P2470" s="16"/>
      <c r="Q2470" s="17"/>
    </row>
    <row r="2471" customFormat="false" ht="15" hidden="false" customHeight="false" outlineLevel="0" collapsed="false">
      <c r="A2471" s="15" t="str">
        <f aca="false">IF(B2471="","",ROW()-1)</f>
        <v/>
      </c>
      <c r="B2471" s="16"/>
      <c r="C2471" s="16"/>
      <c r="D2471" s="16"/>
      <c r="E2471" s="16"/>
      <c r="F2471" s="17"/>
      <c r="G2471" s="16"/>
      <c r="H2471" s="16"/>
      <c r="I2471" s="16"/>
      <c r="J2471" s="16"/>
      <c r="K2471" s="16"/>
      <c r="L2471" s="16"/>
      <c r="M2471" s="18" t="str">
        <f aca="false">IF(OR(C2471="",D2471=""),"",IF(MOD(COUNTIFS($C$2:C2471,C2471,$D$2:D2471,D2471)*7,10)&lt;3,"teste","treino"))</f>
        <v/>
      </c>
      <c r="N2471" s="16"/>
      <c r="O2471" s="16"/>
      <c r="P2471" s="16"/>
      <c r="Q2471" s="17"/>
    </row>
    <row r="2472" customFormat="false" ht="15" hidden="false" customHeight="false" outlineLevel="0" collapsed="false">
      <c r="A2472" s="15" t="str">
        <f aca="false">IF(B2472="","",ROW()-1)</f>
        <v/>
      </c>
      <c r="B2472" s="16"/>
      <c r="C2472" s="16"/>
      <c r="D2472" s="16"/>
      <c r="E2472" s="16"/>
      <c r="F2472" s="17"/>
      <c r="G2472" s="16"/>
      <c r="H2472" s="16"/>
      <c r="I2472" s="16"/>
      <c r="J2472" s="16"/>
      <c r="K2472" s="16"/>
      <c r="L2472" s="16"/>
      <c r="M2472" s="18" t="str">
        <f aca="false">IF(OR(C2472="",D2472=""),"",IF(MOD(COUNTIFS($C$2:C2472,C2472,$D$2:D2472,D2472)*7,10)&lt;3,"teste","treino"))</f>
        <v/>
      </c>
      <c r="N2472" s="16"/>
      <c r="O2472" s="16"/>
      <c r="P2472" s="16"/>
      <c r="Q2472" s="17"/>
    </row>
    <row r="2473" customFormat="false" ht="15" hidden="false" customHeight="false" outlineLevel="0" collapsed="false">
      <c r="A2473" s="15" t="str">
        <f aca="false">IF(B2473="","",ROW()-1)</f>
        <v/>
      </c>
      <c r="B2473" s="16"/>
      <c r="C2473" s="16"/>
      <c r="D2473" s="16"/>
      <c r="E2473" s="16"/>
      <c r="F2473" s="17"/>
      <c r="G2473" s="16"/>
      <c r="H2473" s="16"/>
      <c r="I2473" s="16"/>
      <c r="J2473" s="16"/>
      <c r="K2473" s="16"/>
      <c r="L2473" s="16"/>
      <c r="M2473" s="18" t="str">
        <f aca="false">IF(OR(C2473="",D2473=""),"",IF(MOD(COUNTIFS($C$2:C2473,C2473,$D$2:D2473,D2473)*7,10)&lt;3,"teste","treino"))</f>
        <v/>
      </c>
      <c r="N2473" s="16"/>
      <c r="O2473" s="16"/>
      <c r="P2473" s="16"/>
      <c r="Q2473" s="17"/>
    </row>
    <row r="2474" customFormat="false" ht="15" hidden="false" customHeight="false" outlineLevel="0" collapsed="false">
      <c r="A2474" s="15" t="str">
        <f aca="false">IF(B2474="","",ROW()-1)</f>
        <v/>
      </c>
      <c r="B2474" s="16"/>
      <c r="C2474" s="16"/>
      <c r="D2474" s="16"/>
      <c r="E2474" s="16"/>
      <c r="F2474" s="17"/>
      <c r="G2474" s="16"/>
      <c r="H2474" s="16"/>
      <c r="I2474" s="16"/>
      <c r="J2474" s="16"/>
      <c r="K2474" s="16"/>
      <c r="L2474" s="16"/>
      <c r="M2474" s="18" t="str">
        <f aca="false">IF(OR(C2474="",D2474=""),"",IF(MOD(COUNTIFS($C$2:C2474,C2474,$D$2:D2474,D2474)*7,10)&lt;3,"teste","treino"))</f>
        <v/>
      </c>
      <c r="N2474" s="16"/>
      <c r="O2474" s="16"/>
      <c r="P2474" s="16"/>
      <c r="Q2474" s="17"/>
    </row>
    <row r="2475" customFormat="false" ht="15" hidden="false" customHeight="false" outlineLevel="0" collapsed="false">
      <c r="A2475" s="15" t="str">
        <f aca="false">IF(B2475="","",ROW()-1)</f>
        <v/>
      </c>
      <c r="B2475" s="16"/>
      <c r="C2475" s="16"/>
      <c r="D2475" s="16"/>
      <c r="E2475" s="16"/>
      <c r="F2475" s="17"/>
      <c r="G2475" s="16"/>
      <c r="H2475" s="16"/>
      <c r="I2475" s="16"/>
      <c r="J2475" s="16"/>
      <c r="K2475" s="16"/>
      <c r="L2475" s="16"/>
      <c r="M2475" s="18" t="str">
        <f aca="false">IF(OR(C2475="",D2475=""),"",IF(MOD(COUNTIFS($C$2:C2475,C2475,$D$2:D2475,D2475)*7,10)&lt;3,"teste","treino"))</f>
        <v/>
      </c>
      <c r="N2475" s="16"/>
      <c r="O2475" s="16"/>
      <c r="P2475" s="16"/>
      <c r="Q2475" s="17"/>
    </row>
    <row r="2476" customFormat="false" ht="15" hidden="false" customHeight="false" outlineLevel="0" collapsed="false">
      <c r="A2476" s="15" t="str">
        <f aca="false">IF(B2476="","",ROW()-1)</f>
        <v/>
      </c>
      <c r="B2476" s="16"/>
      <c r="C2476" s="16"/>
      <c r="D2476" s="16"/>
      <c r="E2476" s="16"/>
      <c r="F2476" s="17"/>
      <c r="G2476" s="16"/>
      <c r="H2476" s="16"/>
      <c r="I2476" s="16"/>
      <c r="J2476" s="16"/>
      <c r="K2476" s="16"/>
      <c r="L2476" s="16"/>
      <c r="M2476" s="18" t="str">
        <f aca="false">IF(OR(C2476="",D2476=""),"",IF(MOD(COUNTIFS($C$2:C2476,C2476,$D$2:D2476,D2476)*7,10)&lt;3,"teste","treino"))</f>
        <v/>
      </c>
      <c r="N2476" s="16"/>
      <c r="O2476" s="16"/>
      <c r="P2476" s="16"/>
      <c r="Q2476" s="17"/>
    </row>
    <row r="2477" customFormat="false" ht="15" hidden="false" customHeight="false" outlineLevel="0" collapsed="false">
      <c r="A2477" s="15" t="str">
        <f aca="false">IF(B2477="","",ROW()-1)</f>
        <v/>
      </c>
      <c r="B2477" s="16"/>
      <c r="C2477" s="16"/>
      <c r="D2477" s="16"/>
      <c r="E2477" s="16"/>
      <c r="F2477" s="17"/>
      <c r="G2477" s="16"/>
      <c r="H2477" s="16"/>
      <c r="I2477" s="16"/>
      <c r="J2477" s="16"/>
      <c r="K2477" s="16"/>
      <c r="L2477" s="16"/>
      <c r="M2477" s="18" t="str">
        <f aca="false">IF(OR(C2477="",D2477=""),"",IF(MOD(COUNTIFS($C$2:C2477,C2477,$D$2:D2477,D2477)*7,10)&lt;3,"teste","treino"))</f>
        <v/>
      </c>
      <c r="N2477" s="16"/>
      <c r="O2477" s="16"/>
      <c r="P2477" s="16"/>
      <c r="Q2477" s="17"/>
    </row>
    <row r="2478" customFormat="false" ht="15" hidden="false" customHeight="false" outlineLevel="0" collapsed="false">
      <c r="A2478" s="15" t="str">
        <f aca="false">IF(B2478="","",ROW()-1)</f>
        <v/>
      </c>
      <c r="B2478" s="16"/>
      <c r="C2478" s="16"/>
      <c r="D2478" s="16"/>
      <c r="E2478" s="16"/>
      <c r="F2478" s="17"/>
      <c r="G2478" s="16"/>
      <c r="H2478" s="16"/>
      <c r="I2478" s="16"/>
      <c r="J2478" s="16"/>
      <c r="K2478" s="16"/>
      <c r="L2478" s="16"/>
      <c r="M2478" s="18" t="str">
        <f aca="false">IF(OR(C2478="",D2478=""),"",IF(MOD(COUNTIFS($C$2:C2478,C2478,$D$2:D2478,D2478)*7,10)&lt;3,"teste","treino"))</f>
        <v/>
      </c>
      <c r="N2478" s="16"/>
      <c r="O2478" s="16"/>
      <c r="P2478" s="16"/>
      <c r="Q2478" s="17"/>
    </row>
    <row r="2479" customFormat="false" ht="15" hidden="false" customHeight="false" outlineLevel="0" collapsed="false">
      <c r="A2479" s="15" t="str">
        <f aca="false">IF(B2479="","",ROW()-1)</f>
        <v/>
      </c>
      <c r="B2479" s="16"/>
      <c r="C2479" s="16"/>
      <c r="D2479" s="16"/>
      <c r="E2479" s="16"/>
      <c r="F2479" s="17"/>
      <c r="G2479" s="16"/>
      <c r="H2479" s="16"/>
      <c r="I2479" s="16"/>
      <c r="J2479" s="16"/>
      <c r="K2479" s="16"/>
      <c r="L2479" s="16"/>
      <c r="M2479" s="18" t="str">
        <f aca="false">IF(OR(C2479="",D2479=""),"",IF(MOD(COUNTIFS($C$2:C2479,C2479,$D$2:D2479,D2479)*7,10)&lt;3,"teste","treino"))</f>
        <v/>
      </c>
      <c r="N2479" s="16"/>
      <c r="O2479" s="16"/>
      <c r="P2479" s="16"/>
      <c r="Q2479" s="17"/>
    </row>
    <row r="2480" customFormat="false" ht="15" hidden="false" customHeight="false" outlineLevel="0" collapsed="false">
      <c r="A2480" s="15" t="str">
        <f aca="false">IF(B2480="","",ROW()-1)</f>
        <v/>
      </c>
      <c r="B2480" s="16"/>
      <c r="C2480" s="16"/>
      <c r="D2480" s="16"/>
      <c r="E2480" s="16"/>
      <c r="F2480" s="17"/>
      <c r="G2480" s="16"/>
      <c r="H2480" s="16"/>
      <c r="I2480" s="16"/>
      <c r="J2480" s="16"/>
      <c r="K2480" s="16"/>
      <c r="L2480" s="16"/>
      <c r="M2480" s="18" t="str">
        <f aca="false">IF(OR(C2480="",D2480=""),"",IF(MOD(COUNTIFS($C$2:C2480,C2480,$D$2:D2480,D2480)*7,10)&lt;3,"teste","treino"))</f>
        <v/>
      </c>
      <c r="N2480" s="16"/>
      <c r="O2480" s="16"/>
      <c r="P2480" s="16"/>
      <c r="Q2480" s="17"/>
    </row>
    <row r="2481" customFormat="false" ht="15" hidden="false" customHeight="false" outlineLevel="0" collapsed="false">
      <c r="A2481" s="15" t="str">
        <f aca="false">IF(B2481="","",ROW()-1)</f>
        <v/>
      </c>
      <c r="B2481" s="16"/>
      <c r="C2481" s="16"/>
      <c r="D2481" s="16"/>
      <c r="E2481" s="16"/>
      <c r="F2481" s="17"/>
      <c r="G2481" s="16"/>
      <c r="H2481" s="16"/>
      <c r="I2481" s="16"/>
      <c r="J2481" s="16"/>
      <c r="K2481" s="16"/>
      <c r="L2481" s="16"/>
      <c r="M2481" s="18" t="str">
        <f aca="false">IF(OR(C2481="",D2481=""),"",IF(MOD(COUNTIFS($C$2:C2481,C2481,$D$2:D2481,D2481)*7,10)&lt;3,"teste","treino"))</f>
        <v/>
      </c>
      <c r="N2481" s="16"/>
      <c r="O2481" s="16"/>
      <c r="P2481" s="16"/>
      <c r="Q2481" s="17"/>
    </row>
    <row r="2482" customFormat="false" ht="15" hidden="false" customHeight="false" outlineLevel="0" collapsed="false">
      <c r="A2482" s="15" t="str">
        <f aca="false">IF(B2482="","",ROW()-1)</f>
        <v/>
      </c>
      <c r="B2482" s="16"/>
      <c r="C2482" s="16"/>
      <c r="D2482" s="16"/>
      <c r="E2482" s="16"/>
      <c r="F2482" s="17"/>
      <c r="G2482" s="16"/>
      <c r="H2482" s="16"/>
      <c r="I2482" s="16"/>
      <c r="J2482" s="16"/>
      <c r="K2482" s="16"/>
      <c r="L2482" s="16"/>
      <c r="M2482" s="18" t="str">
        <f aca="false">IF(OR(C2482="",D2482=""),"",IF(MOD(COUNTIFS($C$2:C2482,C2482,$D$2:D2482,D2482)*7,10)&lt;3,"teste","treino"))</f>
        <v/>
      </c>
      <c r="N2482" s="16"/>
      <c r="O2482" s="16"/>
      <c r="P2482" s="16"/>
      <c r="Q2482" s="17"/>
    </row>
    <row r="2483" customFormat="false" ht="15" hidden="false" customHeight="false" outlineLevel="0" collapsed="false">
      <c r="A2483" s="15" t="str">
        <f aca="false">IF(B2483="","",ROW()-1)</f>
        <v/>
      </c>
      <c r="B2483" s="16"/>
      <c r="C2483" s="16"/>
      <c r="D2483" s="16"/>
      <c r="E2483" s="16"/>
      <c r="F2483" s="17"/>
      <c r="G2483" s="16"/>
      <c r="H2483" s="16"/>
      <c r="I2483" s="16"/>
      <c r="J2483" s="16"/>
      <c r="K2483" s="16"/>
      <c r="L2483" s="16"/>
      <c r="M2483" s="18" t="str">
        <f aca="false">IF(OR(C2483="",D2483=""),"",IF(MOD(COUNTIFS($C$2:C2483,C2483,$D$2:D2483,D2483)*7,10)&lt;3,"teste","treino"))</f>
        <v/>
      </c>
      <c r="N2483" s="16"/>
      <c r="O2483" s="16"/>
      <c r="P2483" s="16"/>
      <c r="Q2483" s="17"/>
    </row>
    <row r="2484" customFormat="false" ht="15" hidden="false" customHeight="false" outlineLevel="0" collapsed="false">
      <c r="A2484" s="15" t="str">
        <f aca="false">IF(B2484="","",ROW()-1)</f>
        <v/>
      </c>
      <c r="B2484" s="16"/>
      <c r="C2484" s="16"/>
      <c r="D2484" s="16"/>
      <c r="E2484" s="16"/>
      <c r="F2484" s="17"/>
      <c r="G2484" s="16"/>
      <c r="H2484" s="16"/>
      <c r="I2484" s="16"/>
      <c r="J2484" s="16"/>
      <c r="K2484" s="16"/>
      <c r="L2484" s="16"/>
      <c r="M2484" s="18" t="str">
        <f aca="false">IF(OR(C2484="",D2484=""),"",IF(MOD(COUNTIFS($C$2:C2484,C2484,$D$2:D2484,D2484)*7,10)&lt;3,"teste","treino"))</f>
        <v/>
      </c>
      <c r="N2484" s="16"/>
      <c r="O2484" s="16"/>
      <c r="P2484" s="16"/>
      <c r="Q2484" s="17"/>
    </row>
    <row r="2485" customFormat="false" ht="15" hidden="false" customHeight="false" outlineLevel="0" collapsed="false">
      <c r="A2485" s="15" t="str">
        <f aca="false">IF(B2485="","",ROW()-1)</f>
        <v/>
      </c>
      <c r="B2485" s="16"/>
      <c r="C2485" s="16"/>
      <c r="D2485" s="16"/>
      <c r="E2485" s="16"/>
      <c r="F2485" s="17"/>
      <c r="G2485" s="16"/>
      <c r="H2485" s="16"/>
      <c r="I2485" s="16"/>
      <c r="J2485" s="16"/>
      <c r="K2485" s="16"/>
      <c r="L2485" s="16"/>
      <c r="M2485" s="18" t="str">
        <f aca="false">IF(OR(C2485="",D2485=""),"",IF(MOD(COUNTIFS($C$2:C2485,C2485,$D$2:D2485,D2485)*7,10)&lt;3,"teste","treino"))</f>
        <v/>
      </c>
      <c r="N2485" s="16"/>
      <c r="O2485" s="16"/>
      <c r="P2485" s="16"/>
      <c r="Q2485" s="17"/>
    </row>
    <row r="2486" customFormat="false" ht="15" hidden="false" customHeight="false" outlineLevel="0" collapsed="false">
      <c r="A2486" s="15" t="str">
        <f aca="false">IF(B2486="","",ROW()-1)</f>
        <v/>
      </c>
      <c r="B2486" s="16"/>
      <c r="C2486" s="16"/>
      <c r="D2486" s="16"/>
      <c r="E2486" s="16"/>
      <c r="F2486" s="17"/>
      <c r="G2486" s="16"/>
      <c r="H2486" s="16"/>
      <c r="I2486" s="16"/>
      <c r="J2486" s="16"/>
      <c r="K2486" s="16"/>
      <c r="L2486" s="16"/>
      <c r="M2486" s="18" t="str">
        <f aca="false">IF(OR(C2486="",D2486=""),"",IF(MOD(COUNTIFS($C$2:C2486,C2486,$D$2:D2486,D2486)*7,10)&lt;3,"teste","treino"))</f>
        <v/>
      </c>
      <c r="N2486" s="16"/>
      <c r="O2486" s="16"/>
      <c r="P2486" s="16"/>
      <c r="Q2486" s="17"/>
    </row>
    <row r="2487" customFormat="false" ht="15" hidden="false" customHeight="false" outlineLevel="0" collapsed="false">
      <c r="A2487" s="15" t="str">
        <f aca="false">IF(B2487="","",ROW()-1)</f>
        <v/>
      </c>
      <c r="B2487" s="16"/>
      <c r="C2487" s="16"/>
      <c r="D2487" s="16"/>
      <c r="E2487" s="16"/>
      <c r="F2487" s="17"/>
      <c r="G2487" s="16"/>
      <c r="H2487" s="16"/>
      <c r="I2487" s="16"/>
      <c r="J2487" s="16"/>
      <c r="K2487" s="16"/>
      <c r="L2487" s="16"/>
      <c r="M2487" s="18" t="str">
        <f aca="false">IF(OR(C2487="",D2487=""),"",IF(MOD(COUNTIFS($C$2:C2487,C2487,$D$2:D2487,D2487)*7,10)&lt;3,"teste","treino"))</f>
        <v/>
      </c>
      <c r="N2487" s="16"/>
      <c r="O2487" s="16"/>
      <c r="P2487" s="16"/>
      <c r="Q2487" s="17"/>
    </row>
    <row r="2488" customFormat="false" ht="15" hidden="false" customHeight="false" outlineLevel="0" collapsed="false">
      <c r="A2488" s="15" t="str">
        <f aca="false">IF(B2488="","",ROW()-1)</f>
        <v/>
      </c>
      <c r="B2488" s="16"/>
      <c r="C2488" s="16"/>
      <c r="D2488" s="16"/>
      <c r="E2488" s="16"/>
      <c r="F2488" s="17"/>
      <c r="G2488" s="16"/>
      <c r="H2488" s="16"/>
      <c r="I2488" s="16"/>
      <c r="J2488" s="16"/>
      <c r="K2488" s="16"/>
      <c r="L2488" s="16"/>
      <c r="M2488" s="18" t="str">
        <f aca="false">IF(OR(C2488="",D2488=""),"",IF(MOD(COUNTIFS($C$2:C2488,C2488,$D$2:D2488,D2488)*7,10)&lt;3,"teste","treino"))</f>
        <v/>
      </c>
      <c r="N2488" s="16"/>
      <c r="O2488" s="16"/>
      <c r="P2488" s="16"/>
      <c r="Q2488" s="17"/>
    </row>
    <row r="2489" customFormat="false" ht="15" hidden="false" customHeight="false" outlineLevel="0" collapsed="false">
      <c r="A2489" s="15" t="str">
        <f aca="false">IF(B2489="","",ROW()-1)</f>
        <v/>
      </c>
      <c r="B2489" s="16"/>
      <c r="C2489" s="16"/>
      <c r="D2489" s="16"/>
      <c r="E2489" s="16"/>
      <c r="F2489" s="17"/>
      <c r="G2489" s="16"/>
      <c r="H2489" s="16"/>
      <c r="I2489" s="16"/>
      <c r="J2489" s="16"/>
      <c r="K2489" s="16"/>
      <c r="L2489" s="16"/>
      <c r="M2489" s="18" t="str">
        <f aca="false">IF(OR(C2489="",D2489=""),"",IF(MOD(COUNTIFS($C$2:C2489,C2489,$D$2:D2489,D2489)*7,10)&lt;3,"teste","treino"))</f>
        <v/>
      </c>
      <c r="N2489" s="16"/>
      <c r="O2489" s="16"/>
      <c r="P2489" s="16"/>
      <c r="Q2489" s="17"/>
    </row>
    <row r="2490" customFormat="false" ht="15" hidden="false" customHeight="false" outlineLevel="0" collapsed="false">
      <c r="A2490" s="15" t="str">
        <f aca="false">IF(B2490="","",ROW()-1)</f>
        <v/>
      </c>
      <c r="B2490" s="16"/>
      <c r="C2490" s="16"/>
      <c r="D2490" s="16"/>
      <c r="E2490" s="16"/>
      <c r="F2490" s="17"/>
      <c r="G2490" s="16"/>
      <c r="H2490" s="16"/>
      <c r="I2490" s="16"/>
      <c r="J2490" s="16"/>
      <c r="K2490" s="16"/>
      <c r="L2490" s="16"/>
      <c r="M2490" s="18" t="str">
        <f aca="false">IF(OR(C2490="",D2490=""),"",IF(MOD(COUNTIFS($C$2:C2490,C2490,$D$2:D2490,D2490)*7,10)&lt;3,"teste","treino"))</f>
        <v/>
      </c>
      <c r="N2490" s="16"/>
      <c r="O2490" s="16"/>
      <c r="P2490" s="16"/>
      <c r="Q2490" s="17"/>
    </row>
    <row r="2491" customFormat="false" ht="15" hidden="false" customHeight="false" outlineLevel="0" collapsed="false">
      <c r="A2491" s="15" t="str">
        <f aca="false">IF(B2491="","",ROW()-1)</f>
        <v/>
      </c>
      <c r="B2491" s="16"/>
      <c r="C2491" s="16"/>
      <c r="D2491" s="16"/>
      <c r="E2491" s="16"/>
      <c r="F2491" s="17"/>
      <c r="G2491" s="16"/>
      <c r="H2491" s="16"/>
      <c r="I2491" s="16"/>
      <c r="J2491" s="16"/>
      <c r="K2491" s="16"/>
      <c r="L2491" s="16"/>
      <c r="M2491" s="18" t="str">
        <f aca="false">IF(OR(C2491="",D2491=""),"",IF(MOD(COUNTIFS($C$2:C2491,C2491,$D$2:D2491,D2491)*7,10)&lt;3,"teste","treino"))</f>
        <v/>
      </c>
      <c r="N2491" s="16"/>
      <c r="O2491" s="16"/>
      <c r="P2491" s="16"/>
      <c r="Q2491" s="17"/>
    </row>
    <row r="2492" customFormat="false" ht="15" hidden="false" customHeight="false" outlineLevel="0" collapsed="false">
      <c r="A2492" s="15" t="str">
        <f aca="false">IF(B2492="","",ROW()-1)</f>
        <v/>
      </c>
      <c r="B2492" s="16"/>
      <c r="C2492" s="16"/>
      <c r="D2492" s="16"/>
      <c r="E2492" s="16"/>
      <c r="F2492" s="17"/>
      <c r="G2492" s="16"/>
      <c r="H2492" s="16"/>
      <c r="I2492" s="16"/>
      <c r="J2492" s="16"/>
      <c r="K2492" s="16"/>
      <c r="L2492" s="16"/>
      <c r="M2492" s="18" t="str">
        <f aca="false">IF(OR(C2492="",D2492=""),"",IF(MOD(COUNTIFS($C$2:C2492,C2492,$D$2:D2492,D2492)*7,10)&lt;3,"teste","treino"))</f>
        <v/>
      </c>
      <c r="N2492" s="16"/>
      <c r="O2492" s="16"/>
      <c r="P2492" s="16"/>
      <c r="Q2492" s="17"/>
    </row>
    <row r="2493" customFormat="false" ht="15" hidden="false" customHeight="false" outlineLevel="0" collapsed="false">
      <c r="A2493" s="15" t="str">
        <f aca="false">IF(B2493="","",ROW()-1)</f>
        <v/>
      </c>
      <c r="B2493" s="16"/>
      <c r="C2493" s="16"/>
      <c r="D2493" s="16"/>
      <c r="E2493" s="16"/>
      <c r="F2493" s="17"/>
      <c r="G2493" s="16"/>
      <c r="H2493" s="16"/>
      <c r="I2493" s="16"/>
      <c r="J2493" s="16"/>
      <c r="K2493" s="16"/>
      <c r="L2493" s="16"/>
      <c r="M2493" s="18" t="str">
        <f aca="false">IF(OR(C2493="",D2493=""),"",IF(MOD(COUNTIFS($C$2:C2493,C2493,$D$2:D2493,D2493)*7,10)&lt;3,"teste","treino"))</f>
        <v/>
      </c>
      <c r="N2493" s="16"/>
      <c r="O2493" s="16"/>
      <c r="P2493" s="16"/>
      <c r="Q2493" s="17"/>
    </row>
    <row r="2494" customFormat="false" ht="15" hidden="false" customHeight="false" outlineLevel="0" collapsed="false">
      <c r="A2494" s="15" t="str">
        <f aca="false">IF(B2494="","",ROW()-1)</f>
        <v/>
      </c>
      <c r="B2494" s="16"/>
      <c r="C2494" s="16"/>
      <c r="D2494" s="16"/>
      <c r="E2494" s="16"/>
      <c r="F2494" s="17"/>
      <c r="G2494" s="16"/>
      <c r="H2494" s="16"/>
      <c r="I2494" s="16"/>
      <c r="J2494" s="16"/>
      <c r="K2494" s="16"/>
      <c r="L2494" s="16"/>
      <c r="M2494" s="18" t="str">
        <f aca="false">IF(OR(C2494="",D2494=""),"",IF(MOD(COUNTIFS($C$2:C2494,C2494,$D$2:D2494,D2494)*7,10)&lt;3,"teste","treino"))</f>
        <v/>
      </c>
      <c r="N2494" s="16"/>
      <c r="O2494" s="16"/>
      <c r="P2494" s="16"/>
      <c r="Q2494" s="17"/>
    </row>
    <row r="2495" customFormat="false" ht="15" hidden="false" customHeight="false" outlineLevel="0" collapsed="false">
      <c r="A2495" s="15" t="str">
        <f aca="false">IF(B2495="","",ROW()-1)</f>
        <v/>
      </c>
      <c r="B2495" s="16"/>
      <c r="C2495" s="16"/>
      <c r="D2495" s="16"/>
      <c r="E2495" s="16"/>
      <c r="F2495" s="17"/>
      <c r="G2495" s="16"/>
      <c r="H2495" s="16"/>
      <c r="I2495" s="16"/>
      <c r="J2495" s="16"/>
      <c r="K2495" s="16"/>
      <c r="L2495" s="16"/>
      <c r="M2495" s="18" t="str">
        <f aca="false">IF(OR(C2495="",D2495=""),"",IF(MOD(COUNTIFS($C$2:C2495,C2495,$D$2:D2495,D2495)*7,10)&lt;3,"teste","treino"))</f>
        <v/>
      </c>
      <c r="N2495" s="16"/>
      <c r="O2495" s="16"/>
      <c r="P2495" s="16"/>
      <c r="Q2495" s="17"/>
    </row>
    <row r="2496" customFormat="false" ht="15" hidden="false" customHeight="false" outlineLevel="0" collapsed="false">
      <c r="A2496" s="15" t="str">
        <f aca="false">IF(B2496="","",ROW()-1)</f>
        <v/>
      </c>
      <c r="B2496" s="16"/>
      <c r="C2496" s="16"/>
      <c r="D2496" s="16"/>
      <c r="E2496" s="16"/>
      <c r="F2496" s="17"/>
      <c r="G2496" s="16"/>
      <c r="H2496" s="16"/>
      <c r="I2496" s="16"/>
      <c r="J2496" s="16"/>
      <c r="K2496" s="16"/>
      <c r="L2496" s="16"/>
      <c r="M2496" s="18" t="str">
        <f aca="false">IF(OR(C2496="",D2496=""),"",IF(MOD(COUNTIFS($C$2:C2496,C2496,$D$2:D2496,D2496)*7,10)&lt;3,"teste","treino"))</f>
        <v/>
      </c>
      <c r="N2496" s="16"/>
      <c r="O2496" s="16"/>
      <c r="P2496" s="16"/>
      <c r="Q2496" s="17"/>
    </row>
    <row r="2497" customFormat="false" ht="15" hidden="false" customHeight="false" outlineLevel="0" collapsed="false">
      <c r="A2497" s="15" t="str">
        <f aca="false">IF(B2497="","",ROW()-1)</f>
        <v/>
      </c>
      <c r="B2497" s="16"/>
      <c r="C2497" s="16"/>
      <c r="D2497" s="16"/>
      <c r="E2497" s="16"/>
      <c r="F2497" s="17"/>
      <c r="G2497" s="16"/>
      <c r="H2497" s="16"/>
      <c r="I2497" s="16"/>
      <c r="J2497" s="16"/>
      <c r="K2497" s="16"/>
      <c r="L2497" s="16"/>
      <c r="M2497" s="18" t="str">
        <f aca="false">IF(OR(C2497="",D2497=""),"",IF(MOD(COUNTIFS($C$2:C2497,C2497,$D$2:D2497,D2497)*7,10)&lt;3,"teste","treino"))</f>
        <v/>
      </c>
      <c r="N2497" s="16"/>
      <c r="O2497" s="16"/>
      <c r="P2497" s="16"/>
      <c r="Q2497" s="17"/>
    </row>
    <row r="2498" customFormat="false" ht="15" hidden="false" customHeight="false" outlineLevel="0" collapsed="false">
      <c r="A2498" s="15" t="str">
        <f aca="false">IF(B2498="","",ROW()-1)</f>
        <v/>
      </c>
      <c r="B2498" s="16"/>
      <c r="C2498" s="16"/>
      <c r="D2498" s="16"/>
      <c r="E2498" s="16"/>
      <c r="F2498" s="17"/>
      <c r="G2498" s="16"/>
      <c r="H2498" s="16"/>
      <c r="I2498" s="16"/>
      <c r="J2498" s="16"/>
      <c r="K2498" s="16"/>
      <c r="L2498" s="16"/>
      <c r="M2498" s="18" t="str">
        <f aca="false">IF(OR(C2498="",D2498=""),"",IF(MOD(COUNTIFS($C$2:C2498,C2498,$D$2:D2498,D2498)*7,10)&lt;3,"teste","treino"))</f>
        <v/>
      </c>
      <c r="N2498" s="16"/>
      <c r="O2498" s="16"/>
      <c r="P2498" s="16"/>
      <c r="Q2498" s="17"/>
    </row>
    <row r="2499" customFormat="false" ht="15" hidden="false" customHeight="false" outlineLevel="0" collapsed="false">
      <c r="A2499" s="15" t="str">
        <f aca="false">IF(B2499="","",ROW()-1)</f>
        <v/>
      </c>
      <c r="B2499" s="16"/>
      <c r="C2499" s="16"/>
      <c r="D2499" s="16"/>
      <c r="E2499" s="16"/>
      <c r="F2499" s="17"/>
      <c r="G2499" s="16"/>
      <c r="H2499" s="16"/>
      <c r="I2499" s="16"/>
      <c r="J2499" s="16"/>
      <c r="K2499" s="16"/>
      <c r="L2499" s="16"/>
      <c r="M2499" s="18" t="str">
        <f aca="false">IF(OR(C2499="",D2499=""),"",IF(MOD(COUNTIFS($C$2:C2499,C2499,$D$2:D2499,D2499)*7,10)&lt;3,"teste","treino"))</f>
        <v/>
      </c>
      <c r="N2499" s="16"/>
      <c r="O2499" s="16"/>
      <c r="P2499" s="16"/>
      <c r="Q2499" s="17"/>
    </row>
    <row r="2500" customFormat="false" ht="15" hidden="false" customHeight="false" outlineLevel="0" collapsed="false">
      <c r="A2500" s="15" t="str">
        <f aca="false">IF(B2500="","",ROW()-1)</f>
        <v/>
      </c>
      <c r="B2500" s="16"/>
      <c r="C2500" s="16"/>
      <c r="D2500" s="16"/>
      <c r="E2500" s="16"/>
      <c r="F2500" s="17"/>
      <c r="G2500" s="16"/>
      <c r="H2500" s="16"/>
      <c r="I2500" s="16"/>
      <c r="J2500" s="16"/>
      <c r="K2500" s="16"/>
      <c r="L2500" s="16"/>
      <c r="M2500" s="18" t="str">
        <f aca="false">IF(OR(C2500="",D2500=""),"",IF(MOD(COUNTIFS($C$2:C2500,C2500,$D$2:D2500,D2500)*7,10)&lt;3,"teste","treino"))</f>
        <v/>
      </c>
      <c r="N2500" s="16"/>
      <c r="O2500" s="16"/>
      <c r="P2500" s="16"/>
      <c r="Q2500" s="17"/>
    </row>
    <row r="2501" customFormat="false" ht="15" hidden="false" customHeight="false" outlineLevel="0" collapsed="false">
      <c r="A2501" s="15" t="str">
        <f aca="false">IF(B2501="","",ROW()-1)</f>
        <v/>
      </c>
      <c r="B2501" s="16"/>
      <c r="C2501" s="16"/>
      <c r="D2501" s="16"/>
      <c r="E2501" s="16"/>
      <c r="F2501" s="17"/>
      <c r="G2501" s="16"/>
      <c r="H2501" s="16"/>
      <c r="I2501" s="16"/>
      <c r="J2501" s="16"/>
      <c r="K2501" s="16"/>
      <c r="L2501" s="16"/>
      <c r="M2501" s="18" t="str">
        <f aca="false">IF(OR(C2501="",D2501=""),"",IF(MOD(COUNTIFS($C$2:C2501,C2501,$D$2:D2501,D2501)*7,10)&lt;3,"teste","treino"))</f>
        <v/>
      </c>
      <c r="N2501" s="16"/>
      <c r="O2501" s="16"/>
      <c r="P2501" s="16"/>
      <c r="Q2501" s="17"/>
    </row>
    <row r="2502" customFormat="false" ht="15" hidden="false" customHeight="false" outlineLevel="0" collapsed="false">
      <c r="A2502" s="15" t="str">
        <f aca="false">IF(B2502="","",ROW()-1)</f>
        <v/>
      </c>
      <c r="B2502" s="16"/>
      <c r="C2502" s="16"/>
      <c r="D2502" s="16"/>
      <c r="E2502" s="16"/>
      <c r="F2502" s="17"/>
      <c r="G2502" s="16"/>
      <c r="H2502" s="16"/>
      <c r="I2502" s="16"/>
      <c r="J2502" s="16"/>
      <c r="K2502" s="16"/>
      <c r="L2502" s="16"/>
      <c r="M2502" s="18" t="str">
        <f aca="false">IF(OR(C2502="",D2502=""),"",IF(MOD(COUNTIFS($C$2:C2502,C2502,$D$2:D2502,D2502)*7,10)&lt;3,"teste","treino"))</f>
        <v/>
      </c>
      <c r="N2502" s="16"/>
      <c r="O2502" s="16"/>
      <c r="P2502" s="16"/>
      <c r="Q2502" s="17"/>
    </row>
    <row r="2503" customFormat="false" ht="15" hidden="false" customHeight="false" outlineLevel="0" collapsed="false">
      <c r="A2503" s="15" t="str">
        <f aca="false">IF(B2503="","",ROW()-1)</f>
        <v/>
      </c>
      <c r="B2503" s="16"/>
      <c r="C2503" s="16"/>
      <c r="D2503" s="16"/>
      <c r="E2503" s="16"/>
      <c r="F2503" s="17"/>
      <c r="G2503" s="16"/>
      <c r="H2503" s="16"/>
      <c r="I2503" s="16"/>
      <c r="J2503" s="16"/>
      <c r="K2503" s="16"/>
      <c r="L2503" s="16"/>
      <c r="M2503" s="18" t="str">
        <f aca="false">IF(OR(C2503="",D2503=""),"",IF(MOD(COUNTIFS($C$2:C2503,C2503,$D$2:D2503,D2503)*7,10)&lt;3,"teste","treino"))</f>
        <v/>
      </c>
      <c r="N2503" s="16"/>
      <c r="O2503" s="16"/>
      <c r="P2503" s="16"/>
      <c r="Q2503" s="17"/>
    </row>
    <row r="2504" customFormat="false" ht="15" hidden="false" customHeight="false" outlineLevel="0" collapsed="false">
      <c r="A2504" s="15" t="str">
        <f aca="false">IF(B2504="","",ROW()-1)</f>
        <v/>
      </c>
      <c r="B2504" s="16"/>
      <c r="C2504" s="16"/>
      <c r="D2504" s="16"/>
      <c r="E2504" s="16"/>
      <c r="F2504" s="17"/>
      <c r="G2504" s="16"/>
      <c r="H2504" s="16"/>
      <c r="I2504" s="16"/>
      <c r="J2504" s="16"/>
      <c r="K2504" s="16"/>
      <c r="L2504" s="16"/>
      <c r="M2504" s="18" t="str">
        <f aca="false">IF(OR(C2504="",D2504=""),"",IF(MOD(COUNTIFS($C$2:C2504,C2504,$D$2:D2504,D2504)*7,10)&lt;3,"teste","treino"))</f>
        <v/>
      </c>
      <c r="N2504" s="16"/>
      <c r="O2504" s="16"/>
      <c r="P2504" s="16"/>
      <c r="Q2504" s="17"/>
    </row>
    <row r="2505" customFormat="false" ht="15" hidden="false" customHeight="false" outlineLevel="0" collapsed="false">
      <c r="A2505" s="15" t="str">
        <f aca="false">IF(B2505="","",ROW()-1)</f>
        <v/>
      </c>
      <c r="B2505" s="16"/>
      <c r="C2505" s="16"/>
      <c r="D2505" s="16"/>
      <c r="E2505" s="16"/>
      <c r="F2505" s="17"/>
      <c r="G2505" s="16"/>
      <c r="H2505" s="16"/>
      <c r="I2505" s="16"/>
      <c r="J2505" s="16"/>
      <c r="K2505" s="16"/>
      <c r="L2505" s="16"/>
      <c r="M2505" s="18" t="str">
        <f aca="false">IF(OR(C2505="",D2505=""),"",IF(MOD(COUNTIFS($C$2:C2505,C2505,$D$2:D2505,D2505)*7,10)&lt;3,"teste","treino"))</f>
        <v/>
      </c>
      <c r="N2505" s="16"/>
      <c r="O2505" s="16"/>
      <c r="P2505" s="16"/>
      <c r="Q2505" s="17"/>
    </row>
    <row r="2506" customFormat="false" ht="15" hidden="false" customHeight="false" outlineLevel="0" collapsed="false">
      <c r="A2506" s="15" t="str">
        <f aca="false">IF(B2506="","",ROW()-1)</f>
        <v/>
      </c>
      <c r="B2506" s="16"/>
      <c r="C2506" s="16"/>
      <c r="D2506" s="16"/>
      <c r="E2506" s="16"/>
      <c r="F2506" s="17"/>
      <c r="G2506" s="16"/>
      <c r="H2506" s="16"/>
      <c r="I2506" s="16"/>
      <c r="J2506" s="16"/>
      <c r="K2506" s="16"/>
      <c r="L2506" s="16"/>
      <c r="M2506" s="18" t="str">
        <f aca="false">IF(OR(C2506="",D2506=""),"",IF(MOD(COUNTIFS($C$2:C2506,C2506,$D$2:D2506,D2506)*7,10)&lt;3,"teste","treino"))</f>
        <v/>
      </c>
      <c r="N2506" s="16"/>
      <c r="O2506" s="16"/>
      <c r="P2506" s="16"/>
      <c r="Q2506" s="17"/>
    </row>
    <row r="2507" customFormat="false" ht="15" hidden="false" customHeight="false" outlineLevel="0" collapsed="false">
      <c r="A2507" s="15" t="str">
        <f aca="false">IF(B2507="","",ROW()-1)</f>
        <v/>
      </c>
      <c r="B2507" s="16"/>
      <c r="C2507" s="16"/>
      <c r="D2507" s="16"/>
      <c r="E2507" s="16"/>
      <c r="F2507" s="17"/>
      <c r="G2507" s="16"/>
      <c r="H2507" s="16"/>
      <c r="I2507" s="16"/>
      <c r="J2507" s="16"/>
      <c r="K2507" s="16"/>
      <c r="L2507" s="16"/>
      <c r="M2507" s="18" t="str">
        <f aca="false">IF(OR(C2507="",D2507=""),"",IF(MOD(COUNTIFS($C$2:C2507,C2507,$D$2:D2507,D2507)*7,10)&lt;3,"teste","treino"))</f>
        <v/>
      </c>
      <c r="N2507" s="16"/>
      <c r="O2507" s="16"/>
      <c r="P2507" s="16"/>
      <c r="Q2507" s="17"/>
    </row>
    <row r="2508" customFormat="false" ht="15" hidden="false" customHeight="false" outlineLevel="0" collapsed="false">
      <c r="A2508" s="15" t="str">
        <f aca="false">IF(B2508="","",ROW()-1)</f>
        <v/>
      </c>
      <c r="B2508" s="16"/>
      <c r="C2508" s="16"/>
      <c r="D2508" s="16"/>
      <c r="E2508" s="16"/>
      <c r="F2508" s="17"/>
      <c r="G2508" s="16"/>
      <c r="H2508" s="16"/>
      <c r="I2508" s="16"/>
      <c r="J2508" s="16"/>
      <c r="K2508" s="16"/>
      <c r="L2508" s="16"/>
      <c r="M2508" s="18" t="str">
        <f aca="false">IF(OR(C2508="",D2508=""),"",IF(MOD(COUNTIFS($C$2:C2508,C2508,$D$2:D2508,D2508)*7,10)&lt;3,"teste","treino"))</f>
        <v/>
      </c>
      <c r="N2508" s="16"/>
      <c r="O2508" s="16"/>
      <c r="P2508" s="16"/>
      <c r="Q2508" s="17"/>
    </row>
    <row r="2509" customFormat="false" ht="15" hidden="false" customHeight="false" outlineLevel="0" collapsed="false">
      <c r="A2509" s="15" t="str">
        <f aca="false">IF(B2509="","",ROW()-1)</f>
        <v/>
      </c>
      <c r="B2509" s="16"/>
      <c r="C2509" s="16"/>
      <c r="D2509" s="16"/>
      <c r="E2509" s="16"/>
      <c r="F2509" s="17"/>
      <c r="G2509" s="16"/>
      <c r="H2509" s="16"/>
      <c r="I2509" s="16"/>
      <c r="J2509" s="16"/>
      <c r="K2509" s="16"/>
      <c r="L2509" s="16"/>
      <c r="M2509" s="18" t="str">
        <f aca="false">IF(OR(C2509="",D2509=""),"",IF(MOD(COUNTIFS($C$2:C2509,C2509,$D$2:D2509,D2509)*7,10)&lt;3,"teste","treino"))</f>
        <v/>
      </c>
      <c r="N2509" s="16"/>
      <c r="O2509" s="16"/>
      <c r="P2509" s="16"/>
      <c r="Q2509" s="17"/>
    </row>
    <row r="2510" customFormat="false" ht="15" hidden="false" customHeight="false" outlineLevel="0" collapsed="false">
      <c r="A2510" s="15" t="str">
        <f aca="false">IF(B2510="","",ROW()-1)</f>
        <v/>
      </c>
      <c r="B2510" s="16"/>
      <c r="C2510" s="16"/>
      <c r="D2510" s="16"/>
      <c r="E2510" s="16"/>
      <c r="F2510" s="17"/>
      <c r="G2510" s="16"/>
      <c r="H2510" s="16"/>
      <c r="I2510" s="16"/>
      <c r="J2510" s="16"/>
      <c r="K2510" s="16"/>
      <c r="L2510" s="16"/>
      <c r="M2510" s="18" t="str">
        <f aca="false">IF(OR(C2510="",D2510=""),"",IF(MOD(COUNTIFS($C$2:C2510,C2510,$D$2:D2510,D2510)*7,10)&lt;3,"teste","treino"))</f>
        <v/>
      </c>
      <c r="N2510" s="16"/>
      <c r="O2510" s="16"/>
      <c r="P2510" s="16"/>
      <c r="Q2510" s="17"/>
    </row>
    <row r="2511" customFormat="false" ht="15" hidden="false" customHeight="false" outlineLevel="0" collapsed="false">
      <c r="A2511" s="15" t="str">
        <f aca="false">IF(B2511="","",ROW()-1)</f>
        <v/>
      </c>
      <c r="B2511" s="16"/>
      <c r="C2511" s="16"/>
      <c r="D2511" s="16"/>
      <c r="E2511" s="16"/>
      <c r="F2511" s="17"/>
      <c r="G2511" s="16"/>
      <c r="H2511" s="16"/>
      <c r="I2511" s="16"/>
      <c r="J2511" s="16"/>
      <c r="K2511" s="16"/>
      <c r="L2511" s="16"/>
      <c r="M2511" s="18" t="str">
        <f aca="false">IF(OR(C2511="",D2511=""),"",IF(MOD(COUNTIFS($C$2:C2511,C2511,$D$2:D2511,D2511)*7,10)&lt;3,"teste","treino"))</f>
        <v/>
      </c>
      <c r="N2511" s="16"/>
      <c r="O2511" s="16"/>
      <c r="P2511" s="16"/>
      <c r="Q2511" s="17"/>
    </row>
    <row r="2512" customFormat="false" ht="15" hidden="false" customHeight="false" outlineLevel="0" collapsed="false">
      <c r="A2512" s="15" t="str">
        <f aca="false">IF(B2512="","",ROW()-1)</f>
        <v/>
      </c>
      <c r="B2512" s="16"/>
      <c r="C2512" s="16"/>
      <c r="D2512" s="16"/>
      <c r="E2512" s="16"/>
      <c r="F2512" s="17"/>
      <c r="G2512" s="16"/>
      <c r="H2512" s="16"/>
      <c r="I2512" s="16"/>
      <c r="J2512" s="16"/>
      <c r="K2512" s="16"/>
      <c r="L2512" s="16"/>
      <c r="M2512" s="18" t="str">
        <f aca="false">IF(OR(C2512="",D2512=""),"",IF(MOD(COUNTIFS($C$2:C2512,C2512,$D$2:D2512,D2512)*7,10)&lt;3,"teste","treino"))</f>
        <v/>
      </c>
      <c r="N2512" s="16"/>
      <c r="O2512" s="16"/>
      <c r="P2512" s="16"/>
      <c r="Q2512" s="17"/>
    </row>
    <row r="2513" customFormat="false" ht="15" hidden="false" customHeight="false" outlineLevel="0" collapsed="false">
      <c r="A2513" s="15" t="str">
        <f aca="false">IF(B2513="","",ROW()-1)</f>
        <v/>
      </c>
      <c r="B2513" s="16"/>
      <c r="C2513" s="16"/>
      <c r="D2513" s="16"/>
      <c r="E2513" s="16"/>
      <c r="F2513" s="17"/>
      <c r="G2513" s="16"/>
      <c r="H2513" s="16"/>
      <c r="I2513" s="16"/>
      <c r="J2513" s="16"/>
      <c r="K2513" s="16"/>
      <c r="L2513" s="16"/>
      <c r="M2513" s="18" t="str">
        <f aca="false">IF(OR(C2513="",D2513=""),"",IF(MOD(COUNTIFS($C$2:C2513,C2513,$D$2:D2513,D2513)*7,10)&lt;3,"teste","treino"))</f>
        <v/>
      </c>
      <c r="N2513" s="16"/>
      <c r="O2513" s="16"/>
      <c r="P2513" s="16"/>
      <c r="Q2513" s="17"/>
    </row>
    <row r="2514" customFormat="false" ht="15" hidden="false" customHeight="false" outlineLevel="0" collapsed="false">
      <c r="A2514" s="15" t="str">
        <f aca="false">IF(B2514="","",ROW()-1)</f>
        <v/>
      </c>
      <c r="B2514" s="16"/>
      <c r="C2514" s="16"/>
      <c r="D2514" s="16"/>
      <c r="E2514" s="16"/>
      <c r="F2514" s="17"/>
      <c r="G2514" s="16"/>
      <c r="H2514" s="16"/>
      <c r="I2514" s="16"/>
      <c r="J2514" s="16"/>
      <c r="K2514" s="16"/>
      <c r="L2514" s="16"/>
      <c r="M2514" s="18" t="str">
        <f aca="false">IF(OR(C2514="",D2514=""),"",IF(MOD(COUNTIFS($C$2:C2514,C2514,$D$2:D2514,D2514)*7,10)&lt;3,"teste","treino"))</f>
        <v/>
      </c>
      <c r="N2514" s="16"/>
      <c r="O2514" s="16"/>
      <c r="P2514" s="16"/>
      <c r="Q2514" s="17"/>
    </row>
    <row r="2515" customFormat="false" ht="15" hidden="false" customHeight="false" outlineLevel="0" collapsed="false">
      <c r="A2515" s="15" t="str">
        <f aca="false">IF(B2515="","",ROW()-1)</f>
        <v/>
      </c>
      <c r="B2515" s="16"/>
      <c r="C2515" s="16"/>
      <c r="D2515" s="16"/>
      <c r="E2515" s="16"/>
      <c r="F2515" s="17"/>
      <c r="G2515" s="16"/>
      <c r="H2515" s="16"/>
      <c r="I2515" s="16"/>
      <c r="J2515" s="16"/>
      <c r="K2515" s="16"/>
      <c r="L2515" s="16"/>
      <c r="M2515" s="18" t="str">
        <f aca="false">IF(OR(C2515="",D2515=""),"",IF(MOD(COUNTIFS($C$2:C2515,C2515,$D$2:D2515,D2515)*7,10)&lt;3,"teste","treino"))</f>
        <v/>
      </c>
      <c r="N2515" s="16"/>
      <c r="O2515" s="16"/>
      <c r="P2515" s="16"/>
      <c r="Q2515" s="17"/>
    </row>
    <row r="2516" customFormat="false" ht="15" hidden="false" customHeight="false" outlineLevel="0" collapsed="false">
      <c r="A2516" s="15" t="str">
        <f aca="false">IF(B2516="","",ROW()-1)</f>
        <v/>
      </c>
      <c r="B2516" s="16"/>
      <c r="C2516" s="16"/>
      <c r="D2516" s="16"/>
      <c r="E2516" s="16"/>
      <c r="F2516" s="17"/>
      <c r="G2516" s="16"/>
      <c r="H2516" s="16"/>
      <c r="I2516" s="16"/>
      <c r="J2516" s="16"/>
      <c r="K2516" s="16"/>
      <c r="L2516" s="16"/>
      <c r="M2516" s="18" t="str">
        <f aca="false">IF(OR(C2516="",D2516=""),"",IF(MOD(COUNTIFS($C$2:C2516,C2516,$D$2:D2516,D2516)*7,10)&lt;3,"teste","treino"))</f>
        <v/>
      </c>
      <c r="N2516" s="16"/>
      <c r="O2516" s="16"/>
      <c r="P2516" s="16"/>
      <c r="Q2516" s="17"/>
    </row>
    <row r="2517" customFormat="false" ht="15" hidden="false" customHeight="false" outlineLevel="0" collapsed="false">
      <c r="A2517" s="15" t="str">
        <f aca="false">IF(B2517="","",ROW()-1)</f>
        <v/>
      </c>
      <c r="B2517" s="16"/>
      <c r="C2517" s="16"/>
      <c r="D2517" s="16"/>
      <c r="E2517" s="16"/>
      <c r="F2517" s="17"/>
      <c r="G2517" s="16"/>
      <c r="H2517" s="16"/>
      <c r="I2517" s="16"/>
      <c r="J2517" s="16"/>
      <c r="K2517" s="16"/>
      <c r="L2517" s="16"/>
      <c r="M2517" s="18" t="str">
        <f aca="false">IF(OR(C2517="",D2517=""),"",IF(MOD(COUNTIFS($C$2:C2517,C2517,$D$2:D2517,D2517)*7,10)&lt;3,"teste","treino"))</f>
        <v/>
      </c>
      <c r="N2517" s="16"/>
      <c r="O2517" s="16"/>
      <c r="P2517" s="16"/>
      <c r="Q2517" s="17"/>
    </row>
    <row r="2518" customFormat="false" ht="15" hidden="false" customHeight="false" outlineLevel="0" collapsed="false">
      <c r="A2518" s="15" t="str">
        <f aca="false">IF(B2518="","",ROW()-1)</f>
        <v/>
      </c>
      <c r="B2518" s="16"/>
      <c r="C2518" s="16"/>
      <c r="D2518" s="16"/>
      <c r="E2518" s="16"/>
      <c r="F2518" s="17"/>
      <c r="G2518" s="16"/>
      <c r="H2518" s="16"/>
      <c r="I2518" s="16"/>
      <c r="J2518" s="16"/>
      <c r="K2518" s="16"/>
      <c r="L2518" s="16"/>
      <c r="M2518" s="18" t="str">
        <f aca="false">IF(OR(C2518="",D2518=""),"",IF(MOD(COUNTIFS($C$2:C2518,C2518,$D$2:D2518,D2518)*7,10)&lt;3,"teste","treino"))</f>
        <v/>
      </c>
      <c r="N2518" s="16"/>
      <c r="O2518" s="16"/>
      <c r="P2518" s="16"/>
      <c r="Q2518" s="17"/>
    </row>
    <row r="2519" customFormat="false" ht="15" hidden="false" customHeight="false" outlineLevel="0" collapsed="false">
      <c r="A2519" s="15" t="str">
        <f aca="false">IF(B2519="","",ROW()-1)</f>
        <v/>
      </c>
      <c r="B2519" s="16"/>
      <c r="C2519" s="16"/>
      <c r="D2519" s="16"/>
      <c r="E2519" s="16"/>
      <c r="F2519" s="17"/>
      <c r="G2519" s="16"/>
      <c r="H2519" s="16"/>
      <c r="I2519" s="16"/>
      <c r="J2519" s="16"/>
      <c r="K2519" s="16"/>
      <c r="L2519" s="16"/>
      <c r="M2519" s="18" t="str">
        <f aca="false">IF(OR(C2519="",D2519=""),"",IF(MOD(COUNTIFS($C$2:C2519,C2519,$D$2:D2519,D2519)*7,10)&lt;3,"teste","treino"))</f>
        <v/>
      </c>
      <c r="N2519" s="16"/>
      <c r="O2519" s="16"/>
      <c r="P2519" s="16"/>
      <c r="Q2519" s="17"/>
    </row>
    <row r="2520" customFormat="false" ht="15" hidden="false" customHeight="false" outlineLevel="0" collapsed="false">
      <c r="A2520" s="15" t="str">
        <f aca="false">IF(B2520="","",ROW()-1)</f>
        <v/>
      </c>
      <c r="B2520" s="16"/>
      <c r="C2520" s="16"/>
      <c r="D2520" s="16"/>
      <c r="E2520" s="16"/>
      <c r="F2520" s="17"/>
      <c r="G2520" s="16"/>
      <c r="H2520" s="16"/>
      <c r="I2520" s="16"/>
      <c r="J2520" s="16"/>
      <c r="K2520" s="16"/>
      <c r="L2520" s="16"/>
      <c r="M2520" s="18" t="str">
        <f aca="false">IF(OR(C2520="",D2520=""),"",IF(MOD(COUNTIFS($C$2:C2520,C2520,$D$2:D2520,D2520)*7,10)&lt;3,"teste","treino"))</f>
        <v/>
      </c>
      <c r="N2520" s="16"/>
      <c r="O2520" s="16"/>
      <c r="P2520" s="16"/>
      <c r="Q2520" s="17"/>
    </row>
    <row r="2521" customFormat="false" ht="15" hidden="false" customHeight="false" outlineLevel="0" collapsed="false">
      <c r="A2521" s="15" t="str">
        <f aca="false">IF(B2521="","",ROW()-1)</f>
        <v/>
      </c>
      <c r="B2521" s="16"/>
      <c r="C2521" s="16"/>
      <c r="D2521" s="16"/>
      <c r="E2521" s="16"/>
      <c r="F2521" s="17"/>
      <c r="G2521" s="16"/>
      <c r="H2521" s="16"/>
      <c r="I2521" s="16"/>
      <c r="J2521" s="16"/>
      <c r="K2521" s="16"/>
      <c r="L2521" s="16"/>
      <c r="M2521" s="18" t="str">
        <f aca="false">IF(OR(C2521="",D2521=""),"",IF(MOD(COUNTIFS($C$2:C2521,C2521,$D$2:D2521,D2521)*7,10)&lt;3,"teste","treino"))</f>
        <v/>
      </c>
      <c r="N2521" s="16"/>
      <c r="O2521" s="16"/>
      <c r="P2521" s="16"/>
      <c r="Q2521" s="17"/>
    </row>
    <row r="2522" customFormat="false" ht="15" hidden="false" customHeight="false" outlineLevel="0" collapsed="false">
      <c r="A2522" s="15" t="str">
        <f aca="false">IF(B2522="","",ROW()-1)</f>
        <v/>
      </c>
      <c r="B2522" s="16"/>
      <c r="C2522" s="16"/>
      <c r="D2522" s="16"/>
      <c r="E2522" s="16"/>
      <c r="F2522" s="17"/>
      <c r="G2522" s="16"/>
      <c r="H2522" s="16"/>
      <c r="I2522" s="16"/>
      <c r="J2522" s="16"/>
      <c r="K2522" s="16"/>
      <c r="L2522" s="16"/>
      <c r="M2522" s="18" t="str">
        <f aca="false">IF(OR(C2522="",D2522=""),"",IF(MOD(COUNTIFS($C$2:C2522,C2522,$D$2:D2522,D2522)*7,10)&lt;3,"teste","treino"))</f>
        <v/>
      </c>
      <c r="N2522" s="16"/>
      <c r="O2522" s="16"/>
      <c r="P2522" s="16"/>
      <c r="Q2522" s="17"/>
    </row>
    <row r="2523" customFormat="false" ht="15" hidden="false" customHeight="false" outlineLevel="0" collapsed="false">
      <c r="A2523" s="15" t="str">
        <f aca="false">IF(B2523="","",ROW()-1)</f>
        <v/>
      </c>
      <c r="B2523" s="16"/>
      <c r="C2523" s="16"/>
      <c r="D2523" s="16"/>
      <c r="E2523" s="16"/>
      <c r="F2523" s="17"/>
      <c r="G2523" s="16"/>
      <c r="H2523" s="16"/>
      <c r="I2523" s="16"/>
      <c r="J2523" s="16"/>
      <c r="K2523" s="16"/>
      <c r="L2523" s="16"/>
      <c r="M2523" s="18" t="str">
        <f aca="false">IF(OR(C2523="",D2523=""),"",IF(MOD(COUNTIFS($C$2:C2523,C2523,$D$2:D2523,D2523)*7,10)&lt;3,"teste","treino"))</f>
        <v/>
      </c>
      <c r="N2523" s="16"/>
      <c r="O2523" s="16"/>
      <c r="P2523" s="16"/>
      <c r="Q2523" s="17"/>
    </row>
    <row r="2524" customFormat="false" ht="15" hidden="false" customHeight="false" outlineLevel="0" collapsed="false">
      <c r="A2524" s="15" t="str">
        <f aca="false">IF(B2524="","",ROW()-1)</f>
        <v/>
      </c>
      <c r="B2524" s="16"/>
      <c r="C2524" s="16"/>
      <c r="D2524" s="16"/>
      <c r="E2524" s="16"/>
      <c r="F2524" s="17"/>
      <c r="G2524" s="16"/>
      <c r="H2524" s="16"/>
      <c r="I2524" s="16"/>
      <c r="J2524" s="16"/>
      <c r="K2524" s="16"/>
      <c r="L2524" s="16"/>
      <c r="M2524" s="18" t="str">
        <f aca="false">IF(OR(C2524="",D2524=""),"",IF(MOD(COUNTIFS($C$2:C2524,C2524,$D$2:D2524,D2524)*7,10)&lt;3,"teste","treino"))</f>
        <v/>
      </c>
      <c r="N2524" s="16"/>
      <c r="O2524" s="16"/>
      <c r="P2524" s="16"/>
      <c r="Q2524" s="17"/>
    </row>
    <row r="2525" customFormat="false" ht="15" hidden="false" customHeight="false" outlineLevel="0" collapsed="false">
      <c r="A2525" s="15" t="str">
        <f aca="false">IF(B2525="","",ROW()-1)</f>
        <v/>
      </c>
      <c r="B2525" s="16"/>
      <c r="C2525" s="16"/>
      <c r="D2525" s="16"/>
      <c r="E2525" s="16"/>
      <c r="F2525" s="17"/>
      <c r="G2525" s="16"/>
      <c r="H2525" s="16"/>
      <c r="I2525" s="16"/>
      <c r="J2525" s="16"/>
      <c r="K2525" s="16"/>
      <c r="L2525" s="16"/>
      <c r="M2525" s="18" t="str">
        <f aca="false">IF(OR(C2525="",D2525=""),"",IF(MOD(COUNTIFS($C$2:C2525,C2525,$D$2:D2525,D2525)*7,10)&lt;3,"teste","treino"))</f>
        <v/>
      </c>
      <c r="N2525" s="16"/>
      <c r="O2525" s="16"/>
      <c r="P2525" s="16"/>
      <c r="Q2525" s="17"/>
    </row>
    <row r="2526" customFormat="false" ht="15" hidden="false" customHeight="false" outlineLevel="0" collapsed="false">
      <c r="A2526" s="15" t="str">
        <f aca="false">IF(B2526="","",ROW()-1)</f>
        <v/>
      </c>
      <c r="B2526" s="16"/>
      <c r="C2526" s="16"/>
      <c r="D2526" s="16"/>
      <c r="E2526" s="16"/>
      <c r="F2526" s="17"/>
      <c r="G2526" s="16"/>
      <c r="H2526" s="16"/>
      <c r="I2526" s="16"/>
      <c r="J2526" s="16"/>
      <c r="K2526" s="16"/>
      <c r="L2526" s="16"/>
      <c r="M2526" s="18" t="str">
        <f aca="false">IF(OR(C2526="",D2526=""),"",IF(MOD(COUNTIFS($C$2:C2526,C2526,$D$2:D2526,D2526)*7,10)&lt;3,"teste","treino"))</f>
        <v/>
      </c>
      <c r="N2526" s="16"/>
      <c r="O2526" s="16"/>
      <c r="P2526" s="16"/>
      <c r="Q2526" s="17"/>
    </row>
    <row r="2527" customFormat="false" ht="15" hidden="false" customHeight="false" outlineLevel="0" collapsed="false">
      <c r="A2527" s="15" t="str">
        <f aca="false">IF(B2527="","",ROW()-1)</f>
        <v/>
      </c>
      <c r="B2527" s="16"/>
      <c r="C2527" s="16"/>
      <c r="D2527" s="16"/>
      <c r="E2527" s="16"/>
      <c r="F2527" s="17"/>
      <c r="G2527" s="16"/>
      <c r="H2527" s="16"/>
      <c r="I2527" s="16"/>
      <c r="J2527" s="16"/>
      <c r="K2527" s="16"/>
      <c r="L2527" s="16"/>
      <c r="M2527" s="18" t="str">
        <f aca="false">IF(OR(C2527="",D2527=""),"",IF(MOD(COUNTIFS($C$2:C2527,C2527,$D$2:D2527,D2527)*7,10)&lt;3,"teste","treino"))</f>
        <v/>
      </c>
      <c r="N2527" s="16"/>
      <c r="O2527" s="16"/>
      <c r="P2527" s="16"/>
      <c r="Q2527" s="17"/>
    </row>
    <row r="2528" customFormat="false" ht="15" hidden="false" customHeight="false" outlineLevel="0" collapsed="false">
      <c r="A2528" s="15" t="str">
        <f aca="false">IF(B2528="","",ROW()-1)</f>
        <v/>
      </c>
      <c r="B2528" s="16"/>
      <c r="C2528" s="16"/>
      <c r="D2528" s="16"/>
      <c r="E2528" s="16"/>
      <c r="F2528" s="17"/>
      <c r="G2528" s="16"/>
      <c r="H2528" s="16"/>
      <c r="I2528" s="16"/>
      <c r="J2528" s="16"/>
      <c r="K2528" s="16"/>
      <c r="L2528" s="16"/>
      <c r="M2528" s="18" t="str">
        <f aca="false">IF(OR(C2528="",D2528=""),"",IF(MOD(COUNTIFS($C$2:C2528,C2528,$D$2:D2528,D2528)*7,10)&lt;3,"teste","treino"))</f>
        <v/>
      </c>
      <c r="N2528" s="16"/>
      <c r="O2528" s="16"/>
      <c r="P2528" s="16"/>
      <c r="Q2528" s="17"/>
    </row>
    <row r="2529" customFormat="false" ht="15" hidden="false" customHeight="false" outlineLevel="0" collapsed="false">
      <c r="A2529" s="15" t="str">
        <f aca="false">IF(B2529="","",ROW()-1)</f>
        <v/>
      </c>
      <c r="B2529" s="16"/>
      <c r="C2529" s="16"/>
      <c r="D2529" s="16"/>
      <c r="E2529" s="16"/>
      <c r="F2529" s="17"/>
      <c r="G2529" s="16"/>
      <c r="H2529" s="16"/>
      <c r="I2529" s="16"/>
      <c r="J2529" s="16"/>
      <c r="K2529" s="16"/>
      <c r="L2529" s="16"/>
      <c r="M2529" s="18" t="str">
        <f aca="false">IF(OR(C2529="",D2529=""),"",IF(MOD(COUNTIFS($C$2:C2529,C2529,$D$2:D2529,D2529)*7,10)&lt;3,"teste","treino"))</f>
        <v/>
      </c>
      <c r="N2529" s="16"/>
      <c r="O2529" s="16"/>
      <c r="P2529" s="16"/>
      <c r="Q2529" s="17"/>
    </row>
    <row r="2530" customFormat="false" ht="15" hidden="false" customHeight="false" outlineLevel="0" collapsed="false">
      <c r="A2530" s="15" t="str">
        <f aca="false">IF(B2530="","",ROW()-1)</f>
        <v/>
      </c>
      <c r="B2530" s="16"/>
      <c r="C2530" s="16"/>
      <c r="D2530" s="16"/>
      <c r="E2530" s="16"/>
      <c r="F2530" s="17"/>
      <c r="G2530" s="16"/>
      <c r="H2530" s="16"/>
      <c r="I2530" s="16"/>
      <c r="J2530" s="16"/>
      <c r="K2530" s="16"/>
      <c r="L2530" s="16"/>
      <c r="M2530" s="18" t="str">
        <f aca="false">IF(OR(C2530="",D2530=""),"",IF(MOD(COUNTIFS($C$2:C2530,C2530,$D$2:D2530,D2530)*7,10)&lt;3,"teste","treino"))</f>
        <v/>
      </c>
      <c r="N2530" s="16"/>
      <c r="O2530" s="16"/>
      <c r="P2530" s="16"/>
      <c r="Q2530" s="17"/>
    </row>
    <row r="2531" customFormat="false" ht="15" hidden="false" customHeight="false" outlineLevel="0" collapsed="false">
      <c r="A2531" s="15" t="str">
        <f aca="false">IF(B2531="","",ROW()-1)</f>
        <v/>
      </c>
      <c r="B2531" s="16"/>
      <c r="C2531" s="16"/>
      <c r="D2531" s="16"/>
      <c r="E2531" s="16"/>
      <c r="F2531" s="17"/>
      <c r="G2531" s="16"/>
      <c r="H2531" s="16"/>
      <c r="I2531" s="16"/>
      <c r="J2531" s="16"/>
      <c r="K2531" s="16"/>
      <c r="L2531" s="16"/>
      <c r="M2531" s="18" t="str">
        <f aca="false">IF(OR(C2531="",D2531=""),"",IF(MOD(COUNTIFS($C$2:C2531,C2531,$D$2:D2531,D2531)*7,10)&lt;3,"teste","treino"))</f>
        <v/>
      </c>
      <c r="N2531" s="16"/>
      <c r="O2531" s="16"/>
      <c r="P2531" s="16"/>
      <c r="Q2531" s="17"/>
    </row>
    <row r="2532" customFormat="false" ht="15" hidden="false" customHeight="false" outlineLevel="0" collapsed="false">
      <c r="A2532" s="15" t="str">
        <f aca="false">IF(B2532="","",ROW()-1)</f>
        <v/>
      </c>
      <c r="B2532" s="16"/>
      <c r="C2532" s="16"/>
      <c r="D2532" s="16"/>
      <c r="E2532" s="16"/>
      <c r="F2532" s="17"/>
      <c r="G2532" s="16"/>
      <c r="H2532" s="16"/>
      <c r="I2532" s="16"/>
      <c r="J2532" s="16"/>
      <c r="K2532" s="16"/>
      <c r="L2532" s="16"/>
      <c r="M2532" s="18" t="str">
        <f aca="false">IF(OR(C2532="",D2532=""),"",IF(MOD(COUNTIFS($C$2:C2532,C2532,$D$2:D2532,D2532)*7,10)&lt;3,"teste","treino"))</f>
        <v/>
      </c>
      <c r="N2532" s="16"/>
      <c r="O2532" s="16"/>
      <c r="P2532" s="16"/>
      <c r="Q2532" s="17"/>
    </row>
    <row r="2533" customFormat="false" ht="15" hidden="false" customHeight="false" outlineLevel="0" collapsed="false">
      <c r="A2533" s="15" t="str">
        <f aca="false">IF(B2533="","",ROW()-1)</f>
        <v/>
      </c>
      <c r="B2533" s="16"/>
      <c r="C2533" s="16"/>
      <c r="D2533" s="16"/>
      <c r="E2533" s="16"/>
      <c r="F2533" s="17"/>
      <c r="G2533" s="16"/>
      <c r="H2533" s="16"/>
      <c r="I2533" s="16"/>
      <c r="J2533" s="16"/>
      <c r="K2533" s="16"/>
      <c r="L2533" s="16"/>
      <c r="M2533" s="18" t="str">
        <f aca="false">IF(OR(C2533="",D2533=""),"",IF(MOD(COUNTIFS($C$2:C2533,C2533,$D$2:D2533,D2533)*7,10)&lt;3,"teste","treino"))</f>
        <v/>
      </c>
      <c r="N2533" s="16"/>
      <c r="O2533" s="16"/>
      <c r="P2533" s="16"/>
      <c r="Q2533" s="17"/>
    </row>
    <row r="2534" customFormat="false" ht="15" hidden="false" customHeight="false" outlineLevel="0" collapsed="false">
      <c r="A2534" s="15" t="str">
        <f aca="false">IF(B2534="","",ROW()-1)</f>
        <v/>
      </c>
      <c r="B2534" s="16"/>
      <c r="C2534" s="16"/>
      <c r="D2534" s="16"/>
      <c r="E2534" s="16"/>
      <c r="F2534" s="17"/>
      <c r="G2534" s="16"/>
      <c r="H2534" s="16"/>
      <c r="I2534" s="16"/>
      <c r="J2534" s="16"/>
      <c r="K2534" s="16"/>
      <c r="L2534" s="16"/>
      <c r="M2534" s="18" t="str">
        <f aca="false">IF(OR(C2534="",D2534=""),"",IF(MOD(COUNTIFS($C$2:C2534,C2534,$D$2:D2534,D2534)*7,10)&lt;3,"teste","treino"))</f>
        <v/>
      </c>
      <c r="N2534" s="16"/>
      <c r="O2534" s="16"/>
      <c r="P2534" s="16"/>
      <c r="Q2534" s="17"/>
    </row>
    <row r="2535" customFormat="false" ht="15" hidden="false" customHeight="false" outlineLevel="0" collapsed="false">
      <c r="A2535" s="15" t="str">
        <f aca="false">IF(B2535="","",ROW()-1)</f>
        <v/>
      </c>
      <c r="B2535" s="16"/>
      <c r="C2535" s="16"/>
      <c r="D2535" s="16"/>
      <c r="E2535" s="16"/>
      <c r="F2535" s="17"/>
      <c r="G2535" s="16"/>
      <c r="H2535" s="16"/>
      <c r="I2535" s="16"/>
      <c r="J2535" s="16"/>
      <c r="K2535" s="16"/>
      <c r="L2535" s="16"/>
      <c r="M2535" s="18" t="str">
        <f aca="false">IF(OR(C2535="",D2535=""),"",IF(MOD(COUNTIFS($C$2:C2535,C2535,$D$2:D2535,D2535)*7,10)&lt;3,"teste","treino"))</f>
        <v/>
      </c>
      <c r="N2535" s="16"/>
      <c r="O2535" s="16"/>
      <c r="P2535" s="16"/>
      <c r="Q2535" s="17"/>
    </row>
    <row r="2536" customFormat="false" ht="15" hidden="false" customHeight="false" outlineLevel="0" collapsed="false">
      <c r="A2536" s="15" t="str">
        <f aca="false">IF(B2536="","",ROW()-1)</f>
        <v/>
      </c>
      <c r="B2536" s="16"/>
      <c r="C2536" s="16"/>
      <c r="D2536" s="16"/>
      <c r="E2536" s="16"/>
      <c r="F2536" s="17"/>
      <c r="G2536" s="16"/>
      <c r="H2536" s="16"/>
      <c r="I2536" s="16"/>
      <c r="J2536" s="16"/>
      <c r="K2536" s="16"/>
      <c r="L2536" s="16"/>
      <c r="M2536" s="18" t="str">
        <f aca="false">IF(OR(C2536="",D2536=""),"",IF(MOD(COUNTIFS($C$2:C2536,C2536,$D$2:D2536,D2536)*7,10)&lt;3,"teste","treino"))</f>
        <v/>
      </c>
      <c r="N2536" s="16"/>
      <c r="O2536" s="16"/>
      <c r="P2536" s="16"/>
      <c r="Q2536" s="17"/>
    </row>
    <row r="2537" customFormat="false" ht="15" hidden="false" customHeight="false" outlineLevel="0" collapsed="false">
      <c r="A2537" s="15" t="str">
        <f aca="false">IF(B2537="","",ROW()-1)</f>
        <v/>
      </c>
      <c r="B2537" s="16"/>
      <c r="C2537" s="16"/>
      <c r="D2537" s="16"/>
      <c r="E2537" s="16"/>
      <c r="F2537" s="17"/>
      <c r="G2537" s="16"/>
      <c r="H2537" s="16"/>
      <c r="I2537" s="16"/>
      <c r="J2537" s="16"/>
      <c r="K2537" s="16"/>
      <c r="L2537" s="16"/>
      <c r="M2537" s="18" t="str">
        <f aca="false">IF(OR(C2537="",D2537=""),"",IF(MOD(COUNTIFS($C$2:C2537,C2537,$D$2:D2537,D2537)*7,10)&lt;3,"teste","treino"))</f>
        <v/>
      </c>
      <c r="N2537" s="16"/>
      <c r="O2537" s="16"/>
      <c r="P2537" s="16"/>
      <c r="Q2537" s="17"/>
    </row>
    <row r="2538" customFormat="false" ht="15" hidden="false" customHeight="false" outlineLevel="0" collapsed="false">
      <c r="A2538" s="15" t="str">
        <f aca="false">IF(B2538="","",ROW()-1)</f>
        <v/>
      </c>
      <c r="B2538" s="16"/>
      <c r="C2538" s="16"/>
      <c r="D2538" s="16"/>
      <c r="E2538" s="16"/>
      <c r="F2538" s="17"/>
      <c r="G2538" s="16"/>
      <c r="H2538" s="16"/>
      <c r="I2538" s="16"/>
      <c r="J2538" s="16"/>
      <c r="K2538" s="16"/>
      <c r="L2538" s="16"/>
      <c r="M2538" s="18" t="str">
        <f aca="false">IF(OR(C2538="",D2538=""),"",IF(MOD(COUNTIFS($C$2:C2538,C2538,$D$2:D2538,D2538)*7,10)&lt;3,"teste","treino"))</f>
        <v/>
      </c>
      <c r="N2538" s="16"/>
      <c r="O2538" s="16"/>
      <c r="P2538" s="16"/>
      <c r="Q2538" s="17"/>
    </row>
    <row r="2539" customFormat="false" ht="15" hidden="false" customHeight="false" outlineLevel="0" collapsed="false">
      <c r="A2539" s="15" t="str">
        <f aca="false">IF(B2539="","",ROW()-1)</f>
        <v/>
      </c>
      <c r="B2539" s="16"/>
      <c r="C2539" s="16"/>
      <c r="D2539" s="16"/>
      <c r="E2539" s="16"/>
      <c r="F2539" s="17"/>
      <c r="G2539" s="16"/>
      <c r="H2539" s="16"/>
      <c r="I2539" s="16"/>
      <c r="J2539" s="16"/>
      <c r="K2539" s="16"/>
      <c r="L2539" s="16"/>
      <c r="M2539" s="18" t="str">
        <f aca="false">IF(OR(C2539="",D2539=""),"",IF(MOD(COUNTIFS($C$2:C2539,C2539,$D$2:D2539,D2539)*7,10)&lt;3,"teste","treino"))</f>
        <v/>
      </c>
      <c r="N2539" s="16"/>
      <c r="O2539" s="16"/>
      <c r="P2539" s="16"/>
      <c r="Q2539" s="17"/>
    </row>
    <row r="2540" customFormat="false" ht="15" hidden="false" customHeight="false" outlineLevel="0" collapsed="false">
      <c r="A2540" s="15" t="str">
        <f aca="false">IF(B2540="","",ROW()-1)</f>
        <v/>
      </c>
      <c r="B2540" s="16"/>
      <c r="C2540" s="16"/>
      <c r="D2540" s="16"/>
      <c r="E2540" s="16"/>
      <c r="F2540" s="17"/>
      <c r="G2540" s="16"/>
      <c r="H2540" s="16"/>
      <c r="I2540" s="16"/>
      <c r="J2540" s="16"/>
      <c r="K2540" s="16"/>
      <c r="L2540" s="16"/>
      <c r="M2540" s="18" t="str">
        <f aca="false">IF(OR(C2540="",D2540=""),"",IF(MOD(COUNTIFS($C$2:C2540,C2540,$D$2:D2540,D2540)*7,10)&lt;3,"teste","treino"))</f>
        <v/>
      </c>
      <c r="N2540" s="16"/>
      <c r="O2540" s="16"/>
      <c r="P2540" s="16"/>
      <c r="Q2540" s="17"/>
    </row>
    <row r="2541" customFormat="false" ht="15" hidden="false" customHeight="false" outlineLevel="0" collapsed="false">
      <c r="A2541" s="15" t="str">
        <f aca="false">IF(B2541="","",ROW()-1)</f>
        <v/>
      </c>
      <c r="B2541" s="16"/>
      <c r="C2541" s="16"/>
      <c r="D2541" s="16"/>
      <c r="E2541" s="16"/>
      <c r="F2541" s="17"/>
      <c r="G2541" s="16"/>
      <c r="H2541" s="16"/>
      <c r="I2541" s="16"/>
      <c r="J2541" s="16"/>
      <c r="K2541" s="16"/>
      <c r="L2541" s="16"/>
      <c r="M2541" s="18" t="str">
        <f aca="false">IF(OR(C2541="",D2541=""),"",IF(MOD(COUNTIFS($C$2:C2541,C2541,$D$2:D2541,D2541)*7,10)&lt;3,"teste","treino"))</f>
        <v/>
      </c>
      <c r="N2541" s="16"/>
      <c r="O2541" s="16"/>
      <c r="P2541" s="16"/>
      <c r="Q2541" s="17"/>
    </row>
    <row r="2542" customFormat="false" ht="15" hidden="false" customHeight="false" outlineLevel="0" collapsed="false">
      <c r="A2542" s="15" t="str">
        <f aca="false">IF(B2542="","",ROW()-1)</f>
        <v/>
      </c>
      <c r="B2542" s="16"/>
      <c r="C2542" s="16"/>
      <c r="D2542" s="16"/>
      <c r="E2542" s="16"/>
      <c r="F2542" s="17"/>
      <c r="G2542" s="16"/>
      <c r="H2542" s="16"/>
      <c r="I2542" s="16"/>
      <c r="J2542" s="16"/>
      <c r="K2542" s="16"/>
      <c r="L2542" s="16"/>
      <c r="M2542" s="18" t="str">
        <f aca="false">IF(OR(C2542="",D2542=""),"",IF(MOD(COUNTIFS($C$2:C2542,C2542,$D$2:D2542,D2542)*7,10)&lt;3,"teste","treino"))</f>
        <v/>
      </c>
      <c r="N2542" s="16"/>
      <c r="O2542" s="16"/>
      <c r="P2542" s="16"/>
      <c r="Q2542" s="17"/>
    </row>
    <row r="2543" customFormat="false" ht="15" hidden="false" customHeight="false" outlineLevel="0" collapsed="false">
      <c r="A2543" s="15" t="str">
        <f aca="false">IF(B2543="","",ROW()-1)</f>
        <v/>
      </c>
      <c r="B2543" s="16"/>
      <c r="C2543" s="16"/>
      <c r="D2543" s="16"/>
      <c r="E2543" s="16"/>
      <c r="F2543" s="17"/>
      <c r="G2543" s="16"/>
      <c r="H2543" s="16"/>
      <c r="I2543" s="16"/>
      <c r="J2543" s="16"/>
      <c r="K2543" s="16"/>
      <c r="L2543" s="16"/>
      <c r="M2543" s="18" t="str">
        <f aca="false">IF(OR(C2543="",D2543=""),"",IF(MOD(COUNTIFS($C$2:C2543,C2543,$D$2:D2543,D2543)*7,10)&lt;3,"teste","treino"))</f>
        <v/>
      </c>
      <c r="N2543" s="16"/>
      <c r="O2543" s="16"/>
      <c r="P2543" s="16"/>
      <c r="Q2543" s="17"/>
    </row>
    <row r="2544" customFormat="false" ht="15" hidden="false" customHeight="false" outlineLevel="0" collapsed="false">
      <c r="A2544" s="15" t="str">
        <f aca="false">IF(B2544="","",ROW()-1)</f>
        <v/>
      </c>
      <c r="B2544" s="16"/>
      <c r="C2544" s="16"/>
      <c r="D2544" s="16"/>
      <c r="E2544" s="16"/>
      <c r="F2544" s="17"/>
      <c r="G2544" s="16"/>
      <c r="H2544" s="16"/>
      <c r="I2544" s="16"/>
      <c r="J2544" s="16"/>
      <c r="K2544" s="16"/>
      <c r="L2544" s="16"/>
      <c r="M2544" s="18" t="str">
        <f aca="false">IF(OR(C2544="",D2544=""),"",IF(MOD(COUNTIFS($C$2:C2544,C2544,$D$2:D2544,D2544)*7,10)&lt;3,"teste","treino"))</f>
        <v/>
      </c>
      <c r="N2544" s="16"/>
      <c r="O2544" s="16"/>
      <c r="P2544" s="16"/>
      <c r="Q2544" s="17"/>
    </row>
    <row r="2545" customFormat="false" ht="15" hidden="false" customHeight="false" outlineLevel="0" collapsed="false">
      <c r="A2545" s="15" t="str">
        <f aca="false">IF(B2545="","",ROW()-1)</f>
        <v/>
      </c>
      <c r="B2545" s="16"/>
      <c r="C2545" s="16"/>
      <c r="D2545" s="16"/>
      <c r="E2545" s="16"/>
      <c r="F2545" s="17"/>
      <c r="G2545" s="16"/>
      <c r="H2545" s="16"/>
      <c r="I2545" s="16"/>
      <c r="J2545" s="16"/>
      <c r="K2545" s="16"/>
      <c r="L2545" s="16"/>
      <c r="M2545" s="18" t="str">
        <f aca="false">IF(OR(C2545="",D2545=""),"",IF(MOD(COUNTIFS($C$2:C2545,C2545,$D$2:D2545,D2545)*7,10)&lt;3,"teste","treino"))</f>
        <v/>
      </c>
      <c r="N2545" s="16"/>
      <c r="O2545" s="16"/>
      <c r="P2545" s="16"/>
      <c r="Q2545" s="17"/>
    </row>
    <row r="2546" customFormat="false" ht="15" hidden="false" customHeight="false" outlineLevel="0" collapsed="false">
      <c r="A2546" s="15" t="str">
        <f aca="false">IF(B2546="","",ROW()-1)</f>
        <v/>
      </c>
      <c r="B2546" s="16"/>
      <c r="C2546" s="16"/>
      <c r="D2546" s="16"/>
      <c r="E2546" s="16"/>
      <c r="F2546" s="17"/>
      <c r="G2546" s="16"/>
      <c r="H2546" s="16"/>
      <c r="I2546" s="16"/>
      <c r="J2546" s="16"/>
      <c r="K2546" s="16"/>
      <c r="L2546" s="16"/>
      <c r="M2546" s="18" t="str">
        <f aca="false">IF(OR(C2546="",D2546=""),"",IF(MOD(COUNTIFS($C$2:C2546,C2546,$D$2:D2546,D2546)*7,10)&lt;3,"teste","treino"))</f>
        <v/>
      </c>
      <c r="N2546" s="16"/>
      <c r="O2546" s="16"/>
      <c r="P2546" s="16"/>
      <c r="Q2546" s="17"/>
    </row>
    <row r="2547" customFormat="false" ht="15" hidden="false" customHeight="false" outlineLevel="0" collapsed="false">
      <c r="A2547" s="15" t="str">
        <f aca="false">IF(B2547="","",ROW()-1)</f>
        <v/>
      </c>
      <c r="B2547" s="16"/>
      <c r="C2547" s="16"/>
      <c r="D2547" s="16"/>
      <c r="E2547" s="16"/>
      <c r="F2547" s="17"/>
      <c r="G2547" s="16"/>
      <c r="H2547" s="16"/>
      <c r="I2547" s="16"/>
      <c r="J2547" s="16"/>
      <c r="K2547" s="16"/>
      <c r="L2547" s="16"/>
      <c r="M2547" s="18" t="str">
        <f aca="false">IF(OR(C2547="",D2547=""),"",IF(MOD(COUNTIFS($C$2:C2547,C2547,$D$2:D2547,D2547)*7,10)&lt;3,"teste","treino"))</f>
        <v/>
      </c>
      <c r="N2547" s="16"/>
      <c r="O2547" s="16"/>
      <c r="P2547" s="16"/>
      <c r="Q2547" s="17"/>
    </row>
    <row r="2548" customFormat="false" ht="15" hidden="false" customHeight="false" outlineLevel="0" collapsed="false">
      <c r="A2548" s="15" t="str">
        <f aca="false">IF(B2548="","",ROW()-1)</f>
        <v/>
      </c>
      <c r="B2548" s="16"/>
      <c r="C2548" s="16"/>
      <c r="D2548" s="16"/>
      <c r="E2548" s="16"/>
      <c r="F2548" s="17"/>
      <c r="G2548" s="16"/>
      <c r="H2548" s="16"/>
      <c r="I2548" s="16"/>
      <c r="J2548" s="16"/>
      <c r="K2548" s="16"/>
      <c r="L2548" s="16"/>
      <c r="M2548" s="18" t="str">
        <f aca="false">IF(OR(C2548="",D2548=""),"",IF(MOD(COUNTIFS($C$2:C2548,C2548,$D$2:D2548,D2548)*7,10)&lt;3,"teste","treino"))</f>
        <v/>
      </c>
      <c r="N2548" s="16"/>
      <c r="O2548" s="16"/>
      <c r="P2548" s="16"/>
      <c r="Q2548" s="17"/>
    </row>
    <row r="2549" customFormat="false" ht="15" hidden="false" customHeight="false" outlineLevel="0" collapsed="false">
      <c r="A2549" s="15" t="str">
        <f aca="false">IF(B2549="","",ROW()-1)</f>
        <v/>
      </c>
      <c r="B2549" s="16"/>
      <c r="C2549" s="16"/>
      <c r="D2549" s="16"/>
      <c r="E2549" s="16"/>
      <c r="F2549" s="17"/>
      <c r="G2549" s="16"/>
      <c r="H2549" s="16"/>
      <c r="I2549" s="16"/>
      <c r="J2549" s="16"/>
      <c r="K2549" s="16"/>
      <c r="L2549" s="16"/>
      <c r="M2549" s="18" t="str">
        <f aca="false">IF(OR(C2549="",D2549=""),"",IF(MOD(COUNTIFS($C$2:C2549,C2549,$D$2:D2549,D2549)*7,10)&lt;3,"teste","treino"))</f>
        <v/>
      </c>
      <c r="N2549" s="16"/>
      <c r="O2549" s="16"/>
      <c r="P2549" s="16"/>
      <c r="Q2549" s="17"/>
    </row>
    <row r="2550" customFormat="false" ht="15" hidden="false" customHeight="false" outlineLevel="0" collapsed="false">
      <c r="A2550" s="15" t="str">
        <f aca="false">IF(B2550="","",ROW()-1)</f>
        <v/>
      </c>
      <c r="B2550" s="16"/>
      <c r="C2550" s="16"/>
      <c r="D2550" s="16"/>
      <c r="E2550" s="16"/>
      <c r="F2550" s="17"/>
      <c r="G2550" s="16"/>
      <c r="H2550" s="16"/>
      <c r="I2550" s="16"/>
      <c r="J2550" s="16"/>
      <c r="K2550" s="16"/>
      <c r="L2550" s="16"/>
      <c r="M2550" s="18" t="str">
        <f aca="false">IF(OR(C2550="",D2550=""),"",IF(MOD(COUNTIFS($C$2:C2550,C2550,$D$2:D2550,D2550)*7,10)&lt;3,"teste","treino"))</f>
        <v/>
      </c>
      <c r="N2550" s="16"/>
      <c r="O2550" s="16"/>
      <c r="P2550" s="16"/>
      <c r="Q2550" s="17"/>
    </row>
    <row r="2551" customFormat="false" ht="15" hidden="false" customHeight="false" outlineLevel="0" collapsed="false">
      <c r="A2551" s="15" t="str">
        <f aca="false">IF(B2551="","",ROW()-1)</f>
        <v/>
      </c>
      <c r="B2551" s="16"/>
      <c r="C2551" s="16"/>
      <c r="D2551" s="16"/>
      <c r="E2551" s="16"/>
      <c r="F2551" s="17"/>
      <c r="G2551" s="16"/>
      <c r="H2551" s="16"/>
      <c r="I2551" s="16"/>
      <c r="J2551" s="16"/>
      <c r="K2551" s="16"/>
      <c r="L2551" s="16"/>
      <c r="M2551" s="18" t="str">
        <f aca="false">IF(OR(C2551="",D2551=""),"",IF(MOD(COUNTIFS($C$2:C2551,C2551,$D$2:D2551,D2551)*7,10)&lt;3,"teste","treino"))</f>
        <v/>
      </c>
      <c r="N2551" s="16"/>
      <c r="O2551" s="16"/>
      <c r="P2551" s="16"/>
      <c r="Q2551" s="17"/>
    </row>
    <row r="2552" customFormat="false" ht="15" hidden="false" customHeight="false" outlineLevel="0" collapsed="false">
      <c r="A2552" s="15" t="str">
        <f aca="false">IF(B2552="","",ROW()-1)</f>
        <v/>
      </c>
      <c r="B2552" s="16"/>
      <c r="C2552" s="16"/>
      <c r="D2552" s="16"/>
      <c r="E2552" s="16"/>
      <c r="F2552" s="17"/>
      <c r="G2552" s="16"/>
      <c r="H2552" s="16"/>
      <c r="I2552" s="16"/>
      <c r="J2552" s="16"/>
      <c r="K2552" s="16"/>
      <c r="L2552" s="16"/>
      <c r="M2552" s="18" t="str">
        <f aca="false">IF(OR(C2552="",D2552=""),"",IF(MOD(COUNTIFS($C$2:C2552,C2552,$D$2:D2552,D2552)*7,10)&lt;3,"teste","treino"))</f>
        <v/>
      </c>
      <c r="N2552" s="16"/>
      <c r="O2552" s="16"/>
      <c r="P2552" s="16"/>
      <c r="Q2552" s="17"/>
    </row>
    <row r="2553" customFormat="false" ht="15" hidden="false" customHeight="false" outlineLevel="0" collapsed="false">
      <c r="A2553" s="15" t="str">
        <f aca="false">IF(B2553="","",ROW()-1)</f>
        <v/>
      </c>
      <c r="B2553" s="16"/>
      <c r="C2553" s="16"/>
      <c r="D2553" s="16"/>
      <c r="E2553" s="16"/>
      <c r="F2553" s="17"/>
      <c r="G2553" s="16"/>
      <c r="H2553" s="16"/>
      <c r="I2553" s="16"/>
      <c r="J2553" s="16"/>
      <c r="K2553" s="16"/>
      <c r="L2553" s="16"/>
      <c r="M2553" s="18" t="str">
        <f aca="false">IF(OR(C2553="",D2553=""),"",IF(MOD(COUNTIFS($C$2:C2553,C2553,$D$2:D2553,D2553)*7,10)&lt;3,"teste","treino"))</f>
        <v/>
      </c>
      <c r="N2553" s="16"/>
      <c r="O2553" s="16"/>
      <c r="P2553" s="16"/>
      <c r="Q2553" s="17"/>
    </row>
    <row r="2554" customFormat="false" ht="15" hidden="false" customHeight="false" outlineLevel="0" collapsed="false">
      <c r="A2554" s="15" t="str">
        <f aca="false">IF(B2554="","",ROW()-1)</f>
        <v/>
      </c>
      <c r="B2554" s="16"/>
      <c r="C2554" s="16"/>
      <c r="D2554" s="16"/>
      <c r="E2554" s="16"/>
      <c r="F2554" s="17"/>
      <c r="G2554" s="16"/>
      <c r="H2554" s="16"/>
      <c r="I2554" s="16"/>
      <c r="J2554" s="16"/>
      <c r="K2554" s="16"/>
      <c r="L2554" s="16"/>
      <c r="M2554" s="18" t="str">
        <f aca="false">IF(OR(C2554="",D2554=""),"",IF(MOD(COUNTIFS($C$2:C2554,C2554,$D$2:D2554,D2554)*7,10)&lt;3,"teste","treino"))</f>
        <v/>
      </c>
      <c r="N2554" s="16"/>
      <c r="O2554" s="16"/>
      <c r="P2554" s="16"/>
      <c r="Q2554" s="17"/>
    </row>
    <row r="2555" customFormat="false" ht="15" hidden="false" customHeight="false" outlineLevel="0" collapsed="false">
      <c r="A2555" s="15" t="str">
        <f aca="false">IF(B2555="","",ROW()-1)</f>
        <v/>
      </c>
      <c r="B2555" s="16"/>
      <c r="C2555" s="16"/>
      <c r="D2555" s="16"/>
      <c r="E2555" s="16"/>
      <c r="F2555" s="17"/>
      <c r="G2555" s="16"/>
      <c r="H2555" s="16"/>
      <c r="I2555" s="16"/>
      <c r="J2555" s="16"/>
      <c r="K2555" s="16"/>
      <c r="L2555" s="16"/>
      <c r="M2555" s="18" t="str">
        <f aca="false">IF(OR(C2555="",D2555=""),"",IF(MOD(COUNTIFS($C$2:C2555,C2555,$D$2:D2555,D2555)*7,10)&lt;3,"teste","treino"))</f>
        <v/>
      </c>
      <c r="N2555" s="16"/>
      <c r="O2555" s="16"/>
      <c r="P2555" s="16"/>
      <c r="Q2555" s="17"/>
    </row>
    <row r="2556" customFormat="false" ht="15" hidden="false" customHeight="false" outlineLevel="0" collapsed="false">
      <c r="A2556" s="15" t="str">
        <f aca="false">IF(B2556="","",ROW()-1)</f>
        <v/>
      </c>
      <c r="B2556" s="16"/>
      <c r="C2556" s="16"/>
      <c r="D2556" s="16"/>
      <c r="E2556" s="16"/>
      <c r="F2556" s="17"/>
      <c r="G2556" s="16"/>
      <c r="H2556" s="16"/>
      <c r="I2556" s="16"/>
      <c r="J2556" s="16"/>
      <c r="K2556" s="16"/>
      <c r="L2556" s="16"/>
      <c r="M2556" s="18" t="str">
        <f aca="false">IF(OR(C2556="",D2556=""),"",IF(MOD(COUNTIFS($C$2:C2556,C2556,$D$2:D2556,D2556)*7,10)&lt;3,"teste","treino"))</f>
        <v/>
      </c>
      <c r="N2556" s="16"/>
      <c r="O2556" s="16"/>
      <c r="P2556" s="16"/>
      <c r="Q2556" s="17"/>
    </row>
    <row r="2557" customFormat="false" ht="15" hidden="false" customHeight="false" outlineLevel="0" collapsed="false">
      <c r="A2557" s="15" t="str">
        <f aca="false">IF(B2557="","",ROW()-1)</f>
        <v/>
      </c>
      <c r="B2557" s="16"/>
      <c r="C2557" s="16"/>
      <c r="D2557" s="16"/>
      <c r="E2557" s="16"/>
      <c r="F2557" s="17"/>
      <c r="G2557" s="16"/>
      <c r="H2557" s="16"/>
      <c r="I2557" s="16"/>
      <c r="J2557" s="16"/>
      <c r="K2557" s="16"/>
      <c r="L2557" s="16"/>
      <c r="M2557" s="18" t="str">
        <f aca="false">IF(OR(C2557="",D2557=""),"",IF(MOD(COUNTIFS($C$2:C2557,C2557,$D$2:D2557,D2557)*7,10)&lt;3,"teste","treino"))</f>
        <v/>
      </c>
      <c r="N2557" s="16"/>
      <c r="O2557" s="16"/>
      <c r="P2557" s="16"/>
      <c r="Q2557" s="17"/>
    </row>
    <row r="2558" customFormat="false" ht="15" hidden="false" customHeight="false" outlineLevel="0" collapsed="false">
      <c r="A2558" s="15" t="str">
        <f aca="false">IF(B2558="","",ROW()-1)</f>
        <v/>
      </c>
      <c r="B2558" s="16"/>
      <c r="C2558" s="16"/>
      <c r="D2558" s="16"/>
      <c r="E2558" s="16"/>
      <c r="F2558" s="17"/>
      <c r="G2558" s="16"/>
      <c r="H2558" s="16"/>
      <c r="I2558" s="16"/>
      <c r="J2558" s="16"/>
      <c r="K2558" s="16"/>
      <c r="L2558" s="16"/>
      <c r="M2558" s="18" t="str">
        <f aca="false">IF(OR(C2558="",D2558=""),"",IF(MOD(COUNTIFS($C$2:C2558,C2558,$D$2:D2558,D2558)*7,10)&lt;3,"teste","treino"))</f>
        <v/>
      </c>
      <c r="N2558" s="16"/>
      <c r="O2558" s="16"/>
      <c r="P2558" s="16"/>
      <c r="Q2558" s="17"/>
    </row>
    <row r="2559" customFormat="false" ht="15" hidden="false" customHeight="false" outlineLevel="0" collapsed="false">
      <c r="A2559" s="15" t="str">
        <f aca="false">IF(B2559="","",ROW()-1)</f>
        <v/>
      </c>
      <c r="B2559" s="16"/>
      <c r="C2559" s="16"/>
      <c r="D2559" s="16"/>
      <c r="E2559" s="16"/>
      <c r="F2559" s="17"/>
      <c r="G2559" s="16"/>
      <c r="H2559" s="16"/>
      <c r="I2559" s="16"/>
      <c r="J2559" s="16"/>
      <c r="K2559" s="16"/>
      <c r="L2559" s="16"/>
      <c r="M2559" s="18" t="str">
        <f aca="false">IF(OR(C2559="",D2559=""),"",IF(MOD(COUNTIFS($C$2:C2559,C2559,$D$2:D2559,D2559)*7,10)&lt;3,"teste","treino"))</f>
        <v/>
      </c>
      <c r="N2559" s="16"/>
      <c r="O2559" s="16"/>
      <c r="P2559" s="16"/>
      <c r="Q2559" s="17"/>
    </row>
    <row r="2560" customFormat="false" ht="15" hidden="false" customHeight="false" outlineLevel="0" collapsed="false">
      <c r="A2560" s="15" t="str">
        <f aca="false">IF(B2560="","",ROW()-1)</f>
        <v/>
      </c>
      <c r="B2560" s="16"/>
      <c r="C2560" s="16"/>
      <c r="D2560" s="16"/>
      <c r="E2560" s="16"/>
      <c r="F2560" s="17"/>
      <c r="G2560" s="16"/>
      <c r="H2560" s="16"/>
      <c r="I2560" s="16"/>
      <c r="J2560" s="16"/>
      <c r="K2560" s="16"/>
      <c r="L2560" s="16"/>
      <c r="M2560" s="18" t="str">
        <f aca="false">IF(OR(C2560="",D2560=""),"",IF(MOD(COUNTIFS($C$2:C2560,C2560,$D$2:D2560,D2560)*7,10)&lt;3,"teste","treino"))</f>
        <v/>
      </c>
      <c r="N2560" s="16"/>
      <c r="O2560" s="16"/>
      <c r="P2560" s="16"/>
      <c r="Q2560" s="17"/>
    </row>
    <row r="2561" customFormat="false" ht="15" hidden="false" customHeight="false" outlineLevel="0" collapsed="false">
      <c r="A2561" s="15" t="str">
        <f aca="false">IF(B2561="","",ROW()-1)</f>
        <v/>
      </c>
      <c r="B2561" s="16"/>
      <c r="C2561" s="16"/>
      <c r="D2561" s="16"/>
      <c r="E2561" s="16"/>
      <c r="F2561" s="17"/>
      <c r="G2561" s="16"/>
      <c r="H2561" s="16"/>
      <c r="I2561" s="16"/>
      <c r="J2561" s="16"/>
      <c r="K2561" s="16"/>
      <c r="L2561" s="16"/>
      <c r="M2561" s="18" t="str">
        <f aca="false">IF(OR(C2561="",D2561=""),"",IF(MOD(COUNTIFS($C$2:C2561,C2561,$D$2:D2561,D2561)*7,10)&lt;3,"teste","treino"))</f>
        <v/>
      </c>
      <c r="N2561" s="16"/>
      <c r="O2561" s="16"/>
      <c r="P2561" s="16"/>
      <c r="Q2561" s="17"/>
    </row>
    <row r="2562" customFormat="false" ht="15" hidden="false" customHeight="false" outlineLevel="0" collapsed="false">
      <c r="A2562" s="15" t="str">
        <f aca="false">IF(B2562="","",ROW()-1)</f>
        <v/>
      </c>
      <c r="B2562" s="16"/>
      <c r="C2562" s="16"/>
      <c r="D2562" s="16"/>
      <c r="E2562" s="16"/>
      <c r="F2562" s="17"/>
      <c r="G2562" s="16"/>
      <c r="H2562" s="16"/>
      <c r="I2562" s="16"/>
      <c r="J2562" s="16"/>
      <c r="K2562" s="16"/>
      <c r="L2562" s="16"/>
      <c r="M2562" s="18" t="str">
        <f aca="false">IF(OR(C2562="",D2562=""),"",IF(MOD(COUNTIFS($C$2:C2562,C2562,$D$2:D2562,D2562)*7,10)&lt;3,"teste","treino"))</f>
        <v/>
      </c>
      <c r="N2562" s="16"/>
      <c r="O2562" s="16"/>
      <c r="P2562" s="16"/>
      <c r="Q2562" s="17"/>
    </row>
    <row r="2563" customFormat="false" ht="15" hidden="false" customHeight="false" outlineLevel="0" collapsed="false">
      <c r="A2563" s="15" t="str">
        <f aca="false">IF(B2563="","",ROW()-1)</f>
        <v/>
      </c>
      <c r="B2563" s="16"/>
      <c r="C2563" s="16"/>
      <c r="D2563" s="16"/>
      <c r="E2563" s="16"/>
      <c r="F2563" s="17"/>
      <c r="G2563" s="16"/>
      <c r="H2563" s="16"/>
      <c r="I2563" s="16"/>
      <c r="J2563" s="16"/>
      <c r="K2563" s="16"/>
      <c r="L2563" s="16"/>
      <c r="M2563" s="18" t="str">
        <f aca="false">IF(OR(C2563="",D2563=""),"",IF(MOD(COUNTIFS($C$2:C2563,C2563,$D$2:D2563,D2563)*7,10)&lt;3,"teste","treino"))</f>
        <v/>
      </c>
      <c r="N2563" s="16"/>
      <c r="O2563" s="16"/>
      <c r="P2563" s="16"/>
      <c r="Q2563" s="17"/>
    </row>
    <row r="2564" customFormat="false" ht="15" hidden="false" customHeight="false" outlineLevel="0" collapsed="false">
      <c r="A2564" s="15" t="str">
        <f aca="false">IF(B2564="","",ROW()-1)</f>
        <v/>
      </c>
      <c r="B2564" s="16"/>
      <c r="C2564" s="16"/>
      <c r="D2564" s="16"/>
      <c r="E2564" s="16"/>
      <c r="F2564" s="17"/>
      <c r="G2564" s="16"/>
      <c r="H2564" s="16"/>
      <c r="I2564" s="16"/>
      <c r="J2564" s="16"/>
      <c r="K2564" s="16"/>
      <c r="L2564" s="16"/>
      <c r="M2564" s="18" t="str">
        <f aca="false">IF(OR(C2564="",D2564=""),"",IF(MOD(COUNTIFS($C$2:C2564,C2564,$D$2:D2564,D2564)*7,10)&lt;3,"teste","treino"))</f>
        <v/>
      </c>
      <c r="N2564" s="16"/>
      <c r="O2564" s="16"/>
      <c r="P2564" s="16"/>
      <c r="Q2564" s="17"/>
    </row>
    <row r="2565" customFormat="false" ht="15" hidden="false" customHeight="false" outlineLevel="0" collapsed="false">
      <c r="A2565" s="15" t="str">
        <f aca="false">IF(B2565="","",ROW()-1)</f>
        <v/>
      </c>
      <c r="B2565" s="16"/>
      <c r="C2565" s="16"/>
      <c r="D2565" s="16"/>
      <c r="E2565" s="16"/>
      <c r="F2565" s="17"/>
      <c r="G2565" s="16"/>
      <c r="H2565" s="16"/>
      <c r="I2565" s="16"/>
      <c r="J2565" s="16"/>
      <c r="K2565" s="16"/>
      <c r="L2565" s="16"/>
      <c r="M2565" s="18" t="str">
        <f aca="false">IF(OR(C2565="",D2565=""),"",IF(MOD(COUNTIFS($C$2:C2565,C2565,$D$2:D2565,D2565)*7,10)&lt;3,"teste","treino"))</f>
        <v/>
      </c>
      <c r="N2565" s="16"/>
      <c r="O2565" s="16"/>
      <c r="P2565" s="16"/>
      <c r="Q2565" s="17"/>
    </row>
    <row r="2566" customFormat="false" ht="15" hidden="false" customHeight="false" outlineLevel="0" collapsed="false">
      <c r="A2566" s="15" t="str">
        <f aca="false">IF(B2566="","",ROW()-1)</f>
        <v/>
      </c>
      <c r="B2566" s="16"/>
      <c r="C2566" s="16"/>
      <c r="D2566" s="16"/>
      <c r="E2566" s="16"/>
      <c r="F2566" s="17"/>
      <c r="G2566" s="16"/>
      <c r="H2566" s="16"/>
      <c r="I2566" s="16"/>
      <c r="J2566" s="16"/>
      <c r="K2566" s="16"/>
      <c r="L2566" s="16"/>
      <c r="M2566" s="18" t="str">
        <f aca="false">IF(OR(C2566="",D2566=""),"",IF(MOD(COUNTIFS($C$2:C2566,C2566,$D$2:D2566,D2566)*7,10)&lt;3,"teste","treino"))</f>
        <v/>
      </c>
      <c r="N2566" s="16"/>
      <c r="O2566" s="16"/>
      <c r="P2566" s="16"/>
      <c r="Q2566" s="17"/>
    </row>
    <row r="2567" customFormat="false" ht="15" hidden="false" customHeight="false" outlineLevel="0" collapsed="false">
      <c r="A2567" s="15" t="str">
        <f aca="false">IF(B2567="","",ROW()-1)</f>
        <v/>
      </c>
      <c r="B2567" s="16"/>
      <c r="C2567" s="16"/>
      <c r="D2567" s="16"/>
      <c r="E2567" s="16"/>
      <c r="F2567" s="17"/>
      <c r="G2567" s="16"/>
      <c r="H2567" s="16"/>
      <c r="I2567" s="16"/>
      <c r="J2567" s="16"/>
      <c r="K2567" s="16"/>
      <c r="L2567" s="16"/>
      <c r="M2567" s="18" t="str">
        <f aca="false">IF(OR(C2567="",D2567=""),"",IF(MOD(COUNTIFS($C$2:C2567,C2567,$D$2:D2567,D2567)*7,10)&lt;3,"teste","treino"))</f>
        <v/>
      </c>
      <c r="N2567" s="16"/>
      <c r="O2567" s="16"/>
      <c r="P2567" s="16"/>
      <c r="Q2567" s="17"/>
    </row>
    <row r="2568" customFormat="false" ht="15" hidden="false" customHeight="false" outlineLevel="0" collapsed="false">
      <c r="A2568" s="15" t="str">
        <f aca="false">IF(B2568="","",ROW()-1)</f>
        <v/>
      </c>
      <c r="B2568" s="16"/>
      <c r="C2568" s="16"/>
      <c r="D2568" s="16"/>
      <c r="E2568" s="16"/>
      <c r="F2568" s="17"/>
      <c r="G2568" s="16"/>
      <c r="H2568" s="16"/>
      <c r="I2568" s="16"/>
      <c r="J2568" s="16"/>
      <c r="K2568" s="16"/>
      <c r="L2568" s="16"/>
      <c r="M2568" s="18" t="str">
        <f aca="false">IF(OR(C2568="",D2568=""),"",IF(MOD(COUNTIFS($C$2:C2568,C2568,$D$2:D2568,D2568)*7,10)&lt;3,"teste","treino"))</f>
        <v/>
      </c>
      <c r="N2568" s="16"/>
      <c r="O2568" s="16"/>
      <c r="P2568" s="16"/>
      <c r="Q2568" s="17"/>
    </row>
    <row r="2569" customFormat="false" ht="15" hidden="false" customHeight="false" outlineLevel="0" collapsed="false">
      <c r="A2569" s="15" t="str">
        <f aca="false">IF(B2569="","",ROW()-1)</f>
        <v/>
      </c>
      <c r="B2569" s="16"/>
      <c r="C2569" s="16"/>
      <c r="D2569" s="16"/>
      <c r="E2569" s="16"/>
      <c r="F2569" s="17"/>
      <c r="G2569" s="16"/>
      <c r="H2569" s="16"/>
      <c r="I2569" s="16"/>
      <c r="J2569" s="16"/>
      <c r="K2569" s="16"/>
      <c r="L2569" s="16"/>
      <c r="M2569" s="18" t="str">
        <f aca="false">IF(OR(C2569="",D2569=""),"",IF(MOD(COUNTIFS($C$2:C2569,C2569,$D$2:D2569,D2569)*7,10)&lt;3,"teste","treino"))</f>
        <v/>
      </c>
      <c r="N2569" s="16"/>
      <c r="O2569" s="16"/>
      <c r="P2569" s="16"/>
      <c r="Q2569" s="17"/>
    </row>
    <row r="2570" customFormat="false" ht="15" hidden="false" customHeight="false" outlineLevel="0" collapsed="false">
      <c r="A2570" s="15" t="str">
        <f aca="false">IF(B2570="","",ROW()-1)</f>
        <v/>
      </c>
      <c r="B2570" s="16"/>
      <c r="C2570" s="16"/>
      <c r="D2570" s="16"/>
      <c r="E2570" s="16"/>
      <c r="F2570" s="17"/>
      <c r="G2570" s="16"/>
      <c r="H2570" s="16"/>
      <c r="I2570" s="16"/>
      <c r="J2570" s="16"/>
      <c r="K2570" s="16"/>
      <c r="L2570" s="16"/>
      <c r="M2570" s="18" t="str">
        <f aca="false">IF(OR(C2570="",D2570=""),"",IF(MOD(COUNTIFS($C$2:C2570,C2570,$D$2:D2570,D2570)*7,10)&lt;3,"teste","treino"))</f>
        <v/>
      </c>
      <c r="N2570" s="16"/>
      <c r="O2570" s="16"/>
      <c r="P2570" s="16"/>
      <c r="Q2570" s="17"/>
    </row>
    <row r="2571" customFormat="false" ht="15" hidden="false" customHeight="false" outlineLevel="0" collapsed="false">
      <c r="A2571" s="15" t="str">
        <f aca="false">IF(B2571="","",ROW()-1)</f>
        <v/>
      </c>
      <c r="B2571" s="16"/>
      <c r="C2571" s="16"/>
      <c r="D2571" s="16"/>
      <c r="E2571" s="16"/>
      <c r="F2571" s="17"/>
      <c r="G2571" s="16"/>
      <c r="H2571" s="16"/>
      <c r="I2571" s="16"/>
      <c r="J2571" s="16"/>
      <c r="K2571" s="16"/>
      <c r="L2571" s="16"/>
      <c r="M2571" s="18" t="str">
        <f aca="false">IF(OR(C2571="",D2571=""),"",IF(MOD(COUNTIFS($C$2:C2571,C2571,$D$2:D2571,D2571)*7,10)&lt;3,"teste","treino"))</f>
        <v/>
      </c>
      <c r="N2571" s="16"/>
      <c r="O2571" s="16"/>
      <c r="P2571" s="16"/>
      <c r="Q2571" s="17"/>
    </row>
    <row r="2572" customFormat="false" ht="15" hidden="false" customHeight="false" outlineLevel="0" collapsed="false">
      <c r="A2572" s="15" t="str">
        <f aca="false">IF(B2572="","",ROW()-1)</f>
        <v/>
      </c>
      <c r="B2572" s="16"/>
      <c r="C2572" s="16"/>
      <c r="D2572" s="16"/>
      <c r="E2572" s="16"/>
      <c r="F2572" s="17"/>
      <c r="G2572" s="16"/>
      <c r="H2572" s="16"/>
      <c r="I2572" s="16"/>
      <c r="J2572" s="16"/>
      <c r="K2572" s="16"/>
      <c r="L2572" s="16"/>
      <c r="M2572" s="18" t="str">
        <f aca="false">IF(OR(C2572="",D2572=""),"",IF(MOD(COUNTIFS($C$2:C2572,C2572,$D$2:D2572,D2572)*7,10)&lt;3,"teste","treino"))</f>
        <v/>
      </c>
      <c r="N2572" s="16"/>
      <c r="O2572" s="16"/>
      <c r="P2572" s="16"/>
      <c r="Q2572" s="17"/>
    </row>
    <row r="2573" customFormat="false" ht="15" hidden="false" customHeight="false" outlineLevel="0" collapsed="false">
      <c r="A2573" s="15" t="str">
        <f aca="false">IF(B2573="","",ROW()-1)</f>
        <v/>
      </c>
      <c r="B2573" s="16"/>
      <c r="C2573" s="16"/>
      <c r="D2573" s="16"/>
      <c r="E2573" s="16"/>
      <c r="F2573" s="17"/>
      <c r="G2573" s="16"/>
      <c r="H2573" s="16"/>
      <c r="I2573" s="16"/>
      <c r="J2573" s="16"/>
      <c r="K2573" s="16"/>
      <c r="L2573" s="16"/>
      <c r="M2573" s="18" t="str">
        <f aca="false">IF(OR(C2573="",D2573=""),"",IF(MOD(COUNTIFS($C$2:C2573,C2573,$D$2:D2573,D2573)*7,10)&lt;3,"teste","treino"))</f>
        <v/>
      </c>
      <c r="N2573" s="16"/>
      <c r="O2573" s="16"/>
      <c r="P2573" s="16"/>
      <c r="Q2573" s="17"/>
    </row>
    <row r="2574" customFormat="false" ht="15" hidden="false" customHeight="false" outlineLevel="0" collapsed="false">
      <c r="A2574" s="15" t="str">
        <f aca="false">IF(B2574="","",ROW()-1)</f>
        <v/>
      </c>
      <c r="B2574" s="16"/>
      <c r="C2574" s="16"/>
      <c r="D2574" s="16"/>
      <c r="E2574" s="16"/>
      <c r="F2574" s="17"/>
      <c r="G2574" s="16"/>
      <c r="H2574" s="16"/>
      <c r="I2574" s="16"/>
      <c r="J2574" s="16"/>
      <c r="K2574" s="16"/>
      <c r="L2574" s="16"/>
      <c r="M2574" s="18" t="str">
        <f aca="false">IF(OR(C2574="",D2574=""),"",IF(MOD(COUNTIFS($C$2:C2574,C2574,$D$2:D2574,D2574)*7,10)&lt;3,"teste","treino"))</f>
        <v/>
      </c>
      <c r="N2574" s="16"/>
      <c r="O2574" s="16"/>
      <c r="P2574" s="16"/>
      <c r="Q2574" s="17"/>
    </row>
    <row r="2575" customFormat="false" ht="15" hidden="false" customHeight="false" outlineLevel="0" collapsed="false">
      <c r="A2575" s="15" t="str">
        <f aca="false">IF(B2575="","",ROW()-1)</f>
        <v/>
      </c>
      <c r="B2575" s="16"/>
      <c r="C2575" s="16"/>
      <c r="D2575" s="16"/>
      <c r="E2575" s="16"/>
      <c r="F2575" s="17"/>
      <c r="G2575" s="16"/>
      <c r="H2575" s="16"/>
      <c r="I2575" s="16"/>
      <c r="J2575" s="16"/>
      <c r="K2575" s="16"/>
      <c r="L2575" s="16"/>
      <c r="M2575" s="18" t="str">
        <f aca="false">IF(OR(C2575="",D2575=""),"",IF(MOD(COUNTIFS($C$2:C2575,C2575,$D$2:D2575,D2575)*7,10)&lt;3,"teste","treino"))</f>
        <v/>
      </c>
      <c r="N2575" s="16"/>
      <c r="O2575" s="16"/>
      <c r="P2575" s="16"/>
      <c r="Q2575" s="17"/>
    </row>
    <row r="2576" customFormat="false" ht="15" hidden="false" customHeight="false" outlineLevel="0" collapsed="false">
      <c r="A2576" s="15" t="str">
        <f aca="false">IF(B2576="","",ROW()-1)</f>
        <v/>
      </c>
      <c r="B2576" s="16"/>
      <c r="C2576" s="16"/>
      <c r="D2576" s="16"/>
      <c r="E2576" s="16"/>
      <c r="F2576" s="17"/>
      <c r="G2576" s="16"/>
      <c r="H2576" s="16"/>
      <c r="I2576" s="16"/>
      <c r="J2576" s="16"/>
      <c r="K2576" s="16"/>
      <c r="L2576" s="16"/>
      <c r="M2576" s="18" t="str">
        <f aca="false">IF(OR(C2576="",D2576=""),"",IF(MOD(COUNTIFS($C$2:C2576,C2576,$D$2:D2576,D2576)*7,10)&lt;3,"teste","treino"))</f>
        <v/>
      </c>
      <c r="N2576" s="16"/>
      <c r="O2576" s="16"/>
      <c r="P2576" s="16"/>
      <c r="Q2576" s="17"/>
    </row>
    <row r="2577" customFormat="false" ht="15" hidden="false" customHeight="false" outlineLevel="0" collapsed="false">
      <c r="A2577" s="15" t="str">
        <f aca="false">IF(B2577="","",ROW()-1)</f>
        <v/>
      </c>
      <c r="B2577" s="16"/>
      <c r="C2577" s="16"/>
      <c r="D2577" s="16"/>
      <c r="E2577" s="16"/>
      <c r="F2577" s="17"/>
      <c r="G2577" s="16"/>
      <c r="H2577" s="16"/>
      <c r="I2577" s="16"/>
      <c r="J2577" s="16"/>
      <c r="K2577" s="16"/>
      <c r="L2577" s="16"/>
      <c r="M2577" s="18" t="str">
        <f aca="false">IF(OR(C2577="",D2577=""),"",IF(MOD(COUNTIFS($C$2:C2577,C2577,$D$2:D2577,D2577)*7,10)&lt;3,"teste","treino"))</f>
        <v/>
      </c>
      <c r="N2577" s="16"/>
      <c r="O2577" s="16"/>
      <c r="P2577" s="16"/>
      <c r="Q2577" s="17"/>
    </row>
    <row r="2578" customFormat="false" ht="15" hidden="false" customHeight="false" outlineLevel="0" collapsed="false">
      <c r="A2578" s="15" t="str">
        <f aca="false">IF(B2578="","",ROW()-1)</f>
        <v/>
      </c>
      <c r="B2578" s="16"/>
      <c r="C2578" s="16"/>
      <c r="D2578" s="16"/>
      <c r="E2578" s="16"/>
      <c r="F2578" s="17"/>
      <c r="G2578" s="16"/>
      <c r="H2578" s="16"/>
      <c r="I2578" s="16"/>
      <c r="J2578" s="16"/>
      <c r="K2578" s="16"/>
      <c r="L2578" s="16"/>
      <c r="M2578" s="18" t="str">
        <f aca="false">IF(OR(C2578="",D2578=""),"",IF(MOD(COUNTIFS($C$2:C2578,C2578,$D$2:D2578,D2578)*7,10)&lt;3,"teste","treino"))</f>
        <v/>
      </c>
      <c r="N2578" s="16"/>
      <c r="O2578" s="16"/>
      <c r="P2578" s="16"/>
      <c r="Q2578" s="17"/>
    </row>
    <row r="2579" customFormat="false" ht="15" hidden="false" customHeight="false" outlineLevel="0" collapsed="false">
      <c r="A2579" s="15" t="str">
        <f aca="false">IF(B2579="","",ROW()-1)</f>
        <v/>
      </c>
      <c r="B2579" s="16"/>
      <c r="C2579" s="16"/>
      <c r="D2579" s="16"/>
      <c r="E2579" s="16"/>
      <c r="F2579" s="17"/>
      <c r="G2579" s="16"/>
      <c r="H2579" s="16"/>
      <c r="I2579" s="16"/>
      <c r="J2579" s="16"/>
      <c r="K2579" s="16"/>
      <c r="L2579" s="16"/>
      <c r="M2579" s="18" t="str">
        <f aca="false">IF(OR(C2579="",D2579=""),"",IF(MOD(COUNTIFS($C$2:C2579,C2579,$D$2:D2579,D2579)*7,10)&lt;3,"teste","treino"))</f>
        <v/>
      </c>
      <c r="N2579" s="16"/>
      <c r="O2579" s="16"/>
      <c r="P2579" s="16"/>
      <c r="Q2579" s="17"/>
    </row>
    <row r="2580" customFormat="false" ht="15" hidden="false" customHeight="false" outlineLevel="0" collapsed="false">
      <c r="A2580" s="15" t="str">
        <f aca="false">IF(B2580="","",ROW()-1)</f>
        <v/>
      </c>
      <c r="B2580" s="16"/>
      <c r="C2580" s="16"/>
      <c r="D2580" s="16"/>
      <c r="E2580" s="16"/>
      <c r="F2580" s="17"/>
      <c r="G2580" s="16"/>
      <c r="H2580" s="16"/>
      <c r="I2580" s="16"/>
      <c r="J2580" s="16"/>
      <c r="K2580" s="16"/>
      <c r="L2580" s="16"/>
      <c r="M2580" s="18" t="str">
        <f aca="false">IF(OR(C2580="",D2580=""),"",IF(MOD(COUNTIFS($C$2:C2580,C2580,$D$2:D2580,D2580)*7,10)&lt;3,"teste","treino"))</f>
        <v/>
      </c>
      <c r="N2580" s="16"/>
      <c r="O2580" s="16"/>
      <c r="P2580" s="16"/>
      <c r="Q2580" s="17"/>
    </row>
    <row r="2581" customFormat="false" ht="15" hidden="false" customHeight="false" outlineLevel="0" collapsed="false">
      <c r="A2581" s="15" t="str">
        <f aca="false">IF(B2581="","",ROW()-1)</f>
        <v/>
      </c>
      <c r="B2581" s="16"/>
      <c r="C2581" s="16"/>
      <c r="D2581" s="16"/>
      <c r="E2581" s="16"/>
      <c r="F2581" s="17"/>
      <c r="G2581" s="16"/>
      <c r="H2581" s="16"/>
      <c r="I2581" s="16"/>
      <c r="J2581" s="16"/>
      <c r="K2581" s="16"/>
      <c r="L2581" s="16"/>
      <c r="M2581" s="18" t="str">
        <f aca="false">IF(OR(C2581="",D2581=""),"",IF(MOD(COUNTIFS($C$2:C2581,C2581,$D$2:D2581,D2581)*7,10)&lt;3,"teste","treino"))</f>
        <v/>
      </c>
      <c r="N2581" s="16"/>
      <c r="O2581" s="16"/>
      <c r="P2581" s="16"/>
      <c r="Q2581" s="17"/>
    </row>
    <row r="2582" customFormat="false" ht="15" hidden="false" customHeight="false" outlineLevel="0" collapsed="false">
      <c r="A2582" s="15" t="str">
        <f aca="false">IF(B2582="","",ROW()-1)</f>
        <v/>
      </c>
      <c r="B2582" s="16"/>
      <c r="C2582" s="16"/>
      <c r="D2582" s="16"/>
      <c r="E2582" s="16"/>
      <c r="F2582" s="17"/>
      <c r="G2582" s="16"/>
      <c r="H2582" s="16"/>
      <c r="I2582" s="16"/>
      <c r="J2582" s="16"/>
      <c r="K2582" s="16"/>
      <c r="L2582" s="16"/>
      <c r="M2582" s="18" t="str">
        <f aca="false">IF(OR(C2582="",D2582=""),"",IF(MOD(COUNTIFS($C$2:C2582,C2582,$D$2:D2582,D2582)*7,10)&lt;3,"teste","treino"))</f>
        <v/>
      </c>
      <c r="N2582" s="16"/>
      <c r="O2582" s="16"/>
      <c r="P2582" s="16"/>
      <c r="Q2582" s="17"/>
    </row>
    <row r="2583" customFormat="false" ht="15" hidden="false" customHeight="false" outlineLevel="0" collapsed="false">
      <c r="A2583" s="15" t="str">
        <f aca="false">IF(B2583="","",ROW()-1)</f>
        <v/>
      </c>
      <c r="B2583" s="16"/>
      <c r="C2583" s="16"/>
      <c r="D2583" s="16"/>
      <c r="E2583" s="16"/>
      <c r="F2583" s="17"/>
      <c r="G2583" s="16"/>
      <c r="H2583" s="16"/>
      <c r="I2583" s="16"/>
      <c r="J2583" s="16"/>
      <c r="K2583" s="16"/>
      <c r="L2583" s="16"/>
      <c r="M2583" s="18" t="str">
        <f aca="false">IF(OR(C2583="",D2583=""),"",IF(MOD(COUNTIFS($C$2:C2583,C2583,$D$2:D2583,D2583)*7,10)&lt;3,"teste","treino"))</f>
        <v/>
      </c>
      <c r="N2583" s="16"/>
      <c r="O2583" s="16"/>
      <c r="P2583" s="16"/>
      <c r="Q2583" s="17"/>
    </row>
    <row r="2584" customFormat="false" ht="15" hidden="false" customHeight="false" outlineLevel="0" collapsed="false">
      <c r="A2584" s="15" t="str">
        <f aca="false">IF(B2584="","",ROW()-1)</f>
        <v/>
      </c>
      <c r="B2584" s="16"/>
      <c r="C2584" s="16"/>
      <c r="D2584" s="16"/>
      <c r="E2584" s="16"/>
      <c r="F2584" s="17"/>
      <c r="G2584" s="16"/>
      <c r="H2584" s="16"/>
      <c r="I2584" s="16"/>
      <c r="J2584" s="16"/>
      <c r="K2584" s="16"/>
      <c r="L2584" s="16"/>
      <c r="M2584" s="18" t="str">
        <f aca="false">IF(OR(C2584="",D2584=""),"",IF(MOD(COUNTIFS($C$2:C2584,C2584,$D$2:D2584,D2584)*7,10)&lt;3,"teste","treino"))</f>
        <v/>
      </c>
      <c r="N2584" s="16"/>
      <c r="O2584" s="16"/>
      <c r="P2584" s="16"/>
      <c r="Q2584" s="17"/>
    </row>
    <row r="2585" customFormat="false" ht="15" hidden="false" customHeight="false" outlineLevel="0" collapsed="false">
      <c r="A2585" s="15" t="str">
        <f aca="false">IF(B2585="","",ROW()-1)</f>
        <v/>
      </c>
      <c r="B2585" s="16"/>
      <c r="C2585" s="16"/>
      <c r="D2585" s="16"/>
      <c r="E2585" s="16"/>
      <c r="F2585" s="17"/>
      <c r="G2585" s="16"/>
      <c r="H2585" s="16"/>
      <c r="I2585" s="16"/>
      <c r="J2585" s="16"/>
      <c r="K2585" s="16"/>
      <c r="L2585" s="16"/>
      <c r="M2585" s="18" t="str">
        <f aca="false">IF(OR(C2585="",D2585=""),"",IF(MOD(COUNTIFS($C$2:C2585,C2585,$D$2:D2585,D2585)*7,10)&lt;3,"teste","treino"))</f>
        <v/>
      </c>
      <c r="N2585" s="16"/>
      <c r="O2585" s="16"/>
      <c r="P2585" s="16"/>
      <c r="Q2585" s="17"/>
    </row>
    <row r="2586" customFormat="false" ht="15" hidden="false" customHeight="false" outlineLevel="0" collapsed="false">
      <c r="A2586" s="15" t="str">
        <f aca="false">IF(B2586="","",ROW()-1)</f>
        <v/>
      </c>
      <c r="B2586" s="16"/>
      <c r="C2586" s="16"/>
      <c r="D2586" s="16"/>
      <c r="E2586" s="16"/>
      <c r="F2586" s="17"/>
      <c r="G2586" s="16"/>
      <c r="H2586" s="16"/>
      <c r="I2586" s="16"/>
      <c r="J2586" s="16"/>
      <c r="K2586" s="16"/>
      <c r="L2586" s="16"/>
      <c r="M2586" s="18" t="str">
        <f aca="false">IF(OR(C2586="",D2586=""),"",IF(MOD(COUNTIFS($C$2:C2586,C2586,$D$2:D2586,D2586)*7,10)&lt;3,"teste","treino"))</f>
        <v/>
      </c>
      <c r="N2586" s="16"/>
      <c r="O2586" s="16"/>
      <c r="P2586" s="16"/>
      <c r="Q2586" s="17"/>
    </row>
    <row r="2587" customFormat="false" ht="15" hidden="false" customHeight="false" outlineLevel="0" collapsed="false">
      <c r="A2587" s="15" t="str">
        <f aca="false">IF(B2587="","",ROW()-1)</f>
        <v/>
      </c>
      <c r="B2587" s="16"/>
      <c r="C2587" s="16"/>
      <c r="D2587" s="16"/>
      <c r="E2587" s="16"/>
      <c r="F2587" s="17"/>
      <c r="G2587" s="16"/>
      <c r="H2587" s="16"/>
      <c r="I2587" s="16"/>
      <c r="J2587" s="16"/>
      <c r="K2587" s="16"/>
      <c r="L2587" s="16"/>
      <c r="M2587" s="18" t="str">
        <f aca="false">IF(OR(C2587="",D2587=""),"",IF(MOD(COUNTIFS($C$2:C2587,C2587,$D$2:D2587,D2587)*7,10)&lt;3,"teste","treino"))</f>
        <v/>
      </c>
      <c r="N2587" s="16"/>
      <c r="O2587" s="16"/>
      <c r="P2587" s="16"/>
      <c r="Q2587" s="17"/>
    </row>
    <row r="2588" customFormat="false" ht="15" hidden="false" customHeight="false" outlineLevel="0" collapsed="false">
      <c r="A2588" s="15" t="str">
        <f aca="false">IF(B2588="","",ROW()-1)</f>
        <v/>
      </c>
      <c r="B2588" s="16"/>
      <c r="C2588" s="16"/>
      <c r="D2588" s="16"/>
      <c r="E2588" s="16"/>
      <c r="F2588" s="17"/>
      <c r="G2588" s="16"/>
      <c r="H2588" s="16"/>
      <c r="I2588" s="16"/>
      <c r="J2588" s="16"/>
      <c r="K2588" s="16"/>
      <c r="L2588" s="16"/>
      <c r="M2588" s="18" t="str">
        <f aca="false">IF(OR(C2588="",D2588=""),"",IF(MOD(COUNTIFS($C$2:C2588,C2588,$D$2:D2588,D2588)*7,10)&lt;3,"teste","treino"))</f>
        <v/>
      </c>
      <c r="N2588" s="16"/>
      <c r="O2588" s="16"/>
      <c r="P2588" s="16"/>
      <c r="Q2588" s="17"/>
    </row>
    <row r="2589" customFormat="false" ht="15" hidden="false" customHeight="false" outlineLevel="0" collapsed="false">
      <c r="A2589" s="15" t="str">
        <f aca="false">IF(B2589="","",ROW()-1)</f>
        <v/>
      </c>
      <c r="B2589" s="16"/>
      <c r="C2589" s="16"/>
      <c r="D2589" s="16"/>
      <c r="E2589" s="16"/>
      <c r="F2589" s="17"/>
      <c r="G2589" s="16"/>
      <c r="H2589" s="16"/>
      <c r="I2589" s="16"/>
      <c r="J2589" s="16"/>
      <c r="K2589" s="16"/>
      <c r="L2589" s="16"/>
      <c r="M2589" s="18" t="str">
        <f aca="false">IF(OR(C2589="",D2589=""),"",IF(MOD(COUNTIFS($C$2:C2589,C2589,$D$2:D2589,D2589)*7,10)&lt;3,"teste","treino"))</f>
        <v/>
      </c>
      <c r="N2589" s="16"/>
      <c r="O2589" s="16"/>
      <c r="P2589" s="16"/>
      <c r="Q2589" s="17"/>
    </row>
    <row r="2590" customFormat="false" ht="15" hidden="false" customHeight="false" outlineLevel="0" collapsed="false">
      <c r="A2590" s="15" t="str">
        <f aca="false">IF(B2590="","",ROW()-1)</f>
        <v/>
      </c>
      <c r="B2590" s="16"/>
      <c r="C2590" s="16"/>
      <c r="D2590" s="16"/>
      <c r="E2590" s="16"/>
      <c r="F2590" s="17"/>
      <c r="G2590" s="16"/>
      <c r="H2590" s="16"/>
      <c r="I2590" s="16"/>
      <c r="J2590" s="16"/>
      <c r="K2590" s="16"/>
      <c r="L2590" s="16"/>
      <c r="M2590" s="18" t="str">
        <f aca="false">IF(OR(C2590="",D2590=""),"",IF(MOD(COUNTIFS($C$2:C2590,C2590,$D$2:D2590,D2590)*7,10)&lt;3,"teste","treino"))</f>
        <v/>
      </c>
      <c r="N2590" s="16"/>
      <c r="O2590" s="16"/>
      <c r="P2590" s="16"/>
      <c r="Q2590" s="17"/>
    </row>
    <row r="2591" customFormat="false" ht="15" hidden="false" customHeight="false" outlineLevel="0" collapsed="false">
      <c r="A2591" s="15" t="str">
        <f aca="false">IF(B2591="","",ROW()-1)</f>
        <v/>
      </c>
      <c r="B2591" s="16"/>
      <c r="C2591" s="16"/>
      <c r="D2591" s="16"/>
      <c r="E2591" s="16"/>
      <c r="F2591" s="17"/>
      <c r="G2591" s="16"/>
      <c r="H2591" s="16"/>
      <c r="I2591" s="16"/>
      <c r="J2591" s="16"/>
      <c r="K2591" s="16"/>
      <c r="L2591" s="16"/>
      <c r="M2591" s="18" t="str">
        <f aca="false">IF(OR(C2591="",D2591=""),"",IF(MOD(COUNTIFS($C$2:C2591,C2591,$D$2:D2591,D2591)*7,10)&lt;3,"teste","treino"))</f>
        <v/>
      </c>
      <c r="N2591" s="16"/>
      <c r="O2591" s="16"/>
      <c r="P2591" s="16"/>
      <c r="Q2591" s="17"/>
    </row>
    <row r="2592" customFormat="false" ht="15" hidden="false" customHeight="false" outlineLevel="0" collapsed="false">
      <c r="A2592" s="15" t="str">
        <f aca="false">IF(B2592="","",ROW()-1)</f>
        <v/>
      </c>
      <c r="B2592" s="16"/>
      <c r="C2592" s="16"/>
      <c r="D2592" s="16"/>
      <c r="E2592" s="16"/>
      <c r="F2592" s="17"/>
      <c r="G2592" s="16"/>
      <c r="H2592" s="16"/>
      <c r="I2592" s="16"/>
      <c r="J2592" s="16"/>
      <c r="K2592" s="16"/>
      <c r="L2592" s="16"/>
      <c r="M2592" s="18" t="str">
        <f aca="false">IF(OR(C2592="",D2592=""),"",IF(MOD(COUNTIFS($C$2:C2592,C2592,$D$2:D2592,D2592)*7,10)&lt;3,"teste","treino"))</f>
        <v/>
      </c>
      <c r="N2592" s="16"/>
      <c r="O2592" s="16"/>
      <c r="P2592" s="16"/>
      <c r="Q2592" s="17"/>
    </row>
    <row r="2593" customFormat="false" ht="15" hidden="false" customHeight="false" outlineLevel="0" collapsed="false">
      <c r="A2593" s="15" t="str">
        <f aca="false">IF(B2593="","",ROW()-1)</f>
        <v/>
      </c>
      <c r="B2593" s="16"/>
      <c r="C2593" s="16"/>
      <c r="D2593" s="16"/>
      <c r="E2593" s="16"/>
      <c r="F2593" s="17"/>
      <c r="G2593" s="16"/>
      <c r="H2593" s="16"/>
      <c r="I2593" s="16"/>
      <c r="J2593" s="16"/>
      <c r="K2593" s="16"/>
      <c r="L2593" s="16"/>
      <c r="M2593" s="18" t="str">
        <f aca="false">IF(OR(C2593="",D2593=""),"",IF(MOD(COUNTIFS($C$2:C2593,C2593,$D$2:D2593,D2593)*7,10)&lt;3,"teste","treino"))</f>
        <v/>
      </c>
      <c r="N2593" s="16"/>
      <c r="O2593" s="16"/>
      <c r="P2593" s="16"/>
      <c r="Q2593" s="17"/>
    </row>
    <row r="2594" customFormat="false" ht="15" hidden="false" customHeight="false" outlineLevel="0" collapsed="false">
      <c r="A2594" s="15" t="str">
        <f aca="false">IF(B2594="","",ROW()-1)</f>
        <v/>
      </c>
      <c r="B2594" s="16"/>
      <c r="C2594" s="16"/>
      <c r="D2594" s="16"/>
      <c r="E2594" s="16"/>
      <c r="F2594" s="17"/>
      <c r="G2594" s="16"/>
      <c r="H2594" s="16"/>
      <c r="I2594" s="16"/>
      <c r="J2594" s="16"/>
      <c r="K2594" s="16"/>
      <c r="L2594" s="16"/>
      <c r="M2594" s="18" t="str">
        <f aca="false">IF(OR(C2594="",D2594=""),"",IF(MOD(COUNTIFS($C$2:C2594,C2594,$D$2:D2594,D2594)*7,10)&lt;3,"teste","treino"))</f>
        <v/>
      </c>
      <c r="N2594" s="16"/>
      <c r="O2594" s="16"/>
      <c r="P2594" s="16"/>
      <c r="Q2594" s="17"/>
    </row>
    <row r="2595" customFormat="false" ht="15" hidden="false" customHeight="false" outlineLevel="0" collapsed="false">
      <c r="A2595" s="15" t="str">
        <f aca="false">IF(B2595="","",ROW()-1)</f>
        <v/>
      </c>
      <c r="B2595" s="16"/>
      <c r="C2595" s="16"/>
      <c r="D2595" s="16"/>
      <c r="E2595" s="16"/>
      <c r="F2595" s="17"/>
      <c r="G2595" s="16"/>
      <c r="H2595" s="16"/>
      <c r="I2595" s="16"/>
      <c r="J2595" s="16"/>
      <c r="K2595" s="16"/>
      <c r="L2595" s="16"/>
      <c r="M2595" s="18" t="str">
        <f aca="false">IF(OR(C2595="",D2595=""),"",IF(MOD(COUNTIFS($C$2:C2595,C2595,$D$2:D2595,D2595)*7,10)&lt;3,"teste","treino"))</f>
        <v/>
      </c>
      <c r="N2595" s="16"/>
      <c r="O2595" s="16"/>
      <c r="P2595" s="16"/>
      <c r="Q2595" s="17"/>
    </row>
    <row r="2596" customFormat="false" ht="15" hidden="false" customHeight="false" outlineLevel="0" collapsed="false">
      <c r="A2596" s="15" t="str">
        <f aca="false">IF(B2596="","",ROW()-1)</f>
        <v/>
      </c>
      <c r="B2596" s="16"/>
      <c r="C2596" s="16"/>
      <c r="D2596" s="16"/>
      <c r="E2596" s="16"/>
      <c r="F2596" s="17"/>
      <c r="G2596" s="16"/>
      <c r="H2596" s="16"/>
      <c r="I2596" s="16"/>
      <c r="J2596" s="16"/>
      <c r="K2596" s="16"/>
      <c r="L2596" s="16"/>
      <c r="M2596" s="18" t="str">
        <f aca="false">IF(OR(C2596="",D2596=""),"",IF(MOD(COUNTIFS($C$2:C2596,C2596,$D$2:D2596,D2596)*7,10)&lt;3,"teste","treino"))</f>
        <v/>
      </c>
      <c r="N2596" s="16"/>
      <c r="O2596" s="16"/>
      <c r="P2596" s="16"/>
      <c r="Q2596" s="17"/>
    </row>
    <row r="2597" customFormat="false" ht="15" hidden="false" customHeight="false" outlineLevel="0" collapsed="false">
      <c r="A2597" s="15" t="str">
        <f aca="false">IF(B2597="","",ROW()-1)</f>
        <v/>
      </c>
      <c r="B2597" s="16"/>
      <c r="C2597" s="16"/>
      <c r="D2597" s="16"/>
      <c r="E2597" s="16"/>
      <c r="F2597" s="17"/>
      <c r="G2597" s="16"/>
      <c r="H2597" s="16"/>
      <c r="I2597" s="16"/>
      <c r="J2597" s="16"/>
      <c r="K2597" s="16"/>
      <c r="L2597" s="16"/>
      <c r="M2597" s="18" t="str">
        <f aca="false">IF(OR(C2597="",D2597=""),"",IF(MOD(COUNTIFS($C$2:C2597,C2597,$D$2:D2597,D2597)*7,10)&lt;3,"teste","treino"))</f>
        <v/>
      </c>
      <c r="N2597" s="16"/>
      <c r="O2597" s="16"/>
      <c r="P2597" s="16"/>
      <c r="Q2597" s="17"/>
    </row>
    <row r="2598" customFormat="false" ht="15" hidden="false" customHeight="false" outlineLevel="0" collapsed="false">
      <c r="A2598" s="15" t="str">
        <f aca="false">IF(B2598="","",ROW()-1)</f>
        <v/>
      </c>
      <c r="B2598" s="16"/>
      <c r="C2598" s="16"/>
      <c r="D2598" s="16"/>
      <c r="E2598" s="16"/>
      <c r="F2598" s="17"/>
      <c r="G2598" s="16"/>
      <c r="H2598" s="16"/>
      <c r="I2598" s="16"/>
      <c r="J2598" s="16"/>
      <c r="K2598" s="16"/>
      <c r="L2598" s="16"/>
      <c r="M2598" s="18" t="str">
        <f aca="false">IF(OR(C2598="",D2598=""),"",IF(MOD(COUNTIFS($C$2:C2598,C2598,$D$2:D2598,D2598)*7,10)&lt;3,"teste","treino"))</f>
        <v/>
      </c>
      <c r="N2598" s="16"/>
      <c r="O2598" s="16"/>
      <c r="P2598" s="16"/>
      <c r="Q2598" s="17"/>
    </row>
    <row r="2599" customFormat="false" ht="15" hidden="false" customHeight="false" outlineLevel="0" collapsed="false">
      <c r="A2599" s="15" t="str">
        <f aca="false">IF(B2599="","",ROW()-1)</f>
        <v/>
      </c>
      <c r="B2599" s="16"/>
      <c r="C2599" s="16"/>
      <c r="D2599" s="16"/>
      <c r="E2599" s="16"/>
      <c r="F2599" s="17"/>
      <c r="G2599" s="16"/>
      <c r="H2599" s="16"/>
      <c r="I2599" s="16"/>
      <c r="J2599" s="16"/>
      <c r="K2599" s="16"/>
      <c r="L2599" s="16"/>
      <c r="M2599" s="18" t="str">
        <f aca="false">IF(OR(C2599="",D2599=""),"",IF(MOD(COUNTIFS($C$2:C2599,C2599,$D$2:D2599,D2599)*7,10)&lt;3,"teste","treino"))</f>
        <v/>
      </c>
      <c r="N2599" s="16"/>
      <c r="O2599" s="16"/>
      <c r="P2599" s="16"/>
      <c r="Q2599" s="17"/>
    </row>
    <row r="2600" customFormat="false" ht="15" hidden="false" customHeight="false" outlineLevel="0" collapsed="false">
      <c r="A2600" s="15" t="str">
        <f aca="false">IF(B2600="","",ROW()-1)</f>
        <v/>
      </c>
      <c r="B2600" s="16"/>
      <c r="C2600" s="16"/>
      <c r="D2600" s="16"/>
      <c r="E2600" s="16"/>
      <c r="F2600" s="17"/>
      <c r="G2600" s="16"/>
      <c r="H2600" s="16"/>
      <c r="I2600" s="16"/>
      <c r="J2600" s="16"/>
      <c r="K2600" s="16"/>
      <c r="L2600" s="16"/>
      <c r="M2600" s="18" t="str">
        <f aca="false">IF(OR(C2600="",D2600=""),"",IF(MOD(COUNTIFS($C$2:C2600,C2600,$D$2:D2600,D2600)*7,10)&lt;3,"teste","treino"))</f>
        <v/>
      </c>
      <c r="N2600" s="16"/>
      <c r="O2600" s="16"/>
      <c r="P2600" s="16"/>
      <c r="Q2600" s="17"/>
    </row>
    <row r="2601" customFormat="false" ht="15" hidden="false" customHeight="false" outlineLevel="0" collapsed="false">
      <c r="A2601" s="15" t="str">
        <f aca="false">IF(B2601="","",ROW()-1)</f>
        <v/>
      </c>
      <c r="B2601" s="16"/>
      <c r="C2601" s="16"/>
      <c r="D2601" s="16"/>
      <c r="E2601" s="16"/>
      <c r="F2601" s="17"/>
      <c r="G2601" s="16"/>
      <c r="H2601" s="16"/>
      <c r="I2601" s="16"/>
      <c r="J2601" s="16"/>
      <c r="K2601" s="16"/>
      <c r="L2601" s="16"/>
      <c r="M2601" s="18" t="str">
        <f aca="false">IF(OR(C2601="",D2601=""),"",IF(MOD(COUNTIFS($C$2:C2601,C2601,$D$2:D2601,D2601)*7,10)&lt;3,"teste","treino"))</f>
        <v/>
      </c>
      <c r="N2601" s="16"/>
      <c r="O2601" s="16"/>
      <c r="P2601" s="16"/>
      <c r="Q2601" s="17"/>
    </row>
    <row r="2602" customFormat="false" ht="15" hidden="false" customHeight="false" outlineLevel="0" collapsed="false">
      <c r="A2602" s="15" t="str">
        <f aca="false">IF(B2602="","",ROW()-1)</f>
        <v/>
      </c>
      <c r="B2602" s="16"/>
      <c r="C2602" s="16"/>
      <c r="D2602" s="16"/>
      <c r="E2602" s="16"/>
      <c r="F2602" s="17"/>
      <c r="G2602" s="16"/>
      <c r="H2602" s="16"/>
      <c r="I2602" s="16"/>
      <c r="J2602" s="16"/>
      <c r="K2602" s="16"/>
      <c r="L2602" s="16"/>
      <c r="M2602" s="18" t="str">
        <f aca="false">IF(OR(C2602="",D2602=""),"",IF(MOD(COUNTIFS($C$2:C2602,C2602,$D$2:D2602,D2602)*7,10)&lt;3,"teste","treino"))</f>
        <v/>
      </c>
      <c r="N2602" s="16"/>
      <c r="O2602" s="16"/>
      <c r="P2602" s="16"/>
      <c r="Q2602" s="17"/>
    </row>
    <row r="2603" customFormat="false" ht="15" hidden="false" customHeight="false" outlineLevel="0" collapsed="false">
      <c r="A2603" s="15" t="str">
        <f aca="false">IF(B2603="","",ROW()-1)</f>
        <v/>
      </c>
      <c r="B2603" s="16"/>
      <c r="C2603" s="16"/>
      <c r="D2603" s="16"/>
      <c r="E2603" s="16"/>
      <c r="F2603" s="17"/>
      <c r="G2603" s="16"/>
      <c r="H2603" s="16"/>
      <c r="I2603" s="16"/>
      <c r="J2603" s="16"/>
      <c r="K2603" s="16"/>
      <c r="L2603" s="16"/>
      <c r="M2603" s="18" t="str">
        <f aca="false">IF(OR(C2603="",D2603=""),"",IF(MOD(COUNTIFS($C$2:C2603,C2603,$D$2:D2603,D2603)*7,10)&lt;3,"teste","treino"))</f>
        <v/>
      </c>
      <c r="N2603" s="16"/>
      <c r="O2603" s="16"/>
      <c r="P2603" s="16"/>
      <c r="Q2603" s="17"/>
    </row>
    <row r="2604" customFormat="false" ht="15" hidden="false" customHeight="false" outlineLevel="0" collapsed="false">
      <c r="A2604" s="15" t="str">
        <f aca="false">IF(B2604="","",ROW()-1)</f>
        <v/>
      </c>
      <c r="B2604" s="16"/>
      <c r="C2604" s="16"/>
      <c r="D2604" s="16"/>
      <c r="E2604" s="16"/>
      <c r="F2604" s="17"/>
      <c r="G2604" s="16"/>
      <c r="H2604" s="16"/>
      <c r="I2604" s="16"/>
      <c r="J2604" s="16"/>
      <c r="K2604" s="16"/>
      <c r="L2604" s="16"/>
      <c r="M2604" s="18" t="str">
        <f aca="false">IF(OR(C2604="",D2604=""),"",IF(MOD(COUNTIFS($C$2:C2604,C2604,$D$2:D2604,D2604)*7,10)&lt;3,"teste","treino"))</f>
        <v/>
      </c>
      <c r="N2604" s="16"/>
      <c r="O2604" s="16"/>
      <c r="P2604" s="16"/>
      <c r="Q2604" s="17"/>
    </row>
    <row r="2605" customFormat="false" ht="15" hidden="false" customHeight="false" outlineLevel="0" collapsed="false">
      <c r="A2605" s="15" t="str">
        <f aca="false">IF(B2605="","",ROW()-1)</f>
        <v/>
      </c>
      <c r="B2605" s="16"/>
      <c r="C2605" s="16"/>
      <c r="D2605" s="16"/>
      <c r="E2605" s="16"/>
      <c r="F2605" s="17"/>
      <c r="G2605" s="16"/>
      <c r="H2605" s="16"/>
      <c r="I2605" s="16"/>
      <c r="J2605" s="16"/>
      <c r="K2605" s="16"/>
      <c r="L2605" s="16"/>
      <c r="M2605" s="18" t="str">
        <f aca="false">IF(OR(C2605="",D2605=""),"",IF(MOD(COUNTIFS($C$2:C2605,C2605,$D$2:D2605,D2605)*7,10)&lt;3,"teste","treino"))</f>
        <v/>
      </c>
      <c r="N2605" s="16"/>
      <c r="O2605" s="16"/>
      <c r="P2605" s="16"/>
      <c r="Q2605" s="17"/>
    </row>
    <row r="2606" customFormat="false" ht="15" hidden="false" customHeight="false" outlineLevel="0" collapsed="false">
      <c r="A2606" s="15" t="str">
        <f aca="false">IF(B2606="","",ROW()-1)</f>
        <v/>
      </c>
      <c r="B2606" s="16"/>
      <c r="C2606" s="16"/>
      <c r="D2606" s="16"/>
      <c r="E2606" s="16"/>
      <c r="F2606" s="17"/>
      <c r="G2606" s="16"/>
      <c r="H2606" s="16"/>
      <c r="I2606" s="16"/>
      <c r="J2606" s="16"/>
      <c r="K2606" s="16"/>
      <c r="L2606" s="16"/>
      <c r="M2606" s="18" t="str">
        <f aca="false">IF(OR(C2606="",D2606=""),"",IF(MOD(COUNTIFS($C$2:C2606,C2606,$D$2:D2606,D2606)*7,10)&lt;3,"teste","treino"))</f>
        <v/>
      </c>
      <c r="N2606" s="16"/>
      <c r="O2606" s="16"/>
      <c r="P2606" s="16"/>
      <c r="Q2606" s="17"/>
    </row>
    <row r="2607" customFormat="false" ht="15" hidden="false" customHeight="false" outlineLevel="0" collapsed="false">
      <c r="A2607" s="15" t="str">
        <f aca="false">IF(B2607="","",ROW()-1)</f>
        <v/>
      </c>
      <c r="B2607" s="16"/>
      <c r="C2607" s="16"/>
      <c r="D2607" s="16"/>
      <c r="E2607" s="16"/>
      <c r="F2607" s="17"/>
      <c r="G2607" s="16"/>
      <c r="H2607" s="16"/>
      <c r="I2607" s="16"/>
      <c r="J2607" s="16"/>
      <c r="K2607" s="16"/>
      <c r="L2607" s="16"/>
      <c r="M2607" s="18" t="str">
        <f aca="false">IF(OR(C2607="",D2607=""),"",IF(MOD(COUNTIFS($C$2:C2607,C2607,$D$2:D2607,D2607)*7,10)&lt;3,"teste","treino"))</f>
        <v/>
      </c>
      <c r="N2607" s="16"/>
      <c r="O2607" s="16"/>
      <c r="P2607" s="16"/>
      <c r="Q2607" s="17"/>
    </row>
    <row r="2608" customFormat="false" ht="15" hidden="false" customHeight="false" outlineLevel="0" collapsed="false">
      <c r="A2608" s="15" t="str">
        <f aca="false">IF(B2608="","",ROW()-1)</f>
        <v/>
      </c>
      <c r="B2608" s="16"/>
      <c r="C2608" s="16"/>
      <c r="D2608" s="16"/>
      <c r="E2608" s="16"/>
      <c r="F2608" s="17"/>
      <c r="G2608" s="16"/>
      <c r="H2608" s="16"/>
      <c r="I2608" s="16"/>
      <c r="J2608" s="16"/>
      <c r="K2608" s="16"/>
      <c r="L2608" s="16"/>
      <c r="M2608" s="18" t="str">
        <f aca="false">IF(OR(C2608="",D2608=""),"",IF(MOD(COUNTIFS($C$2:C2608,C2608,$D$2:D2608,D2608)*7,10)&lt;3,"teste","treino"))</f>
        <v/>
      </c>
      <c r="N2608" s="16"/>
      <c r="O2608" s="16"/>
      <c r="P2608" s="16"/>
      <c r="Q2608" s="17"/>
    </row>
    <row r="2609" customFormat="false" ht="15" hidden="false" customHeight="false" outlineLevel="0" collapsed="false">
      <c r="A2609" s="15" t="str">
        <f aca="false">IF(B2609="","",ROW()-1)</f>
        <v/>
      </c>
      <c r="B2609" s="16"/>
      <c r="C2609" s="16"/>
      <c r="D2609" s="16"/>
      <c r="E2609" s="16"/>
      <c r="F2609" s="17"/>
      <c r="G2609" s="16"/>
      <c r="H2609" s="16"/>
      <c r="I2609" s="16"/>
      <c r="J2609" s="16"/>
      <c r="K2609" s="16"/>
      <c r="L2609" s="16"/>
      <c r="M2609" s="18" t="str">
        <f aca="false">IF(OR(C2609="",D2609=""),"",IF(MOD(COUNTIFS($C$2:C2609,C2609,$D$2:D2609,D2609)*7,10)&lt;3,"teste","treino"))</f>
        <v/>
      </c>
      <c r="N2609" s="16"/>
      <c r="O2609" s="16"/>
      <c r="P2609" s="16"/>
      <c r="Q2609" s="17"/>
    </row>
    <row r="2610" customFormat="false" ht="15" hidden="false" customHeight="false" outlineLevel="0" collapsed="false">
      <c r="A2610" s="15" t="str">
        <f aca="false">IF(B2610="","",ROW()-1)</f>
        <v/>
      </c>
      <c r="B2610" s="16"/>
      <c r="C2610" s="16"/>
      <c r="D2610" s="16"/>
      <c r="E2610" s="16"/>
      <c r="F2610" s="17"/>
      <c r="G2610" s="16"/>
      <c r="H2610" s="16"/>
      <c r="I2610" s="16"/>
      <c r="J2610" s="16"/>
      <c r="K2610" s="16"/>
      <c r="L2610" s="16"/>
      <c r="M2610" s="18" t="str">
        <f aca="false">IF(OR(C2610="",D2610=""),"",IF(MOD(COUNTIFS($C$2:C2610,C2610,$D$2:D2610,D2610)*7,10)&lt;3,"teste","treino"))</f>
        <v/>
      </c>
      <c r="N2610" s="16"/>
      <c r="O2610" s="16"/>
      <c r="P2610" s="16"/>
      <c r="Q2610" s="17"/>
    </row>
    <row r="2611" customFormat="false" ht="15" hidden="false" customHeight="false" outlineLevel="0" collapsed="false">
      <c r="A2611" s="15" t="str">
        <f aca="false">IF(B2611="","",ROW()-1)</f>
        <v/>
      </c>
      <c r="B2611" s="16"/>
      <c r="C2611" s="16"/>
      <c r="D2611" s="16"/>
      <c r="E2611" s="16"/>
      <c r="F2611" s="17"/>
      <c r="G2611" s="16"/>
      <c r="H2611" s="16"/>
      <c r="I2611" s="16"/>
      <c r="J2611" s="16"/>
      <c r="K2611" s="16"/>
      <c r="L2611" s="16"/>
      <c r="M2611" s="18" t="str">
        <f aca="false">IF(OR(C2611="",D2611=""),"",IF(MOD(COUNTIFS($C$2:C2611,C2611,$D$2:D2611,D2611)*7,10)&lt;3,"teste","treino"))</f>
        <v/>
      </c>
      <c r="N2611" s="16"/>
      <c r="O2611" s="16"/>
      <c r="P2611" s="16"/>
      <c r="Q2611" s="17"/>
    </row>
    <row r="2612" customFormat="false" ht="15" hidden="false" customHeight="false" outlineLevel="0" collapsed="false">
      <c r="A2612" s="15" t="str">
        <f aca="false">IF(B2612="","",ROW()-1)</f>
        <v/>
      </c>
      <c r="B2612" s="16"/>
      <c r="C2612" s="16"/>
      <c r="D2612" s="16"/>
      <c r="E2612" s="16"/>
      <c r="F2612" s="17"/>
      <c r="G2612" s="16"/>
      <c r="H2612" s="16"/>
      <c r="I2612" s="16"/>
      <c r="J2612" s="16"/>
      <c r="K2612" s="16"/>
      <c r="L2612" s="16"/>
      <c r="M2612" s="18" t="str">
        <f aca="false">IF(OR(C2612="",D2612=""),"",IF(MOD(COUNTIFS($C$2:C2612,C2612,$D$2:D2612,D2612)*7,10)&lt;3,"teste","treino"))</f>
        <v/>
      </c>
      <c r="N2612" s="16"/>
      <c r="O2612" s="16"/>
      <c r="P2612" s="16"/>
      <c r="Q2612" s="17"/>
    </row>
    <row r="2613" customFormat="false" ht="15" hidden="false" customHeight="false" outlineLevel="0" collapsed="false">
      <c r="A2613" s="15" t="str">
        <f aca="false">IF(B2613="","",ROW()-1)</f>
        <v/>
      </c>
      <c r="B2613" s="16"/>
      <c r="C2613" s="16"/>
      <c r="D2613" s="16"/>
      <c r="E2613" s="16"/>
      <c r="F2613" s="17"/>
      <c r="G2613" s="16"/>
      <c r="H2613" s="16"/>
      <c r="I2613" s="16"/>
      <c r="J2613" s="16"/>
      <c r="K2613" s="16"/>
      <c r="L2613" s="16"/>
      <c r="M2613" s="18" t="str">
        <f aca="false">IF(OR(C2613="",D2613=""),"",IF(MOD(COUNTIFS($C$2:C2613,C2613,$D$2:D2613,D2613)*7,10)&lt;3,"teste","treino"))</f>
        <v/>
      </c>
      <c r="N2613" s="16"/>
      <c r="O2613" s="16"/>
      <c r="P2613" s="16"/>
      <c r="Q2613" s="17"/>
    </row>
    <row r="2614" customFormat="false" ht="15" hidden="false" customHeight="false" outlineLevel="0" collapsed="false">
      <c r="A2614" s="15" t="str">
        <f aca="false">IF(B2614="","",ROW()-1)</f>
        <v/>
      </c>
      <c r="B2614" s="16"/>
      <c r="C2614" s="16"/>
      <c r="D2614" s="16"/>
      <c r="E2614" s="16"/>
      <c r="F2614" s="17"/>
      <c r="G2614" s="16"/>
      <c r="H2614" s="16"/>
      <c r="I2614" s="16"/>
      <c r="J2614" s="16"/>
      <c r="K2614" s="16"/>
      <c r="L2614" s="16"/>
      <c r="M2614" s="18" t="str">
        <f aca="false">IF(OR(C2614="",D2614=""),"",IF(MOD(COUNTIFS($C$2:C2614,C2614,$D$2:D2614,D2614)*7,10)&lt;3,"teste","treino"))</f>
        <v/>
      </c>
      <c r="N2614" s="16"/>
      <c r="O2614" s="16"/>
      <c r="P2614" s="16"/>
      <c r="Q2614" s="17"/>
    </row>
    <row r="2615" customFormat="false" ht="15" hidden="false" customHeight="false" outlineLevel="0" collapsed="false">
      <c r="A2615" s="15" t="str">
        <f aca="false">IF(B2615="","",ROW()-1)</f>
        <v/>
      </c>
      <c r="B2615" s="16"/>
      <c r="C2615" s="16"/>
      <c r="D2615" s="16"/>
      <c r="E2615" s="16"/>
      <c r="F2615" s="17"/>
      <c r="G2615" s="16"/>
      <c r="H2615" s="16"/>
      <c r="I2615" s="16"/>
      <c r="J2615" s="16"/>
      <c r="K2615" s="16"/>
      <c r="L2615" s="16"/>
      <c r="M2615" s="18" t="str">
        <f aca="false">IF(OR(C2615="",D2615=""),"",IF(MOD(COUNTIFS($C$2:C2615,C2615,$D$2:D2615,D2615)*7,10)&lt;3,"teste","treino"))</f>
        <v/>
      </c>
      <c r="N2615" s="16"/>
      <c r="O2615" s="16"/>
      <c r="P2615" s="16"/>
      <c r="Q2615" s="17"/>
    </row>
    <row r="2616" customFormat="false" ht="15" hidden="false" customHeight="false" outlineLevel="0" collapsed="false">
      <c r="A2616" s="15" t="str">
        <f aca="false">IF(B2616="","",ROW()-1)</f>
        <v/>
      </c>
      <c r="B2616" s="16"/>
      <c r="C2616" s="16"/>
      <c r="D2616" s="16"/>
      <c r="E2616" s="16"/>
      <c r="F2616" s="17"/>
      <c r="G2616" s="16"/>
      <c r="H2616" s="16"/>
      <c r="I2616" s="16"/>
      <c r="J2616" s="16"/>
      <c r="K2616" s="16"/>
      <c r="L2616" s="16"/>
      <c r="M2616" s="18" t="str">
        <f aca="false">IF(OR(C2616="",D2616=""),"",IF(MOD(COUNTIFS($C$2:C2616,C2616,$D$2:D2616,D2616)*7,10)&lt;3,"teste","treino"))</f>
        <v/>
      </c>
      <c r="N2616" s="16"/>
      <c r="O2616" s="16"/>
      <c r="P2616" s="16"/>
      <c r="Q2616" s="17"/>
    </row>
    <row r="2617" customFormat="false" ht="15" hidden="false" customHeight="false" outlineLevel="0" collapsed="false">
      <c r="A2617" s="15" t="str">
        <f aca="false">IF(B2617="","",ROW()-1)</f>
        <v/>
      </c>
      <c r="B2617" s="16"/>
      <c r="C2617" s="16"/>
      <c r="D2617" s="16"/>
      <c r="E2617" s="16"/>
      <c r="F2617" s="17"/>
      <c r="G2617" s="16"/>
      <c r="H2617" s="16"/>
      <c r="I2617" s="16"/>
      <c r="J2617" s="16"/>
      <c r="K2617" s="16"/>
      <c r="L2617" s="16"/>
      <c r="M2617" s="18" t="str">
        <f aca="false">IF(OR(C2617="",D2617=""),"",IF(MOD(COUNTIFS($C$2:C2617,C2617,$D$2:D2617,D2617)*7,10)&lt;3,"teste","treino"))</f>
        <v/>
      </c>
      <c r="N2617" s="16"/>
      <c r="O2617" s="16"/>
      <c r="P2617" s="16"/>
      <c r="Q2617" s="17"/>
    </row>
    <row r="2618" customFormat="false" ht="15" hidden="false" customHeight="false" outlineLevel="0" collapsed="false">
      <c r="A2618" s="15" t="str">
        <f aca="false">IF(B2618="","",ROW()-1)</f>
        <v/>
      </c>
      <c r="B2618" s="16"/>
      <c r="C2618" s="16"/>
      <c r="D2618" s="16"/>
      <c r="E2618" s="16"/>
      <c r="F2618" s="17"/>
      <c r="G2618" s="16"/>
      <c r="H2618" s="16"/>
      <c r="I2618" s="16"/>
      <c r="J2618" s="16"/>
      <c r="K2618" s="16"/>
      <c r="L2618" s="16"/>
      <c r="M2618" s="18" t="str">
        <f aca="false">IF(OR(C2618="",D2618=""),"",IF(MOD(COUNTIFS($C$2:C2618,C2618,$D$2:D2618,D2618)*7,10)&lt;3,"teste","treino"))</f>
        <v/>
      </c>
      <c r="N2618" s="16"/>
      <c r="O2618" s="16"/>
      <c r="P2618" s="16"/>
      <c r="Q2618" s="17"/>
    </row>
    <row r="2619" customFormat="false" ht="15" hidden="false" customHeight="false" outlineLevel="0" collapsed="false">
      <c r="A2619" s="15" t="str">
        <f aca="false">IF(B2619="","",ROW()-1)</f>
        <v/>
      </c>
      <c r="B2619" s="16"/>
      <c r="C2619" s="16"/>
      <c r="D2619" s="16"/>
      <c r="E2619" s="16"/>
      <c r="F2619" s="17"/>
      <c r="G2619" s="16"/>
      <c r="H2619" s="16"/>
      <c r="I2619" s="16"/>
      <c r="J2619" s="16"/>
      <c r="K2619" s="16"/>
      <c r="L2619" s="16"/>
      <c r="M2619" s="18" t="str">
        <f aca="false">IF(OR(C2619="",D2619=""),"",IF(MOD(COUNTIFS($C$2:C2619,C2619,$D$2:D2619,D2619)*7,10)&lt;3,"teste","treino"))</f>
        <v/>
      </c>
      <c r="N2619" s="16"/>
      <c r="O2619" s="16"/>
      <c r="P2619" s="16"/>
      <c r="Q2619" s="17"/>
    </row>
    <row r="2620" customFormat="false" ht="15" hidden="false" customHeight="false" outlineLevel="0" collapsed="false">
      <c r="A2620" s="15" t="str">
        <f aca="false">IF(B2620="","",ROW()-1)</f>
        <v/>
      </c>
      <c r="B2620" s="16"/>
      <c r="C2620" s="16"/>
      <c r="D2620" s="16"/>
      <c r="E2620" s="16"/>
      <c r="F2620" s="17"/>
      <c r="G2620" s="16"/>
      <c r="H2620" s="16"/>
      <c r="I2620" s="16"/>
      <c r="J2620" s="16"/>
      <c r="K2620" s="16"/>
      <c r="L2620" s="16"/>
      <c r="M2620" s="18" t="str">
        <f aca="false">IF(OR(C2620="",D2620=""),"",IF(MOD(COUNTIFS($C$2:C2620,C2620,$D$2:D2620,D2620)*7,10)&lt;3,"teste","treino"))</f>
        <v/>
      </c>
      <c r="N2620" s="16"/>
      <c r="O2620" s="16"/>
      <c r="P2620" s="16"/>
      <c r="Q2620" s="17"/>
    </row>
    <row r="2621" customFormat="false" ht="15" hidden="false" customHeight="false" outlineLevel="0" collapsed="false">
      <c r="A2621" s="15" t="str">
        <f aca="false">IF(B2621="","",ROW()-1)</f>
        <v/>
      </c>
      <c r="B2621" s="16"/>
      <c r="C2621" s="16"/>
      <c r="D2621" s="16"/>
      <c r="E2621" s="16"/>
      <c r="F2621" s="17"/>
      <c r="G2621" s="16"/>
      <c r="H2621" s="16"/>
      <c r="I2621" s="16"/>
      <c r="J2621" s="16"/>
      <c r="K2621" s="16"/>
      <c r="L2621" s="16"/>
      <c r="M2621" s="18" t="str">
        <f aca="false">IF(OR(C2621="",D2621=""),"",IF(MOD(COUNTIFS($C$2:C2621,C2621,$D$2:D2621,D2621)*7,10)&lt;3,"teste","treino"))</f>
        <v/>
      </c>
      <c r="N2621" s="16"/>
      <c r="O2621" s="16"/>
      <c r="P2621" s="16"/>
      <c r="Q2621" s="17"/>
    </row>
    <row r="2622" customFormat="false" ht="15" hidden="false" customHeight="false" outlineLevel="0" collapsed="false">
      <c r="A2622" s="15" t="str">
        <f aca="false">IF(B2622="","",ROW()-1)</f>
        <v/>
      </c>
      <c r="B2622" s="16"/>
      <c r="C2622" s="16"/>
      <c r="D2622" s="16"/>
      <c r="E2622" s="16"/>
      <c r="F2622" s="17"/>
      <c r="G2622" s="16"/>
      <c r="H2622" s="16"/>
      <c r="I2622" s="16"/>
      <c r="J2622" s="16"/>
      <c r="K2622" s="16"/>
      <c r="L2622" s="16"/>
      <c r="M2622" s="18" t="str">
        <f aca="false">IF(OR(C2622="",D2622=""),"",IF(MOD(COUNTIFS($C$2:C2622,C2622,$D$2:D2622,D2622)*7,10)&lt;3,"teste","treino"))</f>
        <v/>
      </c>
      <c r="N2622" s="16"/>
      <c r="O2622" s="16"/>
      <c r="P2622" s="16"/>
      <c r="Q2622" s="17"/>
    </row>
    <row r="2623" customFormat="false" ht="15" hidden="false" customHeight="false" outlineLevel="0" collapsed="false">
      <c r="A2623" s="15" t="str">
        <f aca="false">IF(B2623="","",ROW()-1)</f>
        <v/>
      </c>
      <c r="B2623" s="16"/>
      <c r="C2623" s="16"/>
      <c r="D2623" s="16"/>
      <c r="E2623" s="16"/>
      <c r="F2623" s="17"/>
      <c r="G2623" s="16"/>
      <c r="H2623" s="16"/>
      <c r="I2623" s="16"/>
      <c r="J2623" s="16"/>
      <c r="K2623" s="16"/>
      <c r="L2623" s="16"/>
      <c r="M2623" s="18" t="str">
        <f aca="false">IF(OR(C2623="",D2623=""),"",IF(MOD(COUNTIFS($C$2:C2623,C2623,$D$2:D2623,D2623)*7,10)&lt;3,"teste","treino"))</f>
        <v/>
      </c>
      <c r="N2623" s="16"/>
      <c r="O2623" s="16"/>
      <c r="P2623" s="16"/>
      <c r="Q2623" s="17"/>
    </row>
    <row r="2624" customFormat="false" ht="15" hidden="false" customHeight="false" outlineLevel="0" collapsed="false">
      <c r="A2624" s="15" t="str">
        <f aca="false">IF(B2624="","",ROW()-1)</f>
        <v/>
      </c>
      <c r="B2624" s="16"/>
      <c r="C2624" s="16"/>
      <c r="D2624" s="16"/>
      <c r="E2624" s="16"/>
      <c r="F2624" s="17"/>
      <c r="G2624" s="16"/>
      <c r="H2624" s="16"/>
      <c r="I2624" s="16"/>
      <c r="J2624" s="16"/>
      <c r="K2624" s="16"/>
      <c r="L2624" s="16"/>
      <c r="M2624" s="18" t="str">
        <f aca="false">IF(OR(C2624="",D2624=""),"",IF(MOD(COUNTIFS($C$2:C2624,C2624,$D$2:D2624,D2624)*7,10)&lt;3,"teste","treino"))</f>
        <v/>
      </c>
      <c r="N2624" s="16"/>
      <c r="O2624" s="16"/>
      <c r="P2624" s="16"/>
      <c r="Q2624" s="17"/>
    </row>
    <row r="2625" customFormat="false" ht="15" hidden="false" customHeight="false" outlineLevel="0" collapsed="false">
      <c r="A2625" s="15" t="str">
        <f aca="false">IF(B2625="","",ROW()-1)</f>
        <v/>
      </c>
      <c r="B2625" s="16"/>
      <c r="C2625" s="16"/>
      <c r="D2625" s="16"/>
      <c r="E2625" s="16"/>
      <c r="F2625" s="17"/>
      <c r="G2625" s="16"/>
      <c r="H2625" s="16"/>
      <c r="I2625" s="16"/>
      <c r="J2625" s="16"/>
      <c r="K2625" s="16"/>
      <c r="L2625" s="16"/>
      <c r="M2625" s="18" t="str">
        <f aca="false">IF(OR(C2625="",D2625=""),"",IF(MOD(COUNTIFS($C$2:C2625,C2625,$D$2:D2625,D2625)*7,10)&lt;3,"teste","treino"))</f>
        <v/>
      </c>
      <c r="N2625" s="16"/>
      <c r="O2625" s="16"/>
      <c r="P2625" s="16"/>
      <c r="Q2625" s="17"/>
    </row>
    <row r="2626" customFormat="false" ht="15" hidden="false" customHeight="false" outlineLevel="0" collapsed="false">
      <c r="A2626" s="15" t="str">
        <f aca="false">IF(B2626="","",ROW()-1)</f>
        <v/>
      </c>
      <c r="B2626" s="16"/>
      <c r="C2626" s="16"/>
      <c r="D2626" s="16"/>
      <c r="E2626" s="16"/>
      <c r="F2626" s="17"/>
      <c r="G2626" s="16"/>
      <c r="H2626" s="16"/>
      <c r="I2626" s="16"/>
      <c r="J2626" s="16"/>
      <c r="K2626" s="16"/>
      <c r="L2626" s="16"/>
      <c r="M2626" s="18" t="str">
        <f aca="false">IF(OR(C2626="",D2626=""),"",IF(MOD(COUNTIFS($C$2:C2626,C2626,$D$2:D2626,D2626)*7,10)&lt;3,"teste","treino"))</f>
        <v/>
      </c>
      <c r="N2626" s="16"/>
      <c r="O2626" s="16"/>
      <c r="P2626" s="16"/>
      <c r="Q2626" s="17"/>
    </row>
    <row r="2627" customFormat="false" ht="15" hidden="false" customHeight="false" outlineLevel="0" collapsed="false">
      <c r="A2627" s="15" t="str">
        <f aca="false">IF(B2627="","",ROW()-1)</f>
        <v/>
      </c>
      <c r="B2627" s="16"/>
      <c r="C2627" s="16"/>
      <c r="D2627" s="16"/>
      <c r="E2627" s="16"/>
      <c r="F2627" s="17"/>
      <c r="G2627" s="16"/>
      <c r="H2627" s="16"/>
      <c r="I2627" s="16"/>
      <c r="J2627" s="16"/>
      <c r="K2627" s="16"/>
      <c r="L2627" s="16"/>
      <c r="M2627" s="18" t="str">
        <f aca="false">IF(OR(C2627="",D2627=""),"",IF(MOD(COUNTIFS($C$2:C2627,C2627,$D$2:D2627,D2627)*7,10)&lt;3,"teste","treino"))</f>
        <v/>
      </c>
      <c r="N2627" s="16"/>
      <c r="O2627" s="16"/>
      <c r="P2627" s="16"/>
      <c r="Q2627" s="17"/>
    </row>
    <row r="2628" customFormat="false" ht="15" hidden="false" customHeight="false" outlineLevel="0" collapsed="false">
      <c r="A2628" s="15" t="str">
        <f aca="false">IF(B2628="","",ROW()-1)</f>
        <v/>
      </c>
      <c r="B2628" s="16"/>
      <c r="C2628" s="16"/>
      <c r="D2628" s="16"/>
      <c r="E2628" s="16"/>
      <c r="F2628" s="17"/>
      <c r="G2628" s="16"/>
      <c r="H2628" s="16"/>
      <c r="I2628" s="16"/>
      <c r="J2628" s="16"/>
      <c r="K2628" s="16"/>
      <c r="L2628" s="16"/>
      <c r="M2628" s="18" t="str">
        <f aca="false">IF(OR(C2628="",D2628=""),"",IF(MOD(COUNTIFS($C$2:C2628,C2628,$D$2:D2628,D2628)*7,10)&lt;3,"teste","treino"))</f>
        <v/>
      </c>
      <c r="N2628" s="16"/>
      <c r="O2628" s="16"/>
      <c r="P2628" s="16"/>
      <c r="Q2628" s="17"/>
    </row>
    <row r="2629" customFormat="false" ht="15" hidden="false" customHeight="false" outlineLevel="0" collapsed="false">
      <c r="A2629" s="15" t="str">
        <f aca="false">IF(B2629="","",ROW()-1)</f>
        <v/>
      </c>
      <c r="B2629" s="16"/>
      <c r="C2629" s="16"/>
      <c r="D2629" s="16"/>
      <c r="E2629" s="16"/>
      <c r="F2629" s="17"/>
      <c r="G2629" s="16"/>
      <c r="H2629" s="16"/>
      <c r="I2629" s="16"/>
      <c r="J2629" s="16"/>
      <c r="K2629" s="16"/>
      <c r="L2629" s="16"/>
      <c r="M2629" s="18" t="str">
        <f aca="false">IF(OR(C2629="",D2629=""),"",IF(MOD(COUNTIFS($C$2:C2629,C2629,$D$2:D2629,D2629)*7,10)&lt;3,"teste","treino"))</f>
        <v/>
      </c>
      <c r="N2629" s="16"/>
      <c r="O2629" s="16"/>
      <c r="P2629" s="16"/>
      <c r="Q2629" s="17"/>
    </row>
    <row r="2630" customFormat="false" ht="15" hidden="false" customHeight="false" outlineLevel="0" collapsed="false">
      <c r="A2630" s="15" t="str">
        <f aca="false">IF(B2630="","",ROW()-1)</f>
        <v/>
      </c>
      <c r="B2630" s="16"/>
      <c r="C2630" s="16"/>
      <c r="D2630" s="16"/>
      <c r="E2630" s="16"/>
      <c r="F2630" s="17"/>
      <c r="G2630" s="16"/>
      <c r="H2630" s="16"/>
      <c r="I2630" s="16"/>
      <c r="J2630" s="16"/>
      <c r="K2630" s="16"/>
      <c r="L2630" s="16"/>
      <c r="M2630" s="18" t="str">
        <f aca="false">IF(OR(C2630="",D2630=""),"",IF(MOD(COUNTIFS($C$2:C2630,C2630,$D$2:D2630,D2630)*7,10)&lt;3,"teste","treino"))</f>
        <v/>
      </c>
      <c r="N2630" s="16"/>
      <c r="O2630" s="16"/>
      <c r="P2630" s="16"/>
      <c r="Q2630" s="17"/>
    </row>
    <row r="2631" customFormat="false" ht="15" hidden="false" customHeight="false" outlineLevel="0" collapsed="false">
      <c r="A2631" s="15" t="str">
        <f aca="false">IF(B2631="","",ROW()-1)</f>
        <v/>
      </c>
      <c r="B2631" s="16"/>
      <c r="C2631" s="16"/>
      <c r="D2631" s="16"/>
      <c r="E2631" s="16"/>
      <c r="F2631" s="17"/>
      <c r="G2631" s="16"/>
      <c r="H2631" s="16"/>
      <c r="I2631" s="16"/>
      <c r="J2631" s="16"/>
      <c r="K2631" s="16"/>
      <c r="L2631" s="16"/>
      <c r="M2631" s="18" t="str">
        <f aca="false">IF(OR(C2631="",D2631=""),"",IF(MOD(COUNTIFS($C$2:C2631,C2631,$D$2:D2631,D2631)*7,10)&lt;3,"teste","treino"))</f>
        <v/>
      </c>
      <c r="N2631" s="16"/>
      <c r="O2631" s="16"/>
      <c r="P2631" s="16"/>
      <c r="Q2631" s="17"/>
    </row>
    <row r="2632" customFormat="false" ht="15" hidden="false" customHeight="false" outlineLevel="0" collapsed="false">
      <c r="A2632" s="15" t="str">
        <f aca="false">IF(B2632="","",ROW()-1)</f>
        <v/>
      </c>
      <c r="B2632" s="16"/>
      <c r="C2632" s="16"/>
      <c r="D2632" s="16"/>
      <c r="E2632" s="16"/>
      <c r="F2632" s="17"/>
      <c r="G2632" s="16"/>
      <c r="H2632" s="16"/>
      <c r="I2632" s="16"/>
      <c r="J2632" s="16"/>
      <c r="K2632" s="16"/>
      <c r="L2632" s="16"/>
      <c r="M2632" s="18" t="str">
        <f aca="false">IF(OR(C2632="",D2632=""),"",IF(MOD(COUNTIFS($C$2:C2632,C2632,$D$2:D2632,D2632)*7,10)&lt;3,"teste","treino"))</f>
        <v/>
      </c>
      <c r="N2632" s="16"/>
      <c r="O2632" s="16"/>
      <c r="P2632" s="16"/>
      <c r="Q2632" s="17"/>
    </row>
    <row r="2633" customFormat="false" ht="15" hidden="false" customHeight="false" outlineLevel="0" collapsed="false">
      <c r="A2633" s="15" t="str">
        <f aca="false">IF(B2633="","",ROW()-1)</f>
        <v/>
      </c>
      <c r="B2633" s="16"/>
      <c r="C2633" s="16"/>
      <c r="D2633" s="16"/>
      <c r="E2633" s="16"/>
      <c r="F2633" s="17"/>
      <c r="G2633" s="16"/>
      <c r="H2633" s="16"/>
      <c r="I2633" s="16"/>
      <c r="J2633" s="16"/>
      <c r="K2633" s="16"/>
      <c r="L2633" s="16"/>
      <c r="M2633" s="18" t="str">
        <f aca="false">IF(OR(C2633="",D2633=""),"",IF(MOD(COUNTIFS($C$2:C2633,C2633,$D$2:D2633,D2633)*7,10)&lt;3,"teste","treino"))</f>
        <v/>
      </c>
      <c r="N2633" s="16"/>
      <c r="O2633" s="16"/>
      <c r="P2633" s="16"/>
      <c r="Q2633" s="17"/>
    </row>
    <row r="2634" customFormat="false" ht="15" hidden="false" customHeight="false" outlineLevel="0" collapsed="false">
      <c r="A2634" s="15" t="str">
        <f aca="false">IF(B2634="","",ROW()-1)</f>
        <v/>
      </c>
      <c r="B2634" s="16"/>
      <c r="C2634" s="16"/>
      <c r="D2634" s="16"/>
      <c r="E2634" s="16"/>
      <c r="F2634" s="17"/>
      <c r="G2634" s="16"/>
      <c r="H2634" s="16"/>
      <c r="I2634" s="16"/>
      <c r="J2634" s="16"/>
      <c r="K2634" s="16"/>
      <c r="L2634" s="16"/>
      <c r="M2634" s="18" t="str">
        <f aca="false">IF(OR(C2634="",D2634=""),"",IF(MOD(COUNTIFS($C$2:C2634,C2634,$D$2:D2634,D2634)*7,10)&lt;3,"teste","treino"))</f>
        <v/>
      </c>
      <c r="N2634" s="16"/>
      <c r="O2634" s="16"/>
      <c r="P2634" s="16"/>
      <c r="Q2634" s="17"/>
    </row>
    <row r="2635" customFormat="false" ht="15" hidden="false" customHeight="false" outlineLevel="0" collapsed="false">
      <c r="A2635" s="15" t="str">
        <f aca="false">IF(B2635="","",ROW()-1)</f>
        <v/>
      </c>
      <c r="B2635" s="16"/>
      <c r="C2635" s="16"/>
      <c r="D2635" s="16"/>
      <c r="E2635" s="16"/>
      <c r="F2635" s="17"/>
      <c r="G2635" s="16"/>
      <c r="H2635" s="16"/>
      <c r="I2635" s="16"/>
      <c r="J2635" s="16"/>
      <c r="K2635" s="16"/>
      <c r="L2635" s="16"/>
      <c r="M2635" s="18" t="str">
        <f aca="false">IF(OR(C2635="",D2635=""),"",IF(MOD(COUNTIFS($C$2:C2635,C2635,$D$2:D2635,D2635)*7,10)&lt;3,"teste","treino"))</f>
        <v/>
      </c>
      <c r="N2635" s="16"/>
      <c r="O2635" s="16"/>
      <c r="P2635" s="16"/>
      <c r="Q2635" s="17"/>
    </row>
    <row r="2636" customFormat="false" ht="15" hidden="false" customHeight="false" outlineLevel="0" collapsed="false">
      <c r="A2636" s="15" t="str">
        <f aca="false">IF(B2636="","",ROW()-1)</f>
        <v/>
      </c>
      <c r="B2636" s="16"/>
      <c r="C2636" s="16"/>
      <c r="D2636" s="16"/>
      <c r="E2636" s="16"/>
      <c r="F2636" s="17"/>
      <c r="G2636" s="16"/>
      <c r="H2636" s="16"/>
      <c r="I2636" s="16"/>
      <c r="J2636" s="16"/>
      <c r="K2636" s="16"/>
      <c r="L2636" s="16"/>
      <c r="M2636" s="18" t="str">
        <f aca="false">IF(OR(C2636="",D2636=""),"",IF(MOD(COUNTIFS($C$2:C2636,C2636,$D$2:D2636,D2636)*7,10)&lt;3,"teste","treino"))</f>
        <v/>
      </c>
      <c r="N2636" s="16"/>
      <c r="O2636" s="16"/>
      <c r="P2636" s="16"/>
      <c r="Q2636" s="17"/>
    </row>
    <row r="2637" customFormat="false" ht="15" hidden="false" customHeight="false" outlineLevel="0" collapsed="false">
      <c r="A2637" s="15" t="str">
        <f aca="false">IF(B2637="","",ROW()-1)</f>
        <v/>
      </c>
      <c r="B2637" s="16"/>
      <c r="C2637" s="16"/>
      <c r="D2637" s="16"/>
      <c r="E2637" s="16"/>
      <c r="F2637" s="17"/>
      <c r="G2637" s="16"/>
      <c r="H2637" s="16"/>
      <c r="I2637" s="16"/>
      <c r="J2637" s="16"/>
      <c r="K2637" s="16"/>
      <c r="L2637" s="16"/>
      <c r="M2637" s="18" t="str">
        <f aca="false">IF(OR(C2637="",D2637=""),"",IF(MOD(COUNTIFS($C$2:C2637,C2637,$D$2:D2637,D2637)*7,10)&lt;3,"teste","treino"))</f>
        <v/>
      </c>
      <c r="N2637" s="16"/>
      <c r="O2637" s="16"/>
      <c r="P2637" s="16"/>
      <c r="Q2637" s="17"/>
    </row>
    <row r="2638" customFormat="false" ht="15" hidden="false" customHeight="false" outlineLevel="0" collapsed="false">
      <c r="A2638" s="15" t="str">
        <f aca="false">IF(B2638="","",ROW()-1)</f>
        <v/>
      </c>
      <c r="B2638" s="16"/>
      <c r="C2638" s="16"/>
      <c r="D2638" s="16"/>
      <c r="E2638" s="16"/>
      <c r="F2638" s="17"/>
      <c r="G2638" s="16"/>
      <c r="H2638" s="16"/>
      <c r="I2638" s="16"/>
      <c r="J2638" s="16"/>
      <c r="K2638" s="16"/>
      <c r="L2638" s="16"/>
      <c r="M2638" s="18" t="str">
        <f aca="false">IF(OR(C2638="",D2638=""),"",IF(MOD(COUNTIFS($C$2:C2638,C2638,$D$2:D2638,D2638)*7,10)&lt;3,"teste","treino"))</f>
        <v/>
      </c>
      <c r="N2638" s="16"/>
      <c r="O2638" s="16"/>
      <c r="P2638" s="16"/>
      <c r="Q2638" s="17"/>
    </row>
    <row r="2639" customFormat="false" ht="15" hidden="false" customHeight="false" outlineLevel="0" collapsed="false">
      <c r="A2639" s="15" t="str">
        <f aca="false">IF(B2639="","",ROW()-1)</f>
        <v/>
      </c>
      <c r="B2639" s="16"/>
      <c r="C2639" s="16"/>
      <c r="D2639" s="16"/>
      <c r="E2639" s="16"/>
      <c r="F2639" s="17"/>
      <c r="G2639" s="16"/>
      <c r="H2639" s="16"/>
      <c r="I2639" s="16"/>
      <c r="J2639" s="16"/>
      <c r="K2639" s="16"/>
      <c r="L2639" s="16"/>
      <c r="M2639" s="18" t="str">
        <f aca="false">IF(OR(C2639="",D2639=""),"",IF(MOD(COUNTIFS($C$2:C2639,C2639,$D$2:D2639,D2639)*7,10)&lt;3,"teste","treino"))</f>
        <v/>
      </c>
      <c r="N2639" s="16"/>
      <c r="O2639" s="16"/>
      <c r="P2639" s="16"/>
      <c r="Q2639" s="17"/>
    </row>
    <row r="2640" customFormat="false" ht="15" hidden="false" customHeight="false" outlineLevel="0" collapsed="false">
      <c r="A2640" s="15" t="str">
        <f aca="false">IF(B2640="","",ROW()-1)</f>
        <v/>
      </c>
      <c r="B2640" s="16"/>
      <c r="C2640" s="16"/>
      <c r="D2640" s="16"/>
      <c r="E2640" s="16"/>
      <c r="F2640" s="17"/>
      <c r="G2640" s="16"/>
      <c r="H2640" s="16"/>
      <c r="I2640" s="16"/>
      <c r="J2640" s="16"/>
      <c r="K2640" s="16"/>
      <c r="L2640" s="16"/>
      <c r="M2640" s="18" t="str">
        <f aca="false">IF(OR(C2640="",D2640=""),"",IF(MOD(COUNTIFS($C$2:C2640,C2640,$D$2:D2640,D2640)*7,10)&lt;3,"teste","treino"))</f>
        <v/>
      </c>
      <c r="N2640" s="16"/>
      <c r="O2640" s="16"/>
      <c r="P2640" s="16"/>
      <c r="Q2640" s="17"/>
    </row>
    <row r="2641" customFormat="false" ht="15" hidden="false" customHeight="false" outlineLevel="0" collapsed="false">
      <c r="A2641" s="15" t="str">
        <f aca="false">IF(B2641="","",ROW()-1)</f>
        <v/>
      </c>
      <c r="B2641" s="16"/>
      <c r="C2641" s="16"/>
      <c r="D2641" s="16"/>
      <c r="E2641" s="16"/>
      <c r="F2641" s="17"/>
      <c r="G2641" s="16"/>
      <c r="H2641" s="16"/>
      <c r="I2641" s="16"/>
      <c r="J2641" s="16"/>
      <c r="K2641" s="16"/>
      <c r="L2641" s="16"/>
      <c r="M2641" s="18" t="str">
        <f aca="false">IF(OR(C2641="",D2641=""),"",IF(MOD(COUNTIFS($C$2:C2641,C2641,$D$2:D2641,D2641)*7,10)&lt;3,"teste","treino"))</f>
        <v/>
      </c>
      <c r="N2641" s="16"/>
      <c r="O2641" s="16"/>
      <c r="P2641" s="16"/>
      <c r="Q2641" s="17"/>
    </row>
    <row r="2642" customFormat="false" ht="15" hidden="false" customHeight="false" outlineLevel="0" collapsed="false">
      <c r="A2642" s="15" t="str">
        <f aca="false">IF(B2642="","",ROW()-1)</f>
        <v/>
      </c>
      <c r="B2642" s="16"/>
      <c r="C2642" s="16"/>
      <c r="D2642" s="16"/>
      <c r="E2642" s="16"/>
      <c r="F2642" s="17"/>
      <c r="G2642" s="16"/>
      <c r="H2642" s="16"/>
      <c r="I2642" s="16"/>
      <c r="J2642" s="16"/>
      <c r="K2642" s="16"/>
      <c r="L2642" s="16"/>
      <c r="M2642" s="18" t="str">
        <f aca="false">IF(OR(C2642="",D2642=""),"",IF(MOD(COUNTIFS($C$2:C2642,C2642,$D$2:D2642,D2642)*7,10)&lt;3,"teste","treino"))</f>
        <v/>
      </c>
      <c r="N2642" s="16"/>
      <c r="O2642" s="16"/>
      <c r="P2642" s="16"/>
      <c r="Q2642" s="17"/>
    </row>
    <row r="2643" customFormat="false" ht="15" hidden="false" customHeight="false" outlineLevel="0" collapsed="false">
      <c r="A2643" s="15" t="str">
        <f aca="false">IF(B2643="","",ROW()-1)</f>
        <v/>
      </c>
      <c r="B2643" s="16"/>
      <c r="C2643" s="16"/>
      <c r="D2643" s="16"/>
      <c r="E2643" s="16"/>
      <c r="F2643" s="17"/>
      <c r="G2643" s="16"/>
      <c r="H2643" s="16"/>
      <c r="I2643" s="16"/>
      <c r="J2643" s="16"/>
      <c r="K2643" s="16"/>
      <c r="L2643" s="16"/>
      <c r="M2643" s="18" t="str">
        <f aca="false">IF(OR(C2643="",D2643=""),"",IF(MOD(COUNTIFS($C$2:C2643,C2643,$D$2:D2643,D2643)*7,10)&lt;3,"teste","treino"))</f>
        <v/>
      </c>
      <c r="N2643" s="16"/>
      <c r="O2643" s="16"/>
      <c r="P2643" s="16"/>
      <c r="Q2643" s="17"/>
    </row>
    <row r="2644" customFormat="false" ht="15" hidden="false" customHeight="false" outlineLevel="0" collapsed="false">
      <c r="A2644" s="15" t="str">
        <f aca="false">IF(B2644="","",ROW()-1)</f>
        <v/>
      </c>
      <c r="B2644" s="16"/>
      <c r="C2644" s="16"/>
      <c r="D2644" s="16"/>
      <c r="E2644" s="16"/>
      <c r="F2644" s="17"/>
      <c r="G2644" s="16"/>
      <c r="H2644" s="16"/>
      <c r="I2644" s="16"/>
      <c r="J2644" s="16"/>
      <c r="K2644" s="16"/>
      <c r="L2644" s="16"/>
      <c r="M2644" s="18" t="str">
        <f aca="false">IF(OR(C2644="",D2644=""),"",IF(MOD(COUNTIFS($C$2:C2644,C2644,$D$2:D2644,D2644)*7,10)&lt;3,"teste","treino"))</f>
        <v/>
      </c>
      <c r="N2644" s="16"/>
      <c r="O2644" s="16"/>
      <c r="P2644" s="16"/>
      <c r="Q2644" s="17"/>
    </row>
    <row r="2645" customFormat="false" ht="15" hidden="false" customHeight="false" outlineLevel="0" collapsed="false">
      <c r="A2645" s="15" t="str">
        <f aca="false">IF(B2645="","",ROW()-1)</f>
        <v/>
      </c>
      <c r="B2645" s="16"/>
      <c r="C2645" s="16"/>
      <c r="D2645" s="16"/>
      <c r="E2645" s="16"/>
      <c r="F2645" s="17"/>
      <c r="G2645" s="16"/>
      <c r="H2645" s="16"/>
      <c r="I2645" s="16"/>
      <c r="J2645" s="16"/>
      <c r="K2645" s="16"/>
      <c r="L2645" s="16"/>
      <c r="M2645" s="18" t="str">
        <f aca="false">IF(OR(C2645="",D2645=""),"",IF(MOD(COUNTIFS($C$2:C2645,C2645,$D$2:D2645,D2645)*7,10)&lt;3,"teste","treino"))</f>
        <v/>
      </c>
      <c r="N2645" s="16"/>
      <c r="O2645" s="16"/>
      <c r="P2645" s="16"/>
      <c r="Q2645" s="17"/>
    </row>
    <row r="2646" customFormat="false" ht="15" hidden="false" customHeight="false" outlineLevel="0" collapsed="false">
      <c r="A2646" s="15" t="str">
        <f aca="false">IF(B2646="","",ROW()-1)</f>
        <v/>
      </c>
      <c r="B2646" s="16"/>
      <c r="C2646" s="16"/>
      <c r="D2646" s="16"/>
      <c r="E2646" s="16"/>
      <c r="F2646" s="17"/>
      <c r="G2646" s="16"/>
      <c r="H2646" s="16"/>
      <c r="I2646" s="16"/>
      <c r="J2646" s="16"/>
      <c r="K2646" s="16"/>
      <c r="L2646" s="16"/>
      <c r="M2646" s="18" t="str">
        <f aca="false">IF(OR(C2646="",D2646=""),"",IF(MOD(COUNTIFS($C$2:C2646,C2646,$D$2:D2646,D2646)*7,10)&lt;3,"teste","treino"))</f>
        <v/>
      </c>
      <c r="N2646" s="16"/>
      <c r="O2646" s="16"/>
      <c r="P2646" s="16"/>
      <c r="Q2646" s="17"/>
    </row>
    <row r="2647" customFormat="false" ht="15" hidden="false" customHeight="false" outlineLevel="0" collapsed="false">
      <c r="A2647" s="15" t="str">
        <f aca="false">IF(B2647="","",ROW()-1)</f>
        <v/>
      </c>
      <c r="B2647" s="16"/>
      <c r="C2647" s="16"/>
      <c r="D2647" s="16"/>
      <c r="E2647" s="16"/>
      <c r="F2647" s="17"/>
      <c r="G2647" s="16"/>
      <c r="H2647" s="16"/>
      <c r="I2647" s="16"/>
      <c r="J2647" s="16"/>
      <c r="K2647" s="16"/>
      <c r="L2647" s="16"/>
      <c r="M2647" s="18" t="str">
        <f aca="false">IF(OR(C2647="",D2647=""),"",IF(MOD(COUNTIFS($C$2:C2647,C2647,$D$2:D2647,D2647)*7,10)&lt;3,"teste","treino"))</f>
        <v/>
      </c>
      <c r="N2647" s="16"/>
      <c r="O2647" s="16"/>
      <c r="P2647" s="16"/>
      <c r="Q2647" s="17"/>
    </row>
    <row r="2648" customFormat="false" ht="15" hidden="false" customHeight="false" outlineLevel="0" collapsed="false">
      <c r="A2648" s="15" t="str">
        <f aca="false">IF(B2648="","",ROW()-1)</f>
        <v/>
      </c>
      <c r="B2648" s="16"/>
      <c r="C2648" s="16"/>
      <c r="D2648" s="16"/>
      <c r="E2648" s="16"/>
      <c r="F2648" s="17"/>
      <c r="G2648" s="16"/>
      <c r="H2648" s="16"/>
      <c r="I2648" s="16"/>
      <c r="J2648" s="16"/>
      <c r="K2648" s="16"/>
      <c r="L2648" s="16"/>
      <c r="M2648" s="18" t="str">
        <f aca="false">IF(OR(C2648="",D2648=""),"",IF(MOD(COUNTIFS($C$2:C2648,C2648,$D$2:D2648,D2648)*7,10)&lt;3,"teste","treino"))</f>
        <v/>
      </c>
      <c r="N2648" s="16"/>
      <c r="O2648" s="16"/>
      <c r="P2648" s="16"/>
      <c r="Q2648" s="17"/>
    </row>
    <row r="2649" customFormat="false" ht="15" hidden="false" customHeight="false" outlineLevel="0" collapsed="false">
      <c r="A2649" s="15" t="str">
        <f aca="false">IF(B2649="","",ROW()-1)</f>
        <v/>
      </c>
      <c r="B2649" s="16"/>
      <c r="C2649" s="16"/>
      <c r="D2649" s="16"/>
      <c r="E2649" s="16"/>
      <c r="F2649" s="17"/>
      <c r="G2649" s="16"/>
      <c r="H2649" s="16"/>
      <c r="I2649" s="16"/>
      <c r="J2649" s="16"/>
      <c r="K2649" s="16"/>
      <c r="L2649" s="16"/>
      <c r="M2649" s="18" t="str">
        <f aca="false">IF(OR(C2649="",D2649=""),"",IF(MOD(COUNTIFS($C$2:C2649,C2649,$D$2:D2649,D2649)*7,10)&lt;3,"teste","treino"))</f>
        <v/>
      </c>
      <c r="N2649" s="16"/>
      <c r="O2649" s="16"/>
      <c r="P2649" s="16"/>
      <c r="Q2649" s="17"/>
    </row>
    <row r="2650" customFormat="false" ht="15" hidden="false" customHeight="false" outlineLevel="0" collapsed="false">
      <c r="A2650" s="15" t="str">
        <f aca="false">IF(B2650="","",ROW()-1)</f>
        <v/>
      </c>
      <c r="B2650" s="16"/>
      <c r="C2650" s="16"/>
      <c r="D2650" s="16"/>
      <c r="E2650" s="16"/>
      <c r="F2650" s="17"/>
      <c r="G2650" s="16"/>
      <c r="H2650" s="16"/>
      <c r="I2650" s="16"/>
      <c r="J2650" s="16"/>
      <c r="K2650" s="16"/>
      <c r="L2650" s="16"/>
      <c r="M2650" s="18" t="str">
        <f aca="false">IF(OR(C2650="",D2650=""),"",IF(MOD(COUNTIFS($C$2:C2650,C2650,$D$2:D2650,D2650)*7,10)&lt;3,"teste","treino"))</f>
        <v/>
      </c>
      <c r="N2650" s="16"/>
      <c r="O2650" s="16"/>
      <c r="P2650" s="16"/>
      <c r="Q2650" s="17"/>
    </row>
    <row r="2651" customFormat="false" ht="15" hidden="false" customHeight="false" outlineLevel="0" collapsed="false">
      <c r="A2651" s="15" t="str">
        <f aca="false">IF(B2651="","",ROW()-1)</f>
        <v/>
      </c>
      <c r="B2651" s="16"/>
      <c r="C2651" s="16"/>
      <c r="D2651" s="16"/>
      <c r="E2651" s="16"/>
      <c r="F2651" s="17"/>
      <c r="G2651" s="16"/>
      <c r="H2651" s="16"/>
      <c r="I2651" s="16"/>
      <c r="J2651" s="16"/>
      <c r="K2651" s="16"/>
      <c r="L2651" s="16"/>
      <c r="M2651" s="18" t="str">
        <f aca="false">IF(OR(C2651="",D2651=""),"",IF(MOD(COUNTIFS($C$2:C2651,C2651,$D$2:D2651,D2651)*7,10)&lt;3,"teste","treino"))</f>
        <v/>
      </c>
      <c r="N2651" s="16"/>
      <c r="O2651" s="16"/>
      <c r="P2651" s="16"/>
      <c r="Q2651" s="17"/>
    </row>
    <row r="2652" customFormat="false" ht="15" hidden="false" customHeight="false" outlineLevel="0" collapsed="false">
      <c r="A2652" s="15" t="str">
        <f aca="false">IF(B2652="","",ROW()-1)</f>
        <v/>
      </c>
      <c r="B2652" s="16"/>
      <c r="C2652" s="16"/>
      <c r="D2652" s="16"/>
      <c r="E2652" s="16"/>
      <c r="F2652" s="17"/>
      <c r="G2652" s="16"/>
      <c r="H2652" s="16"/>
      <c r="I2652" s="16"/>
      <c r="J2652" s="16"/>
      <c r="K2652" s="16"/>
      <c r="L2652" s="16"/>
      <c r="M2652" s="18" t="str">
        <f aca="false">IF(OR(C2652="",D2652=""),"",IF(MOD(COUNTIFS($C$2:C2652,C2652,$D$2:D2652,D2652)*7,10)&lt;3,"teste","treino"))</f>
        <v/>
      </c>
      <c r="N2652" s="16"/>
      <c r="O2652" s="16"/>
      <c r="P2652" s="16"/>
      <c r="Q2652" s="17"/>
    </row>
    <row r="2653" customFormat="false" ht="15" hidden="false" customHeight="false" outlineLevel="0" collapsed="false">
      <c r="A2653" s="15" t="str">
        <f aca="false">IF(B2653="","",ROW()-1)</f>
        <v/>
      </c>
      <c r="B2653" s="16"/>
      <c r="C2653" s="16"/>
      <c r="D2653" s="16"/>
      <c r="E2653" s="16"/>
      <c r="F2653" s="17"/>
      <c r="G2653" s="16"/>
      <c r="H2653" s="16"/>
      <c r="I2653" s="16"/>
      <c r="J2653" s="16"/>
      <c r="K2653" s="16"/>
      <c r="L2653" s="16"/>
      <c r="M2653" s="18" t="str">
        <f aca="false">IF(OR(C2653="",D2653=""),"",IF(MOD(COUNTIFS($C$2:C2653,C2653,$D$2:D2653,D2653)*7,10)&lt;3,"teste","treino"))</f>
        <v/>
      </c>
      <c r="N2653" s="16"/>
      <c r="O2653" s="16"/>
      <c r="P2653" s="16"/>
      <c r="Q2653" s="17"/>
    </row>
    <row r="2654" customFormat="false" ht="15" hidden="false" customHeight="false" outlineLevel="0" collapsed="false">
      <c r="A2654" s="15" t="str">
        <f aca="false">IF(B2654="","",ROW()-1)</f>
        <v/>
      </c>
      <c r="B2654" s="16"/>
      <c r="C2654" s="16"/>
      <c r="D2654" s="16"/>
      <c r="E2654" s="16"/>
      <c r="F2654" s="17"/>
      <c r="G2654" s="16"/>
      <c r="H2654" s="16"/>
      <c r="I2654" s="16"/>
      <c r="J2654" s="16"/>
      <c r="K2654" s="16"/>
      <c r="L2654" s="16"/>
      <c r="M2654" s="18" t="str">
        <f aca="false">IF(OR(C2654="",D2654=""),"",IF(MOD(COUNTIFS($C$2:C2654,C2654,$D$2:D2654,D2654)*7,10)&lt;3,"teste","treino"))</f>
        <v/>
      </c>
      <c r="N2654" s="16"/>
      <c r="O2654" s="16"/>
      <c r="P2654" s="16"/>
      <c r="Q2654" s="17"/>
    </row>
    <row r="2655" customFormat="false" ht="15" hidden="false" customHeight="false" outlineLevel="0" collapsed="false">
      <c r="A2655" s="15" t="str">
        <f aca="false">IF(B2655="","",ROW()-1)</f>
        <v/>
      </c>
      <c r="B2655" s="16"/>
      <c r="C2655" s="16"/>
      <c r="D2655" s="16"/>
      <c r="E2655" s="16"/>
      <c r="F2655" s="17"/>
      <c r="G2655" s="16"/>
      <c r="H2655" s="16"/>
      <c r="I2655" s="16"/>
      <c r="J2655" s="16"/>
      <c r="K2655" s="16"/>
      <c r="L2655" s="16"/>
      <c r="M2655" s="18" t="str">
        <f aca="false">IF(OR(C2655="",D2655=""),"",IF(MOD(COUNTIFS($C$2:C2655,C2655,$D$2:D2655,D2655)*7,10)&lt;3,"teste","treino"))</f>
        <v/>
      </c>
      <c r="N2655" s="16"/>
      <c r="O2655" s="16"/>
      <c r="P2655" s="16"/>
      <c r="Q2655" s="17"/>
    </row>
    <row r="2656" customFormat="false" ht="15" hidden="false" customHeight="false" outlineLevel="0" collapsed="false">
      <c r="A2656" s="15" t="str">
        <f aca="false">IF(B2656="","",ROW()-1)</f>
        <v/>
      </c>
      <c r="B2656" s="16"/>
      <c r="C2656" s="16"/>
      <c r="D2656" s="16"/>
      <c r="E2656" s="16"/>
      <c r="F2656" s="17"/>
      <c r="G2656" s="16"/>
      <c r="H2656" s="16"/>
      <c r="I2656" s="16"/>
      <c r="J2656" s="16"/>
      <c r="K2656" s="16"/>
      <c r="L2656" s="16"/>
      <c r="M2656" s="18" t="str">
        <f aca="false">IF(OR(C2656="",D2656=""),"",IF(MOD(COUNTIFS($C$2:C2656,C2656,$D$2:D2656,D2656)*7,10)&lt;3,"teste","treino"))</f>
        <v/>
      </c>
      <c r="N2656" s="16"/>
      <c r="O2656" s="16"/>
      <c r="P2656" s="16"/>
      <c r="Q2656" s="17"/>
    </row>
    <row r="2657" customFormat="false" ht="15" hidden="false" customHeight="false" outlineLevel="0" collapsed="false">
      <c r="A2657" s="15" t="str">
        <f aca="false">IF(B2657="","",ROW()-1)</f>
        <v/>
      </c>
      <c r="B2657" s="16"/>
      <c r="C2657" s="16"/>
      <c r="D2657" s="16"/>
      <c r="E2657" s="16"/>
      <c r="F2657" s="17"/>
      <c r="G2657" s="16"/>
      <c r="H2657" s="16"/>
      <c r="I2657" s="16"/>
      <c r="J2657" s="16"/>
      <c r="K2657" s="16"/>
      <c r="L2657" s="16"/>
      <c r="M2657" s="18" t="str">
        <f aca="false">IF(OR(C2657="",D2657=""),"",IF(MOD(COUNTIFS($C$2:C2657,C2657,$D$2:D2657,D2657)*7,10)&lt;3,"teste","treino"))</f>
        <v/>
      </c>
      <c r="N2657" s="16"/>
      <c r="O2657" s="16"/>
      <c r="P2657" s="16"/>
      <c r="Q2657" s="17"/>
    </row>
    <row r="2658" customFormat="false" ht="15" hidden="false" customHeight="false" outlineLevel="0" collapsed="false">
      <c r="A2658" s="15" t="str">
        <f aca="false">IF(B2658="","",ROW()-1)</f>
        <v/>
      </c>
      <c r="B2658" s="16"/>
      <c r="C2658" s="16"/>
      <c r="D2658" s="16"/>
      <c r="E2658" s="16"/>
      <c r="F2658" s="17"/>
      <c r="G2658" s="16"/>
      <c r="H2658" s="16"/>
      <c r="I2658" s="16"/>
      <c r="J2658" s="16"/>
      <c r="K2658" s="16"/>
      <c r="L2658" s="16"/>
      <c r="M2658" s="18" t="str">
        <f aca="false">IF(OR(C2658="",D2658=""),"",IF(MOD(COUNTIFS($C$2:C2658,C2658,$D$2:D2658,D2658)*7,10)&lt;3,"teste","treino"))</f>
        <v/>
      </c>
      <c r="N2658" s="16"/>
      <c r="O2658" s="16"/>
      <c r="P2658" s="16"/>
      <c r="Q2658" s="17"/>
    </row>
    <row r="2659" customFormat="false" ht="15" hidden="false" customHeight="false" outlineLevel="0" collapsed="false">
      <c r="A2659" s="15" t="str">
        <f aca="false">IF(B2659="","",ROW()-1)</f>
        <v/>
      </c>
      <c r="B2659" s="16"/>
      <c r="C2659" s="16"/>
      <c r="D2659" s="16"/>
      <c r="E2659" s="16"/>
      <c r="F2659" s="17"/>
      <c r="G2659" s="16"/>
      <c r="H2659" s="16"/>
      <c r="I2659" s="16"/>
      <c r="J2659" s="16"/>
      <c r="K2659" s="16"/>
      <c r="L2659" s="16"/>
      <c r="M2659" s="18" t="str">
        <f aca="false">IF(OR(C2659="",D2659=""),"",IF(MOD(COUNTIFS($C$2:C2659,C2659,$D$2:D2659,D2659)*7,10)&lt;3,"teste","treino"))</f>
        <v/>
      </c>
      <c r="N2659" s="16"/>
      <c r="O2659" s="16"/>
      <c r="P2659" s="16"/>
      <c r="Q2659" s="17"/>
    </row>
    <row r="2660" customFormat="false" ht="15" hidden="false" customHeight="false" outlineLevel="0" collapsed="false">
      <c r="A2660" s="15" t="str">
        <f aca="false">IF(B2660="","",ROW()-1)</f>
        <v/>
      </c>
      <c r="B2660" s="16"/>
      <c r="C2660" s="16"/>
      <c r="D2660" s="16"/>
      <c r="E2660" s="16"/>
      <c r="F2660" s="17"/>
      <c r="G2660" s="16"/>
      <c r="H2660" s="16"/>
      <c r="I2660" s="16"/>
      <c r="J2660" s="16"/>
      <c r="K2660" s="16"/>
      <c r="L2660" s="16"/>
      <c r="M2660" s="18" t="str">
        <f aca="false">IF(OR(C2660="",D2660=""),"",IF(MOD(COUNTIFS($C$2:C2660,C2660,$D$2:D2660,D2660)*7,10)&lt;3,"teste","treino"))</f>
        <v/>
      </c>
      <c r="N2660" s="16"/>
      <c r="O2660" s="16"/>
      <c r="P2660" s="16"/>
      <c r="Q2660" s="17"/>
    </row>
    <row r="2661" customFormat="false" ht="15" hidden="false" customHeight="false" outlineLevel="0" collapsed="false">
      <c r="A2661" s="15" t="str">
        <f aca="false">IF(B2661="","",ROW()-1)</f>
        <v/>
      </c>
      <c r="B2661" s="16"/>
      <c r="C2661" s="16"/>
      <c r="D2661" s="16"/>
      <c r="E2661" s="16"/>
      <c r="F2661" s="17"/>
      <c r="G2661" s="16"/>
      <c r="H2661" s="16"/>
      <c r="I2661" s="16"/>
      <c r="J2661" s="16"/>
      <c r="K2661" s="16"/>
      <c r="L2661" s="16"/>
      <c r="M2661" s="18" t="str">
        <f aca="false">IF(OR(C2661="",D2661=""),"",IF(MOD(COUNTIFS($C$2:C2661,C2661,$D$2:D2661,D2661)*7,10)&lt;3,"teste","treino"))</f>
        <v/>
      </c>
      <c r="N2661" s="16"/>
      <c r="O2661" s="16"/>
      <c r="P2661" s="16"/>
      <c r="Q2661" s="17"/>
    </row>
    <row r="2662" customFormat="false" ht="15" hidden="false" customHeight="false" outlineLevel="0" collapsed="false">
      <c r="A2662" s="15" t="str">
        <f aca="false">IF(B2662="","",ROW()-1)</f>
        <v/>
      </c>
      <c r="B2662" s="16"/>
      <c r="C2662" s="16"/>
      <c r="D2662" s="16"/>
      <c r="E2662" s="16"/>
      <c r="F2662" s="17"/>
      <c r="G2662" s="16"/>
      <c r="H2662" s="16"/>
      <c r="I2662" s="16"/>
      <c r="J2662" s="16"/>
      <c r="K2662" s="16"/>
      <c r="L2662" s="16"/>
      <c r="M2662" s="18" t="str">
        <f aca="false">IF(OR(C2662="",D2662=""),"",IF(MOD(COUNTIFS($C$2:C2662,C2662,$D$2:D2662,D2662)*7,10)&lt;3,"teste","treino"))</f>
        <v/>
      </c>
      <c r="N2662" s="16"/>
      <c r="O2662" s="16"/>
      <c r="P2662" s="16"/>
      <c r="Q2662" s="17"/>
    </row>
    <row r="2663" customFormat="false" ht="15" hidden="false" customHeight="false" outlineLevel="0" collapsed="false">
      <c r="A2663" s="15" t="str">
        <f aca="false">IF(B2663="","",ROW()-1)</f>
        <v/>
      </c>
      <c r="B2663" s="16"/>
      <c r="C2663" s="16"/>
      <c r="D2663" s="16"/>
      <c r="E2663" s="16"/>
      <c r="F2663" s="17"/>
      <c r="G2663" s="16"/>
      <c r="H2663" s="16"/>
      <c r="I2663" s="16"/>
      <c r="J2663" s="16"/>
      <c r="K2663" s="16"/>
      <c r="L2663" s="16"/>
      <c r="M2663" s="18" t="str">
        <f aca="false">IF(OR(C2663="",D2663=""),"",IF(MOD(COUNTIFS($C$2:C2663,C2663,$D$2:D2663,D2663)*7,10)&lt;3,"teste","treino"))</f>
        <v/>
      </c>
      <c r="N2663" s="16"/>
      <c r="O2663" s="16"/>
      <c r="P2663" s="16"/>
      <c r="Q2663" s="17"/>
    </row>
    <row r="2664" customFormat="false" ht="15" hidden="false" customHeight="false" outlineLevel="0" collapsed="false">
      <c r="A2664" s="15" t="str">
        <f aca="false">IF(B2664="","",ROW()-1)</f>
        <v/>
      </c>
      <c r="B2664" s="16"/>
      <c r="C2664" s="16"/>
      <c r="D2664" s="16"/>
      <c r="E2664" s="16"/>
      <c r="F2664" s="17"/>
      <c r="G2664" s="16"/>
      <c r="H2664" s="16"/>
      <c r="I2664" s="16"/>
      <c r="J2664" s="16"/>
      <c r="K2664" s="16"/>
      <c r="L2664" s="16"/>
      <c r="M2664" s="18" t="str">
        <f aca="false">IF(OR(C2664="",D2664=""),"",IF(MOD(COUNTIFS($C$2:C2664,C2664,$D$2:D2664,D2664)*7,10)&lt;3,"teste","treino"))</f>
        <v/>
      </c>
      <c r="N2664" s="16"/>
      <c r="O2664" s="16"/>
      <c r="P2664" s="16"/>
      <c r="Q2664" s="17"/>
    </row>
    <row r="2665" customFormat="false" ht="15" hidden="false" customHeight="false" outlineLevel="0" collapsed="false">
      <c r="A2665" s="15" t="str">
        <f aca="false">IF(B2665="","",ROW()-1)</f>
        <v/>
      </c>
      <c r="B2665" s="16"/>
      <c r="C2665" s="16"/>
      <c r="D2665" s="16"/>
      <c r="E2665" s="16"/>
      <c r="F2665" s="17"/>
      <c r="G2665" s="16"/>
      <c r="H2665" s="16"/>
      <c r="I2665" s="16"/>
      <c r="J2665" s="16"/>
      <c r="K2665" s="16"/>
      <c r="L2665" s="16"/>
      <c r="M2665" s="18" t="str">
        <f aca="false">IF(OR(C2665="",D2665=""),"",IF(MOD(COUNTIFS($C$2:C2665,C2665,$D$2:D2665,D2665)*7,10)&lt;3,"teste","treino"))</f>
        <v/>
      </c>
      <c r="N2665" s="16"/>
      <c r="O2665" s="16"/>
      <c r="P2665" s="16"/>
      <c r="Q2665" s="17"/>
    </row>
    <row r="2666" customFormat="false" ht="15" hidden="false" customHeight="false" outlineLevel="0" collapsed="false">
      <c r="A2666" s="15" t="str">
        <f aca="false">IF(B2666="","",ROW()-1)</f>
        <v/>
      </c>
      <c r="B2666" s="16"/>
      <c r="C2666" s="16"/>
      <c r="D2666" s="16"/>
      <c r="E2666" s="16"/>
      <c r="F2666" s="17"/>
      <c r="G2666" s="16"/>
      <c r="H2666" s="16"/>
      <c r="I2666" s="16"/>
      <c r="J2666" s="16"/>
      <c r="K2666" s="16"/>
      <c r="L2666" s="16"/>
      <c r="M2666" s="18" t="str">
        <f aca="false">IF(OR(C2666="",D2666=""),"",IF(MOD(COUNTIFS($C$2:C2666,C2666,$D$2:D2666,D2666)*7,10)&lt;3,"teste","treino"))</f>
        <v/>
      </c>
      <c r="N2666" s="16"/>
      <c r="O2666" s="16"/>
      <c r="P2666" s="16"/>
      <c r="Q2666" s="17"/>
    </row>
    <row r="2667" customFormat="false" ht="15" hidden="false" customHeight="false" outlineLevel="0" collapsed="false">
      <c r="A2667" s="15" t="str">
        <f aca="false">IF(B2667="","",ROW()-1)</f>
        <v/>
      </c>
      <c r="B2667" s="16"/>
      <c r="C2667" s="16"/>
      <c r="D2667" s="16"/>
      <c r="E2667" s="16"/>
      <c r="F2667" s="17"/>
      <c r="G2667" s="16"/>
      <c r="H2667" s="16"/>
      <c r="I2667" s="16"/>
      <c r="J2667" s="16"/>
      <c r="K2667" s="16"/>
      <c r="L2667" s="16"/>
      <c r="M2667" s="18" t="str">
        <f aca="false">IF(OR(C2667="",D2667=""),"",IF(MOD(COUNTIFS($C$2:C2667,C2667,$D$2:D2667,D2667)*7,10)&lt;3,"teste","treino"))</f>
        <v/>
      </c>
      <c r="N2667" s="16"/>
      <c r="O2667" s="16"/>
      <c r="P2667" s="16"/>
      <c r="Q2667" s="17"/>
    </row>
    <row r="2668" customFormat="false" ht="15" hidden="false" customHeight="false" outlineLevel="0" collapsed="false">
      <c r="A2668" s="15" t="str">
        <f aca="false">IF(B2668="","",ROW()-1)</f>
        <v/>
      </c>
      <c r="B2668" s="16"/>
      <c r="C2668" s="16"/>
      <c r="D2668" s="16"/>
      <c r="E2668" s="16"/>
      <c r="F2668" s="17"/>
      <c r="G2668" s="16"/>
      <c r="H2668" s="16"/>
      <c r="I2668" s="16"/>
      <c r="J2668" s="16"/>
      <c r="K2668" s="16"/>
      <c r="L2668" s="16"/>
      <c r="M2668" s="18" t="str">
        <f aca="false">IF(OR(C2668="",D2668=""),"",IF(MOD(COUNTIFS($C$2:C2668,C2668,$D$2:D2668,D2668)*7,10)&lt;3,"teste","treino"))</f>
        <v/>
      </c>
      <c r="N2668" s="16"/>
      <c r="O2668" s="16"/>
      <c r="P2668" s="16"/>
      <c r="Q2668" s="17"/>
    </row>
    <row r="2669" customFormat="false" ht="15" hidden="false" customHeight="false" outlineLevel="0" collapsed="false">
      <c r="A2669" s="15" t="str">
        <f aca="false">IF(B2669="","",ROW()-1)</f>
        <v/>
      </c>
      <c r="B2669" s="16"/>
      <c r="C2669" s="16"/>
      <c r="D2669" s="16"/>
      <c r="E2669" s="16"/>
      <c r="F2669" s="17"/>
      <c r="G2669" s="16"/>
      <c r="H2669" s="16"/>
      <c r="I2669" s="16"/>
      <c r="J2669" s="16"/>
      <c r="K2669" s="16"/>
      <c r="L2669" s="16"/>
      <c r="M2669" s="18" t="str">
        <f aca="false">IF(OR(C2669="",D2669=""),"",IF(MOD(COUNTIFS($C$2:C2669,C2669,$D$2:D2669,D2669)*7,10)&lt;3,"teste","treino"))</f>
        <v/>
      </c>
      <c r="N2669" s="16"/>
      <c r="O2669" s="16"/>
      <c r="P2669" s="16"/>
      <c r="Q2669" s="17"/>
    </row>
    <row r="2670" customFormat="false" ht="15" hidden="false" customHeight="false" outlineLevel="0" collapsed="false">
      <c r="A2670" s="15" t="str">
        <f aca="false">IF(B2670="","",ROW()-1)</f>
        <v/>
      </c>
      <c r="B2670" s="16"/>
      <c r="C2670" s="16"/>
      <c r="D2670" s="16"/>
      <c r="E2670" s="16"/>
      <c r="F2670" s="17"/>
      <c r="G2670" s="16"/>
      <c r="H2670" s="16"/>
      <c r="I2670" s="16"/>
      <c r="J2670" s="16"/>
      <c r="K2670" s="16"/>
      <c r="L2670" s="16"/>
      <c r="M2670" s="18" t="str">
        <f aca="false">IF(OR(C2670="",D2670=""),"",IF(MOD(COUNTIFS($C$2:C2670,C2670,$D$2:D2670,D2670)*7,10)&lt;3,"teste","treino"))</f>
        <v/>
      </c>
      <c r="N2670" s="16"/>
      <c r="O2670" s="16"/>
      <c r="P2670" s="16"/>
      <c r="Q2670" s="17"/>
    </row>
    <row r="2671" customFormat="false" ht="15" hidden="false" customHeight="false" outlineLevel="0" collapsed="false">
      <c r="A2671" s="15" t="str">
        <f aca="false">IF(B2671="","",ROW()-1)</f>
        <v/>
      </c>
      <c r="B2671" s="16"/>
      <c r="C2671" s="16"/>
      <c r="D2671" s="16"/>
      <c r="E2671" s="16"/>
      <c r="F2671" s="17"/>
      <c r="G2671" s="16"/>
      <c r="H2671" s="16"/>
      <c r="I2671" s="16"/>
      <c r="J2671" s="16"/>
      <c r="K2671" s="16"/>
      <c r="L2671" s="16"/>
      <c r="M2671" s="18" t="str">
        <f aca="false">IF(OR(C2671="",D2671=""),"",IF(MOD(COUNTIFS($C$2:C2671,C2671,$D$2:D2671,D2671)*7,10)&lt;3,"teste","treino"))</f>
        <v/>
      </c>
      <c r="N2671" s="16"/>
      <c r="O2671" s="16"/>
      <c r="P2671" s="16"/>
      <c r="Q2671" s="17"/>
    </row>
    <row r="2672" customFormat="false" ht="15" hidden="false" customHeight="false" outlineLevel="0" collapsed="false">
      <c r="A2672" s="15" t="str">
        <f aca="false">IF(B2672="","",ROW()-1)</f>
        <v/>
      </c>
      <c r="B2672" s="16"/>
      <c r="C2672" s="16"/>
      <c r="D2672" s="16"/>
      <c r="E2672" s="16"/>
      <c r="F2672" s="17"/>
      <c r="G2672" s="16"/>
      <c r="H2672" s="16"/>
      <c r="I2672" s="16"/>
      <c r="J2672" s="16"/>
      <c r="K2672" s="16"/>
      <c r="L2672" s="16"/>
      <c r="M2672" s="18" t="str">
        <f aca="false">IF(OR(C2672="",D2672=""),"",IF(MOD(COUNTIFS($C$2:C2672,C2672,$D$2:D2672,D2672)*7,10)&lt;3,"teste","treino"))</f>
        <v/>
      </c>
      <c r="N2672" s="16"/>
      <c r="O2672" s="16"/>
      <c r="P2672" s="16"/>
      <c r="Q2672" s="17"/>
    </row>
    <row r="2673" customFormat="false" ht="15" hidden="false" customHeight="false" outlineLevel="0" collapsed="false">
      <c r="A2673" s="15" t="str">
        <f aca="false">IF(B2673="","",ROW()-1)</f>
        <v/>
      </c>
      <c r="B2673" s="16"/>
      <c r="C2673" s="16"/>
      <c r="D2673" s="16"/>
      <c r="E2673" s="16"/>
      <c r="F2673" s="17"/>
      <c r="G2673" s="16"/>
      <c r="H2673" s="16"/>
      <c r="I2673" s="16"/>
      <c r="J2673" s="16"/>
      <c r="K2673" s="16"/>
      <c r="L2673" s="16"/>
      <c r="M2673" s="18" t="str">
        <f aca="false">IF(OR(C2673="",D2673=""),"",IF(MOD(COUNTIFS($C$2:C2673,C2673,$D$2:D2673,D2673)*7,10)&lt;3,"teste","treino"))</f>
        <v/>
      </c>
      <c r="N2673" s="16"/>
      <c r="O2673" s="16"/>
      <c r="P2673" s="16"/>
      <c r="Q2673" s="17"/>
    </row>
    <row r="2674" customFormat="false" ht="15" hidden="false" customHeight="false" outlineLevel="0" collapsed="false">
      <c r="A2674" s="15" t="str">
        <f aca="false">IF(B2674="","",ROW()-1)</f>
        <v/>
      </c>
      <c r="B2674" s="16"/>
      <c r="C2674" s="16"/>
      <c r="D2674" s="16"/>
      <c r="E2674" s="16"/>
      <c r="F2674" s="17"/>
      <c r="G2674" s="16"/>
      <c r="H2674" s="16"/>
      <c r="I2674" s="16"/>
      <c r="J2674" s="16"/>
      <c r="K2674" s="16"/>
      <c r="L2674" s="16"/>
      <c r="M2674" s="18" t="str">
        <f aca="false">IF(OR(C2674="",D2674=""),"",IF(MOD(COUNTIFS($C$2:C2674,C2674,$D$2:D2674,D2674)*7,10)&lt;3,"teste","treino"))</f>
        <v/>
      </c>
      <c r="N2674" s="16"/>
      <c r="O2674" s="16"/>
      <c r="P2674" s="16"/>
      <c r="Q2674" s="17"/>
    </row>
    <row r="2675" customFormat="false" ht="15" hidden="false" customHeight="false" outlineLevel="0" collapsed="false">
      <c r="A2675" s="15" t="str">
        <f aca="false">IF(B2675="","",ROW()-1)</f>
        <v/>
      </c>
      <c r="B2675" s="16"/>
      <c r="C2675" s="16"/>
      <c r="D2675" s="16"/>
      <c r="E2675" s="16"/>
      <c r="F2675" s="17"/>
      <c r="G2675" s="16"/>
      <c r="H2675" s="16"/>
      <c r="I2675" s="16"/>
      <c r="J2675" s="16"/>
      <c r="K2675" s="16"/>
      <c r="L2675" s="16"/>
      <c r="M2675" s="18" t="str">
        <f aca="false">IF(OR(C2675="",D2675=""),"",IF(MOD(COUNTIFS($C$2:C2675,C2675,$D$2:D2675,D2675)*7,10)&lt;3,"teste","treino"))</f>
        <v/>
      </c>
      <c r="N2675" s="16"/>
      <c r="O2675" s="16"/>
      <c r="P2675" s="16"/>
      <c r="Q2675" s="17"/>
    </row>
    <row r="2676" customFormat="false" ht="15" hidden="false" customHeight="false" outlineLevel="0" collapsed="false">
      <c r="A2676" s="15" t="str">
        <f aca="false">IF(B2676="","",ROW()-1)</f>
        <v/>
      </c>
      <c r="B2676" s="16"/>
      <c r="C2676" s="16"/>
      <c r="D2676" s="16"/>
      <c r="E2676" s="16"/>
      <c r="F2676" s="17"/>
      <c r="G2676" s="16"/>
      <c r="H2676" s="16"/>
      <c r="I2676" s="16"/>
      <c r="J2676" s="16"/>
      <c r="K2676" s="16"/>
      <c r="L2676" s="16"/>
      <c r="M2676" s="18" t="str">
        <f aca="false">IF(OR(C2676="",D2676=""),"",IF(MOD(COUNTIFS($C$2:C2676,C2676,$D$2:D2676,D2676)*7,10)&lt;3,"teste","treino"))</f>
        <v/>
      </c>
      <c r="N2676" s="16"/>
      <c r="O2676" s="16"/>
      <c r="P2676" s="16"/>
      <c r="Q2676" s="17"/>
    </row>
    <row r="2677" customFormat="false" ht="15" hidden="false" customHeight="false" outlineLevel="0" collapsed="false">
      <c r="A2677" s="15" t="str">
        <f aca="false">IF(B2677="","",ROW()-1)</f>
        <v/>
      </c>
      <c r="B2677" s="16"/>
      <c r="C2677" s="16"/>
      <c r="D2677" s="16"/>
      <c r="E2677" s="16"/>
      <c r="F2677" s="17"/>
      <c r="G2677" s="16"/>
      <c r="H2677" s="16"/>
      <c r="I2677" s="16"/>
      <c r="J2677" s="16"/>
      <c r="K2677" s="16"/>
      <c r="L2677" s="16"/>
      <c r="M2677" s="18" t="str">
        <f aca="false">IF(OR(C2677="",D2677=""),"",IF(MOD(COUNTIFS($C$2:C2677,C2677,$D$2:D2677,D2677)*7,10)&lt;3,"teste","treino"))</f>
        <v/>
      </c>
      <c r="N2677" s="16"/>
      <c r="O2677" s="16"/>
      <c r="P2677" s="16"/>
      <c r="Q2677" s="17"/>
    </row>
    <row r="2678" customFormat="false" ht="15" hidden="false" customHeight="false" outlineLevel="0" collapsed="false">
      <c r="A2678" s="15" t="str">
        <f aca="false">IF(B2678="","",ROW()-1)</f>
        <v/>
      </c>
      <c r="B2678" s="16"/>
      <c r="C2678" s="16"/>
      <c r="D2678" s="16"/>
      <c r="E2678" s="16"/>
      <c r="F2678" s="17"/>
      <c r="G2678" s="16"/>
      <c r="H2678" s="16"/>
      <c r="I2678" s="16"/>
      <c r="J2678" s="16"/>
      <c r="K2678" s="16"/>
      <c r="L2678" s="16"/>
      <c r="M2678" s="18" t="str">
        <f aca="false">IF(OR(C2678="",D2678=""),"",IF(MOD(COUNTIFS($C$2:C2678,C2678,$D$2:D2678,D2678)*7,10)&lt;3,"teste","treino"))</f>
        <v/>
      </c>
      <c r="N2678" s="16"/>
      <c r="O2678" s="16"/>
      <c r="P2678" s="16"/>
      <c r="Q2678" s="17"/>
    </row>
    <row r="2679" customFormat="false" ht="15" hidden="false" customHeight="false" outlineLevel="0" collapsed="false">
      <c r="A2679" s="15" t="str">
        <f aca="false">IF(B2679="","",ROW()-1)</f>
        <v/>
      </c>
      <c r="B2679" s="16"/>
      <c r="C2679" s="16"/>
      <c r="D2679" s="16"/>
      <c r="E2679" s="16"/>
      <c r="F2679" s="17"/>
      <c r="G2679" s="16"/>
      <c r="H2679" s="16"/>
      <c r="I2679" s="16"/>
      <c r="J2679" s="16"/>
      <c r="K2679" s="16"/>
      <c r="L2679" s="16"/>
      <c r="M2679" s="18" t="str">
        <f aca="false">IF(OR(C2679="",D2679=""),"",IF(MOD(COUNTIFS($C$2:C2679,C2679,$D$2:D2679,D2679)*7,10)&lt;3,"teste","treino"))</f>
        <v/>
      </c>
      <c r="N2679" s="16"/>
      <c r="O2679" s="16"/>
      <c r="P2679" s="16"/>
      <c r="Q2679" s="17"/>
    </row>
    <row r="2680" customFormat="false" ht="15" hidden="false" customHeight="false" outlineLevel="0" collapsed="false">
      <c r="A2680" s="15" t="str">
        <f aca="false">IF(B2680="","",ROW()-1)</f>
        <v/>
      </c>
      <c r="B2680" s="16"/>
      <c r="C2680" s="16"/>
      <c r="D2680" s="16"/>
      <c r="E2680" s="16"/>
      <c r="F2680" s="17"/>
      <c r="G2680" s="16"/>
      <c r="H2680" s="16"/>
      <c r="I2680" s="16"/>
      <c r="J2680" s="16"/>
      <c r="K2680" s="16"/>
      <c r="L2680" s="16"/>
      <c r="M2680" s="18" t="str">
        <f aca="false">IF(OR(C2680="",D2680=""),"",IF(MOD(COUNTIFS($C$2:C2680,C2680,$D$2:D2680,D2680)*7,10)&lt;3,"teste","treino"))</f>
        <v/>
      </c>
      <c r="N2680" s="16"/>
      <c r="O2680" s="16"/>
      <c r="P2680" s="16"/>
      <c r="Q2680" s="17"/>
    </row>
    <row r="2681" customFormat="false" ht="15" hidden="false" customHeight="false" outlineLevel="0" collapsed="false">
      <c r="A2681" s="15" t="str">
        <f aca="false">IF(B2681="","",ROW()-1)</f>
        <v/>
      </c>
      <c r="B2681" s="16"/>
      <c r="C2681" s="16"/>
      <c r="D2681" s="16"/>
      <c r="E2681" s="16"/>
      <c r="F2681" s="17"/>
      <c r="G2681" s="16"/>
      <c r="H2681" s="16"/>
      <c r="I2681" s="16"/>
      <c r="J2681" s="16"/>
      <c r="K2681" s="16"/>
      <c r="L2681" s="16"/>
      <c r="M2681" s="18" t="str">
        <f aca="false">IF(OR(C2681="",D2681=""),"",IF(MOD(COUNTIFS($C$2:C2681,C2681,$D$2:D2681,D2681)*7,10)&lt;3,"teste","treino"))</f>
        <v/>
      </c>
      <c r="N2681" s="16"/>
      <c r="O2681" s="16"/>
      <c r="P2681" s="16"/>
      <c r="Q2681" s="17"/>
    </row>
    <row r="2682" customFormat="false" ht="15" hidden="false" customHeight="false" outlineLevel="0" collapsed="false">
      <c r="A2682" s="15" t="str">
        <f aca="false">IF(B2682="","",ROW()-1)</f>
        <v/>
      </c>
      <c r="B2682" s="16"/>
      <c r="C2682" s="16"/>
      <c r="D2682" s="16"/>
      <c r="E2682" s="16"/>
      <c r="F2682" s="17"/>
      <c r="G2682" s="16"/>
      <c r="H2682" s="16"/>
      <c r="I2682" s="16"/>
      <c r="J2682" s="16"/>
      <c r="K2682" s="16"/>
      <c r="L2682" s="16"/>
      <c r="M2682" s="18" t="str">
        <f aca="false">IF(OR(C2682="",D2682=""),"",IF(MOD(COUNTIFS($C$2:C2682,C2682,$D$2:D2682,D2682)*7,10)&lt;3,"teste","treino"))</f>
        <v/>
      </c>
      <c r="N2682" s="16"/>
      <c r="O2682" s="16"/>
      <c r="P2682" s="16"/>
      <c r="Q2682" s="17"/>
    </row>
    <row r="2683" customFormat="false" ht="15" hidden="false" customHeight="false" outlineLevel="0" collapsed="false">
      <c r="A2683" s="15" t="str">
        <f aca="false">IF(B2683="","",ROW()-1)</f>
        <v/>
      </c>
      <c r="B2683" s="16"/>
      <c r="C2683" s="16"/>
      <c r="D2683" s="16"/>
      <c r="E2683" s="16"/>
      <c r="F2683" s="17"/>
      <c r="G2683" s="16"/>
      <c r="H2683" s="16"/>
      <c r="I2683" s="16"/>
      <c r="J2683" s="16"/>
      <c r="K2683" s="16"/>
      <c r="L2683" s="16"/>
      <c r="M2683" s="18" t="str">
        <f aca="false">IF(OR(C2683="",D2683=""),"",IF(MOD(COUNTIFS($C$2:C2683,C2683,$D$2:D2683,D2683)*7,10)&lt;3,"teste","treino"))</f>
        <v/>
      </c>
      <c r="N2683" s="16"/>
      <c r="O2683" s="16"/>
      <c r="P2683" s="16"/>
      <c r="Q2683" s="17"/>
    </row>
    <row r="2684" customFormat="false" ht="15" hidden="false" customHeight="false" outlineLevel="0" collapsed="false">
      <c r="A2684" s="15" t="str">
        <f aca="false">IF(B2684="","",ROW()-1)</f>
        <v/>
      </c>
      <c r="B2684" s="16"/>
      <c r="C2684" s="16"/>
      <c r="D2684" s="16"/>
      <c r="E2684" s="16"/>
      <c r="F2684" s="17"/>
      <c r="G2684" s="16"/>
      <c r="H2684" s="16"/>
      <c r="I2684" s="16"/>
      <c r="J2684" s="16"/>
      <c r="K2684" s="16"/>
      <c r="L2684" s="16"/>
      <c r="M2684" s="18" t="str">
        <f aca="false">IF(OR(C2684="",D2684=""),"",IF(MOD(COUNTIFS($C$2:C2684,C2684,$D$2:D2684,D2684)*7,10)&lt;3,"teste","treino"))</f>
        <v/>
      </c>
      <c r="N2684" s="16"/>
      <c r="O2684" s="16"/>
      <c r="P2684" s="16"/>
      <c r="Q2684" s="17"/>
    </row>
    <row r="2685" customFormat="false" ht="15" hidden="false" customHeight="false" outlineLevel="0" collapsed="false">
      <c r="A2685" s="15" t="str">
        <f aca="false">IF(B2685="","",ROW()-1)</f>
        <v/>
      </c>
      <c r="B2685" s="16"/>
      <c r="C2685" s="16"/>
      <c r="D2685" s="16"/>
      <c r="E2685" s="16"/>
      <c r="F2685" s="17"/>
      <c r="G2685" s="16"/>
      <c r="H2685" s="16"/>
      <c r="I2685" s="16"/>
      <c r="J2685" s="16"/>
      <c r="K2685" s="16"/>
      <c r="L2685" s="16"/>
      <c r="M2685" s="18" t="str">
        <f aca="false">IF(OR(C2685="",D2685=""),"",IF(MOD(COUNTIFS($C$2:C2685,C2685,$D$2:D2685,D2685)*7,10)&lt;3,"teste","treino"))</f>
        <v/>
      </c>
      <c r="N2685" s="16"/>
      <c r="O2685" s="16"/>
      <c r="P2685" s="16"/>
      <c r="Q2685" s="17"/>
    </row>
    <row r="2686" customFormat="false" ht="15" hidden="false" customHeight="false" outlineLevel="0" collapsed="false">
      <c r="A2686" s="15" t="str">
        <f aca="false">IF(B2686="","",ROW()-1)</f>
        <v/>
      </c>
      <c r="B2686" s="16"/>
      <c r="C2686" s="16"/>
      <c r="D2686" s="16"/>
      <c r="E2686" s="16"/>
      <c r="F2686" s="17"/>
      <c r="G2686" s="16"/>
      <c r="H2686" s="16"/>
      <c r="I2686" s="16"/>
      <c r="J2686" s="16"/>
      <c r="K2686" s="16"/>
      <c r="L2686" s="16"/>
      <c r="M2686" s="18" t="str">
        <f aca="false">IF(OR(C2686="",D2686=""),"",IF(MOD(COUNTIFS($C$2:C2686,C2686,$D$2:D2686,D2686)*7,10)&lt;3,"teste","treino"))</f>
        <v/>
      </c>
      <c r="N2686" s="16"/>
      <c r="O2686" s="16"/>
      <c r="P2686" s="16"/>
      <c r="Q2686" s="17"/>
    </row>
    <row r="2687" customFormat="false" ht="15" hidden="false" customHeight="false" outlineLevel="0" collapsed="false">
      <c r="A2687" s="15" t="str">
        <f aca="false">IF(B2687="","",ROW()-1)</f>
        <v/>
      </c>
      <c r="B2687" s="16"/>
      <c r="C2687" s="16"/>
      <c r="D2687" s="16"/>
      <c r="E2687" s="16"/>
      <c r="F2687" s="17"/>
      <c r="G2687" s="16"/>
      <c r="H2687" s="16"/>
      <c r="I2687" s="16"/>
      <c r="J2687" s="16"/>
      <c r="K2687" s="16"/>
      <c r="L2687" s="16"/>
      <c r="M2687" s="18" t="str">
        <f aca="false">IF(OR(C2687="",D2687=""),"",IF(MOD(COUNTIFS($C$2:C2687,C2687,$D$2:D2687,D2687)*7,10)&lt;3,"teste","treino"))</f>
        <v/>
      </c>
      <c r="N2687" s="16"/>
      <c r="O2687" s="16"/>
      <c r="P2687" s="16"/>
      <c r="Q2687" s="17"/>
    </row>
    <row r="2688" customFormat="false" ht="15" hidden="false" customHeight="false" outlineLevel="0" collapsed="false">
      <c r="A2688" s="15" t="str">
        <f aca="false">IF(B2688="","",ROW()-1)</f>
        <v/>
      </c>
      <c r="B2688" s="16"/>
      <c r="C2688" s="16"/>
      <c r="D2688" s="16"/>
      <c r="E2688" s="16"/>
      <c r="F2688" s="17"/>
      <c r="G2688" s="16"/>
      <c r="H2688" s="16"/>
      <c r="I2688" s="16"/>
      <c r="J2688" s="16"/>
      <c r="K2688" s="16"/>
      <c r="L2688" s="16"/>
      <c r="M2688" s="18" t="str">
        <f aca="false">IF(OR(C2688="",D2688=""),"",IF(MOD(COUNTIFS($C$2:C2688,C2688,$D$2:D2688,D2688)*7,10)&lt;3,"teste","treino"))</f>
        <v/>
      </c>
      <c r="N2688" s="16"/>
      <c r="O2688" s="16"/>
      <c r="P2688" s="16"/>
      <c r="Q2688" s="17"/>
    </row>
    <row r="2689" customFormat="false" ht="15" hidden="false" customHeight="false" outlineLevel="0" collapsed="false">
      <c r="A2689" s="15" t="str">
        <f aca="false">IF(B2689="","",ROW()-1)</f>
        <v/>
      </c>
      <c r="B2689" s="16"/>
      <c r="C2689" s="16"/>
      <c r="D2689" s="16"/>
      <c r="E2689" s="16"/>
      <c r="F2689" s="17"/>
      <c r="G2689" s="16"/>
      <c r="H2689" s="16"/>
      <c r="I2689" s="16"/>
      <c r="J2689" s="16"/>
      <c r="K2689" s="16"/>
      <c r="L2689" s="16"/>
      <c r="M2689" s="18" t="str">
        <f aca="false">IF(OR(C2689="",D2689=""),"",IF(MOD(COUNTIFS($C$2:C2689,C2689,$D$2:D2689,D2689)*7,10)&lt;3,"teste","treino"))</f>
        <v/>
      </c>
      <c r="N2689" s="16"/>
      <c r="O2689" s="16"/>
      <c r="P2689" s="16"/>
      <c r="Q2689" s="17"/>
    </row>
    <row r="2690" customFormat="false" ht="15" hidden="false" customHeight="false" outlineLevel="0" collapsed="false">
      <c r="A2690" s="15" t="str">
        <f aca="false">IF(B2690="","",ROW()-1)</f>
        <v/>
      </c>
      <c r="B2690" s="16"/>
      <c r="C2690" s="16"/>
      <c r="D2690" s="16"/>
      <c r="E2690" s="16"/>
      <c r="F2690" s="17"/>
      <c r="G2690" s="16"/>
      <c r="H2690" s="16"/>
      <c r="I2690" s="16"/>
      <c r="J2690" s="16"/>
      <c r="K2690" s="16"/>
      <c r="L2690" s="16"/>
      <c r="M2690" s="18" t="str">
        <f aca="false">IF(OR(C2690="",D2690=""),"",IF(MOD(COUNTIFS($C$2:C2690,C2690,$D$2:D2690,D2690)*7,10)&lt;3,"teste","treino"))</f>
        <v/>
      </c>
      <c r="N2690" s="16"/>
      <c r="O2690" s="16"/>
      <c r="P2690" s="16"/>
      <c r="Q2690" s="17"/>
    </row>
    <row r="2691" customFormat="false" ht="15" hidden="false" customHeight="false" outlineLevel="0" collapsed="false">
      <c r="A2691" s="15" t="str">
        <f aca="false">IF(B2691="","",ROW()-1)</f>
        <v/>
      </c>
      <c r="B2691" s="16"/>
      <c r="C2691" s="16"/>
      <c r="D2691" s="16"/>
      <c r="E2691" s="16"/>
      <c r="F2691" s="17"/>
      <c r="G2691" s="16"/>
      <c r="H2691" s="16"/>
      <c r="I2691" s="16"/>
      <c r="J2691" s="16"/>
      <c r="K2691" s="16"/>
      <c r="L2691" s="16"/>
      <c r="M2691" s="18" t="str">
        <f aca="false">IF(OR(C2691="",D2691=""),"",IF(MOD(COUNTIFS($C$2:C2691,C2691,$D$2:D2691,D2691)*7,10)&lt;3,"teste","treino"))</f>
        <v/>
      </c>
      <c r="N2691" s="16"/>
      <c r="O2691" s="16"/>
      <c r="P2691" s="16"/>
      <c r="Q2691" s="17"/>
    </row>
    <row r="2692" customFormat="false" ht="15" hidden="false" customHeight="false" outlineLevel="0" collapsed="false">
      <c r="A2692" s="15" t="str">
        <f aca="false">IF(B2692="","",ROW()-1)</f>
        <v/>
      </c>
      <c r="B2692" s="16"/>
      <c r="C2692" s="16"/>
      <c r="D2692" s="16"/>
      <c r="E2692" s="16"/>
      <c r="F2692" s="17"/>
      <c r="G2692" s="16"/>
      <c r="H2692" s="16"/>
      <c r="I2692" s="16"/>
      <c r="J2692" s="16"/>
      <c r="K2692" s="16"/>
      <c r="L2692" s="16"/>
      <c r="M2692" s="18" t="str">
        <f aca="false">IF(OR(C2692="",D2692=""),"",IF(MOD(COUNTIFS($C$2:C2692,C2692,$D$2:D2692,D2692)*7,10)&lt;3,"teste","treino"))</f>
        <v/>
      </c>
      <c r="N2692" s="16"/>
      <c r="O2692" s="16"/>
      <c r="P2692" s="16"/>
      <c r="Q2692" s="17"/>
    </row>
    <row r="2693" customFormat="false" ht="15" hidden="false" customHeight="false" outlineLevel="0" collapsed="false">
      <c r="A2693" s="15" t="str">
        <f aca="false">IF(B2693="","",ROW()-1)</f>
        <v/>
      </c>
      <c r="B2693" s="16"/>
      <c r="C2693" s="16"/>
      <c r="D2693" s="16"/>
      <c r="E2693" s="16"/>
      <c r="F2693" s="17"/>
      <c r="G2693" s="16"/>
      <c r="H2693" s="16"/>
      <c r="I2693" s="16"/>
      <c r="J2693" s="16"/>
      <c r="K2693" s="16"/>
      <c r="L2693" s="16"/>
      <c r="M2693" s="18" t="str">
        <f aca="false">IF(OR(C2693="",D2693=""),"",IF(MOD(COUNTIFS($C$2:C2693,C2693,$D$2:D2693,D2693)*7,10)&lt;3,"teste","treino"))</f>
        <v/>
      </c>
      <c r="N2693" s="16"/>
      <c r="O2693" s="16"/>
      <c r="P2693" s="16"/>
      <c r="Q2693" s="17"/>
    </row>
    <row r="2694" customFormat="false" ht="15" hidden="false" customHeight="false" outlineLevel="0" collapsed="false">
      <c r="A2694" s="15" t="str">
        <f aca="false">IF(B2694="","",ROW()-1)</f>
        <v/>
      </c>
      <c r="B2694" s="16"/>
      <c r="C2694" s="16"/>
      <c r="D2694" s="16"/>
      <c r="E2694" s="16"/>
      <c r="F2694" s="17"/>
      <c r="G2694" s="16"/>
      <c r="H2694" s="16"/>
      <c r="I2694" s="16"/>
      <c r="J2694" s="16"/>
      <c r="K2694" s="16"/>
      <c r="L2694" s="16"/>
      <c r="M2694" s="18" t="str">
        <f aca="false">IF(OR(C2694="",D2694=""),"",IF(MOD(COUNTIFS($C$2:C2694,C2694,$D$2:D2694,D2694)*7,10)&lt;3,"teste","treino"))</f>
        <v/>
      </c>
      <c r="N2694" s="16"/>
      <c r="O2694" s="16"/>
      <c r="P2694" s="16"/>
      <c r="Q2694" s="17"/>
    </row>
    <row r="2695" customFormat="false" ht="15" hidden="false" customHeight="false" outlineLevel="0" collapsed="false">
      <c r="A2695" s="15" t="str">
        <f aca="false">IF(B2695="","",ROW()-1)</f>
        <v/>
      </c>
      <c r="B2695" s="16"/>
      <c r="C2695" s="16"/>
      <c r="D2695" s="16"/>
      <c r="E2695" s="16"/>
      <c r="F2695" s="17"/>
      <c r="G2695" s="16"/>
      <c r="H2695" s="16"/>
      <c r="I2695" s="16"/>
      <c r="J2695" s="16"/>
      <c r="K2695" s="16"/>
      <c r="L2695" s="16"/>
      <c r="M2695" s="18" t="str">
        <f aca="false">IF(OR(C2695="",D2695=""),"",IF(MOD(COUNTIFS($C$2:C2695,C2695,$D$2:D2695,D2695)*7,10)&lt;3,"teste","treino"))</f>
        <v/>
      </c>
      <c r="N2695" s="16"/>
      <c r="O2695" s="16"/>
      <c r="P2695" s="16"/>
      <c r="Q2695" s="17"/>
    </row>
    <row r="2696" customFormat="false" ht="15" hidden="false" customHeight="false" outlineLevel="0" collapsed="false">
      <c r="A2696" s="15" t="str">
        <f aca="false">IF(B2696="","",ROW()-1)</f>
        <v/>
      </c>
      <c r="B2696" s="16"/>
      <c r="C2696" s="16"/>
      <c r="D2696" s="16"/>
      <c r="E2696" s="16"/>
      <c r="F2696" s="17"/>
      <c r="G2696" s="16"/>
      <c r="H2696" s="16"/>
      <c r="I2696" s="16"/>
      <c r="J2696" s="16"/>
      <c r="K2696" s="16"/>
      <c r="L2696" s="16"/>
      <c r="M2696" s="18" t="str">
        <f aca="false">IF(OR(C2696="",D2696=""),"",IF(MOD(COUNTIFS($C$2:C2696,C2696,$D$2:D2696,D2696)*7,10)&lt;3,"teste","treino"))</f>
        <v/>
      </c>
      <c r="N2696" s="16"/>
      <c r="O2696" s="16"/>
      <c r="P2696" s="16"/>
      <c r="Q2696" s="17"/>
    </row>
    <row r="2697" customFormat="false" ht="15" hidden="false" customHeight="false" outlineLevel="0" collapsed="false">
      <c r="A2697" s="15" t="str">
        <f aca="false">IF(B2697="","",ROW()-1)</f>
        <v/>
      </c>
      <c r="B2697" s="16"/>
      <c r="C2697" s="16"/>
      <c r="D2697" s="16"/>
      <c r="E2697" s="16"/>
      <c r="F2697" s="17"/>
      <c r="G2697" s="16"/>
      <c r="H2697" s="16"/>
      <c r="I2697" s="16"/>
      <c r="J2697" s="16"/>
      <c r="K2697" s="16"/>
      <c r="L2697" s="16"/>
      <c r="M2697" s="18" t="str">
        <f aca="false">IF(OR(C2697="",D2697=""),"",IF(MOD(COUNTIFS($C$2:C2697,C2697,$D$2:D2697,D2697)*7,10)&lt;3,"teste","treino"))</f>
        <v/>
      </c>
      <c r="N2697" s="16"/>
      <c r="O2697" s="16"/>
      <c r="P2697" s="16"/>
      <c r="Q2697" s="17"/>
    </row>
    <row r="2698" customFormat="false" ht="15" hidden="false" customHeight="false" outlineLevel="0" collapsed="false">
      <c r="A2698" s="15" t="str">
        <f aca="false">IF(B2698="","",ROW()-1)</f>
        <v/>
      </c>
      <c r="B2698" s="16"/>
      <c r="C2698" s="16"/>
      <c r="D2698" s="16"/>
      <c r="E2698" s="16"/>
      <c r="F2698" s="17"/>
      <c r="G2698" s="16"/>
      <c r="H2698" s="16"/>
      <c r="I2698" s="16"/>
      <c r="J2698" s="16"/>
      <c r="K2698" s="16"/>
      <c r="L2698" s="16"/>
      <c r="M2698" s="18" t="str">
        <f aca="false">IF(OR(C2698="",D2698=""),"",IF(MOD(COUNTIFS($C$2:C2698,C2698,$D$2:D2698,D2698)*7,10)&lt;3,"teste","treino"))</f>
        <v/>
      </c>
      <c r="N2698" s="16"/>
      <c r="O2698" s="16"/>
      <c r="P2698" s="16"/>
      <c r="Q2698" s="17"/>
    </row>
    <row r="2699" customFormat="false" ht="15" hidden="false" customHeight="false" outlineLevel="0" collapsed="false">
      <c r="A2699" s="15" t="str">
        <f aca="false">IF(B2699="","",ROW()-1)</f>
        <v/>
      </c>
      <c r="B2699" s="16"/>
      <c r="C2699" s="16"/>
      <c r="D2699" s="16"/>
      <c r="E2699" s="16"/>
      <c r="F2699" s="17"/>
      <c r="G2699" s="16"/>
      <c r="H2699" s="16"/>
      <c r="I2699" s="16"/>
      <c r="J2699" s="16"/>
      <c r="K2699" s="16"/>
      <c r="L2699" s="16"/>
      <c r="M2699" s="18" t="str">
        <f aca="false">IF(OR(C2699="",D2699=""),"",IF(MOD(COUNTIFS($C$2:C2699,C2699,$D$2:D2699,D2699)*7,10)&lt;3,"teste","treino"))</f>
        <v/>
      </c>
      <c r="N2699" s="16"/>
      <c r="O2699" s="16"/>
      <c r="P2699" s="16"/>
      <c r="Q2699" s="17"/>
    </row>
    <row r="2700" customFormat="false" ht="15" hidden="false" customHeight="false" outlineLevel="0" collapsed="false">
      <c r="A2700" s="15" t="str">
        <f aca="false">IF(B2700="","",ROW()-1)</f>
        <v/>
      </c>
      <c r="B2700" s="16"/>
      <c r="C2700" s="16"/>
      <c r="D2700" s="16"/>
      <c r="E2700" s="16"/>
      <c r="F2700" s="17"/>
      <c r="G2700" s="16"/>
      <c r="H2700" s="16"/>
      <c r="I2700" s="16"/>
      <c r="J2700" s="16"/>
      <c r="K2700" s="16"/>
      <c r="L2700" s="16"/>
      <c r="M2700" s="18" t="str">
        <f aca="false">IF(OR(C2700="",D2700=""),"",IF(MOD(COUNTIFS($C$2:C2700,C2700,$D$2:D2700,D2700)*7,10)&lt;3,"teste","treino"))</f>
        <v/>
      </c>
      <c r="N2700" s="16"/>
      <c r="O2700" s="16"/>
      <c r="P2700" s="16"/>
      <c r="Q2700" s="17"/>
    </row>
    <row r="2701" customFormat="false" ht="15" hidden="false" customHeight="false" outlineLevel="0" collapsed="false">
      <c r="A2701" s="15" t="str">
        <f aca="false">IF(B2701="","",ROW()-1)</f>
        <v/>
      </c>
      <c r="B2701" s="16"/>
      <c r="C2701" s="16"/>
      <c r="D2701" s="16"/>
      <c r="E2701" s="16"/>
      <c r="F2701" s="17"/>
      <c r="G2701" s="16"/>
      <c r="H2701" s="16"/>
      <c r="I2701" s="16"/>
      <c r="J2701" s="16"/>
      <c r="K2701" s="16"/>
      <c r="L2701" s="16"/>
      <c r="M2701" s="18" t="str">
        <f aca="false">IF(OR(C2701="",D2701=""),"",IF(MOD(COUNTIFS($C$2:C2701,C2701,$D$2:D2701,D2701)*7,10)&lt;3,"teste","treino"))</f>
        <v/>
      </c>
      <c r="N2701" s="16"/>
      <c r="O2701" s="16"/>
      <c r="P2701" s="16"/>
      <c r="Q2701" s="17"/>
    </row>
    <row r="2702" customFormat="false" ht="15" hidden="false" customHeight="false" outlineLevel="0" collapsed="false">
      <c r="A2702" s="15" t="str">
        <f aca="false">IF(B2702="","",ROW()-1)</f>
        <v/>
      </c>
      <c r="B2702" s="16"/>
      <c r="C2702" s="16"/>
      <c r="D2702" s="16"/>
      <c r="E2702" s="16"/>
      <c r="F2702" s="17"/>
      <c r="G2702" s="16"/>
      <c r="H2702" s="16"/>
      <c r="I2702" s="16"/>
      <c r="J2702" s="16"/>
      <c r="K2702" s="16"/>
      <c r="L2702" s="16"/>
      <c r="M2702" s="18" t="str">
        <f aca="false">IF(OR(C2702="",D2702=""),"",IF(MOD(COUNTIFS($C$2:C2702,C2702,$D$2:D2702,D2702)*7,10)&lt;3,"teste","treino"))</f>
        <v/>
      </c>
      <c r="N2702" s="16"/>
      <c r="O2702" s="16"/>
      <c r="P2702" s="16"/>
      <c r="Q2702" s="17"/>
    </row>
    <row r="2703" customFormat="false" ht="15" hidden="false" customHeight="false" outlineLevel="0" collapsed="false">
      <c r="A2703" s="15" t="str">
        <f aca="false">IF(B2703="","",ROW()-1)</f>
        <v/>
      </c>
      <c r="B2703" s="16"/>
      <c r="C2703" s="16"/>
      <c r="D2703" s="16"/>
      <c r="E2703" s="16"/>
      <c r="F2703" s="17"/>
      <c r="G2703" s="16"/>
      <c r="H2703" s="16"/>
      <c r="I2703" s="16"/>
      <c r="J2703" s="16"/>
      <c r="K2703" s="16"/>
      <c r="L2703" s="16"/>
      <c r="M2703" s="18" t="str">
        <f aca="false">IF(OR(C2703="",D2703=""),"",IF(MOD(COUNTIFS($C$2:C2703,C2703,$D$2:D2703,D2703)*7,10)&lt;3,"teste","treino"))</f>
        <v/>
      </c>
      <c r="N2703" s="16"/>
      <c r="O2703" s="16"/>
      <c r="P2703" s="16"/>
      <c r="Q2703" s="17"/>
    </row>
    <row r="2704" customFormat="false" ht="15" hidden="false" customHeight="false" outlineLevel="0" collapsed="false">
      <c r="A2704" s="15" t="str">
        <f aca="false">IF(B2704="","",ROW()-1)</f>
        <v/>
      </c>
      <c r="B2704" s="16"/>
      <c r="C2704" s="16"/>
      <c r="D2704" s="16"/>
      <c r="E2704" s="16"/>
      <c r="F2704" s="17"/>
      <c r="G2704" s="16"/>
      <c r="H2704" s="16"/>
      <c r="I2704" s="16"/>
      <c r="J2704" s="16"/>
      <c r="K2704" s="16"/>
      <c r="L2704" s="16"/>
      <c r="M2704" s="18" t="str">
        <f aca="false">IF(OR(C2704="",D2704=""),"",IF(MOD(COUNTIFS($C$2:C2704,C2704,$D$2:D2704,D2704)*7,10)&lt;3,"teste","treino"))</f>
        <v/>
      </c>
      <c r="N2704" s="16"/>
      <c r="O2704" s="16"/>
      <c r="P2704" s="16"/>
      <c r="Q2704" s="17"/>
    </row>
    <row r="2705" customFormat="false" ht="15" hidden="false" customHeight="false" outlineLevel="0" collapsed="false">
      <c r="A2705" s="15" t="str">
        <f aca="false">IF(B2705="","",ROW()-1)</f>
        <v/>
      </c>
      <c r="B2705" s="16"/>
      <c r="C2705" s="16"/>
      <c r="D2705" s="16"/>
      <c r="E2705" s="16"/>
      <c r="F2705" s="17"/>
      <c r="G2705" s="16"/>
      <c r="H2705" s="16"/>
      <c r="I2705" s="16"/>
      <c r="J2705" s="16"/>
      <c r="K2705" s="16"/>
      <c r="L2705" s="16"/>
      <c r="M2705" s="18" t="str">
        <f aca="false">IF(OR(C2705="",D2705=""),"",IF(MOD(COUNTIFS($C$2:C2705,C2705,$D$2:D2705,D2705)*7,10)&lt;3,"teste","treino"))</f>
        <v/>
      </c>
      <c r="N2705" s="16"/>
      <c r="O2705" s="16"/>
      <c r="P2705" s="16"/>
      <c r="Q2705" s="17"/>
    </row>
    <row r="2706" customFormat="false" ht="15" hidden="false" customHeight="false" outlineLevel="0" collapsed="false">
      <c r="A2706" s="15" t="str">
        <f aca="false">IF(B2706="","",ROW()-1)</f>
        <v/>
      </c>
      <c r="B2706" s="16"/>
      <c r="C2706" s="16"/>
      <c r="D2706" s="16"/>
      <c r="E2706" s="16"/>
      <c r="F2706" s="17"/>
      <c r="G2706" s="16"/>
      <c r="H2706" s="16"/>
      <c r="I2706" s="16"/>
      <c r="J2706" s="16"/>
      <c r="K2706" s="16"/>
      <c r="L2706" s="16"/>
      <c r="M2706" s="18" t="str">
        <f aca="false">IF(OR(C2706="",D2706=""),"",IF(MOD(COUNTIFS($C$2:C2706,C2706,$D$2:D2706,D2706)*7,10)&lt;3,"teste","treino"))</f>
        <v/>
      </c>
      <c r="N2706" s="16"/>
      <c r="O2706" s="16"/>
      <c r="P2706" s="16"/>
      <c r="Q2706" s="17"/>
    </row>
    <row r="2707" customFormat="false" ht="15" hidden="false" customHeight="false" outlineLevel="0" collapsed="false">
      <c r="A2707" s="15" t="str">
        <f aca="false">IF(B2707="","",ROW()-1)</f>
        <v/>
      </c>
      <c r="B2707" s="16"/>
      <c r="C2707" s="16"/>
      <c r="D2707" s="16"/>
      <c r="E2707" s="16"/>
      <c r="F2707" s="17"/>
      <c r="G2707" s="16"/>
      <c r="H2707" s="16"/>
      <c r="I2707" s="16"/>
      <c r="J2707" s="16"/>
      <c r="K2707" s="16"/>
      <c r="L2707" s="16"/>
      <c r="M2707" s="18" t="str">
        <f aca="false">IF(OR(C2707="",D2707=""),"",IF(MOD(COUNTIFS($C$2:C2707,C2707,$D$2:D2707,D2707)*7,10)&lt;3,"teste","treino"))</f>
        <v/>
      </c>
      <c r="N2707" s="16"/>
      <c r="O2707" s="16"/>
      <c r="P2707" s="16"/>
      <c r="Q2707" s="17"/>
    </row>
    <row r="2708" customFormat="false" ht="15" hidden="false" customHeight="false" outlineLevel="0" collapsed="false">
      <c r="A2708" s="15" t="str">
        <f aca="false">IF(B2708="","",ROW()-1)</f>
        <v/>
      </c>
      <c r="B2708" s="16"/>
      <c r="C2708" s="16"/>
      <c r="D2708" s="16"/>
      <c r="E2708" s="16"/>
      <c r="F2708" s="17"/>
      <c r="G2708" s="16"/>
      <c r="H2708" s="16"/>
      <c r="I2708" s="16"/>
      <c r="J2708" s="16"/>
      <c r="K2708" s="16"/>
      <c r="L2708" s="16"/>
      <c r="M2708" s="18" t="str">
        <f aca="false">IF(OR(C2708="",D2708=""),"",IF(MOD(COUNTIFS($C$2:C2708,C2708,$D$2:D2708,D2708)*7,10)&lt;3,"teste","treino"))</f>
        <v/>
      </c>
      <c r="N2708" s="16"/>
      <c r="O2708" s="16"/>
      <c r="P2708" s="16"/>
      <c r="Q2708" s="17"/>
    </row>
    <row r="2709" customFormat="false" ht="15" hidden="false" customHeight="false" outlineLevel="0" collapsed="false">
      <c r="A2709" s="15" t="str">
        <f aca="false">IF(B2709="","",ROW()-1)</f>
        <v/>
      </c>
      <c r="B2709" s="16"/>
      <c r="C2709" s="16"/>
      <c r="D2709" s="16"/>
      <c r="E2709" s="16"/>
      <c r="F2709" s="17"/>
      <c r="G2709" s="16"/>
      <c r="H2709" s="16"/>
      <c r="I2709" s="16"/>
      <c r="J2709" s="16"/>
      <c r="K2709" s="16"/>
      <c r="L2709" s="16"/>
      <c r="M2709" s="18" t="str">
        <f aca="false">IF(OR(C2709="",D2709=""),"",IF(MOD(COUNTIFS($C$2:C2709,C2709,$D$2:D2709,D2709)*7,10)&lt;3,"teste","treino"))</f>
        <v/>
      </c>
      <c r="N2709" s="16"/>
      <c r="O2709" s="16"/>
      <c r="P2709" s="16"/>
      <c r="Q2709" s="17"/>
    </row>
    <row r="2710" customFormat="false" ht="15" hidden="false" customHeight="false" outlineLevel="0" collapsed="false">
      <c r="A2710" s="15" t="str">
        <f aca="false">IF(B2710="","",ROW()-1)</f>
        <v/>
      </c>
      <c r="B2710" s="16"/>
      <c r="C2710" s="16"/>
      <c r="D2710" s="16"/>
      <c r="E2710" s="16"/>
      <c r="F2710" s="17"/>
      <c r="G2710" s="16"/>
      <c r="H2710" s="16"/>
      <c r="I2710" s="16"/>
      <c r="J2710" s="16"/>
      <c r="K2710" s="16"/>
      <c r="L2710" s="16"/>
      <c r="M2710" s="18" t="str">
        <f aca="false">IF(OR(C2710="",D2710=""),"",IF(MOD(COUNTIFS($C$2:C2710,C2710,$D$2:D2710,D2710)*7,10)&lt;3,"teste","treino"))</f>
        <v/>
      </c>
      <c r="N2710" s="16"/>
      <c r="O2710" s="16"/>
      <c r="P2710" s="16"/>
      <c r="Q2710" s="17"/>
    </row>
    <row r="2711" customFormat="false" ht="15" hidden="false" customHeight="false" outlineLevel="0" collapsed="false">
      <c r="A2711" s="15" t="str">
        <f aca="false">IF(B2711="","",ROW()-1)</f>
        <v/>
      </c>
      <c r="B2711" s="16"/>
      <c r="C2711" s="16"/>
      <c r="D2711" s="16"/>
      <c r="E2711" s="16"/>
      <c r="F2711" s="17"/>
      <c r="G2711" s="16"/>
      <c r="H2711" s="16"/>
      <c r="I2711" s="16"/>
      <c r="J2711" s="16"/>
      <c r="K2711" s="16"/>
      <c r="L2711" s="16"/>
      <c r="M2711" s="18" t="str">
        <f aca="false">IF(OR(C2711="",D2711=""),"",IF(MOD(COUNTIFS($C$2:C2711,C2711,$D$2:D2711,D2711)*7,10)&lt;3,"teste","treino"))</f>
        <v/>
      </c>
      <c r="N2711" s="16"/>
      <c r="O2711" s="16"/>
      <c r="P2711" s="16"/>
      <c r="Q2711" s="17"/>
    </row>
    <row r="2712" customFormat="false" ht="15" hidden="false" customHeight="false" outlineLevel="0" collapsed="false">
      <c r="A2712" s="15" t="str">
        <f aca="false">IF(B2712="","",ROW()-1)</f>
        <v/>
      </c>
      <c r="B2712" s="16"/>
      <c r="C2712" s="16"/>
      <c r="D2712" s="16"/>
      <c r="E2712" s="16"/>
      <c r="F2712" s="17"/>
      <c r="G2712" s="16"/>
      <c r="H2712" s="16"/>
      <c r="I2712" s="16"/>
      <c r="J2712" s="16"/>
      <c r="K2712" s="16"/>
      <c r="L2712" s="16"/>
      <c r="M2712" s="18" t="str">
        <f aca="false">IF(OR(C2712="",D2712=""),"",IF(MOD(COUNTIFS($C$2:C2712,C2712,$D$2:D2712,D2712)*7,10)&lt;3,"teste","treino"))</f>
        <v/>
      </c>
      <c r="N2712" s="16"/>
      <c r="O2712" s="16"/>
      <c r="P2712" s="16"/>
      <c r="Q2712" s="17"/>
    </row>
    <row r="2713" customFormat="false" ht="15" hidden="false" customHeight="false" outlineLevel="0" collapsed="false">
      <c r="A2713" s="15" t="str">
        <f aca="false">IF(B2713="","",ROW()-1)</f>
        <v/>
      </c>
      <c r="B2713" s="16"/>
      <c r="C2713" s="16"/>
      <c r="D2713" s="16"/>
      <c r="E2713" s="16"/>
      <c r="F2713" s="17"/>
      <c r="G2713" s="16"/>
      <c r="H2713" s="16"/>
      <c r="I2713" s="16"/>
      <c r="J2713" s="16"/>
      <c r="K2713" s="16"/>
      <c r="L2713" s="16"/>
      <c r="M2713" s="18" t="str">
        <f aca="false">IF(OR(C2713="",D2713=""),"",IF(MOD(COUNTIFS($C$2:C2713,C2713,$D$2:D2713,D2713)*7,10)&lt;3,"teste","treino"))</f>
        <v/>
      </c>
      <c r="N2713" s="16"/>
      <c r="O2713" s="16"/>
      <c r="P2713" s="16"/>
      <c r="Q2713" s="17"/>
    </row>
    <row r="2714" customFormat="false" ht="15" hidden="false" customHeight="false" outlineLevel="0" collapsed="false">
      <c r="A2714" s="15" t="str">
        <f aca="false">IF(B2714="","",ROW()-1)</f>
        <v/>
      </c>
      <c r="B2714" s="16"/>
      <c r="C2714" s="16"/>
      <c r="D2714" s="16"/>
      <c r="E2714" s="16"/>
      <c r="F2714" s="17"/>
      <c r="G2714" s="16"/>
      <c r="H2714" s="16"/>
      <c r="I2714" s="16"/>
      <c r="J2714" s="16"/>
      <c r="K2714" s="16"/>
      <c r="L2714" s="16"/>
      <c r="M2714" s="18" t="str">
        <f aca="false">IF(OR(C2714="",D2714=""),"",IF(MOD(COUNTIFS($C$2:C2714,C2714,$D$2:D2714,D2714)*7,10)&lt;3,"teste","treino"))</f>
        <v/>
      </c>
      <c r="N2714" s="16"/>
      <c r="O2714" s="16"/>
      <c r="P2714" s="16"/>
      <c r="Q2714" s="17"/>
    </row>
    <row r="2715" customFormat="false" ht="15" hidden="false" customHeight="false" outlineLevel="0" collapsed="false">
      <c r="A2715" s="15" t="str">
        <f aca="false">IF(B2715="","",ROW()-1)</f>
        <v/>
      </c>
      <c r="B2715" s="16"/>
      <c r="C2715" s="16"/>
      <c r="D2715" s="16"/>
      <c r="E2715" s="16"/>
      <c r="F2715" s="17"/>
      <c r="G2715" s="16"/>
      <c r="H2715" s="16"/>
      <c r="I2715" s="16"/>
      <c r="J2715" s="16"/>
      <c r="K2715" s="16"/>
      <c r="L2715" s="16"/>
      <c r="M2715" s="18" t="str">
        <f aca="false">IF(OR(C2715="",D2715=""),"",IF(MOD(COUNTIFS($C$2:C2715,C2715,$D$2:D2715,D2715)*7,10)&lt;3,"teste","treino"))</f>
        <v/>
      </c>
      <c r="N2715" s="16"/>
      <c r="O2715" s="16"/>
      <c r="P2715" s="16"/>
      <c r="Q2715" s="17"/>
    </row>
    <row r="2716" customFormat="false" ht="15" hidden="false" customHeight="false" outlineLevel="0" collapsed="false">
      <c r="A2716" s="15" t="str">
        <f aca="false">IF(B2716="","",ROW()-1)</f>
        <v/>
      </c>
      <c r="B2716" s="16"/>
      <c r="C2716" s="16"/>
      <c r="D2716" s="16"/>
      <c r="E2716" s="16"/>
      <c r="F2716" s="17"/>
      <c r="G2716" s="16"/>
      <c r="H2716" s="16"/>
      <c r="I2716" s="16"/>
      <c r="J2716" s="16"/>
      <c r="K2716" s="16"/>
      <c r="L2716" s="16"/>
      <c r="M2716" s="18" t="str">
        <f aca="false">IF(OR(C2716="",D2716=""),"",IF(MOD(COUNTIFS($C$2:C2716,C2716,$D$2:D2716,D2716)*7,10)&lt;3,"teste","treino"))</f>
        <v/>
      </c>
      <c r="N2716" s="16"/>
      <c r="O2716" s="16"/>
      <c r="P2716" s="16"/>
      <c r="Q2716" s="17"/>
    </row>
    <row r="2717" customFormat="false" ht="15" hidden="false" customHeight="false" outlineLevel="0" collapsed="false">
      <c r="A2717" s="15" t="str">
        <f aca="false">IF(B2717="","",ROW()-1)</f>
        <v/>
      </c>
      <c r="B2717" s="16"/>
      <c r="C2717" s="16"/>
      <c r="D2717" s="16"/>
      <c r="E2717" s="16"/>
      <c r="F2717" s="17"/>
      <c r="G2717" s="16"/>
      <c r="H2717" s="16"/>
      <c r="I2717" s="16"/>
      <c r="J2717" s="16"/>
      <c r="K2717" s="16"/>
      <c r="L2717" s="16"/>
      <c r="M2717" s="18" t="str">
        <f aca="false">IF(OR(C2717="",D2717=""),"",IF(MOD(COUNTIFS($C$2:C2717,C2717,$D$2:D2717,D2717)*7,10)&lt;3,"teste","treino"))</f>
        <v/>
      </c>
      <c r="N2717" s="16"/>
      <c r="O2717" s="16"/>
      <c r="P2717" s="16"/>
      <c r="Q2717" s="17"/>
    </row>
    <row r="2718" customFormat="false" ht="15" hidden="false" customHeight="false" outlineLevel="0" collapsed="false">
      <c r="A2718" s="15" t="str">
        <f aca="false">IF(B2718="","",ROW()-1)</f>
        <v/>
      </c>
      <c r="B2718" s="16"/>
      <c r="C2718" s="16"/>
      <c r="D2718" s="16"/>
      <c r="E2718" s="16"/>
      <c r="F2718" s="17"/>
      <c r="G2718" s="16"/>
      <c r="H2718" s="16"/>
      <c r="I2718" s="16"/>
      <c r="J2718" s="16"/>
      <c r="K2718" s="16"/>
      <c r="L2718" s="16"/>
      <c r="M2718" s="18" t="str">
        <f aca="false">IF(OR(C2718="",D2718=""),"",IF(MOD(COUNTIFS($C$2:C2718,C2718,$D$2:D2718,D2718)*7,10)&lt;3,"teste","treino"))</f>
        <v/>
      </c>
      <c r="N2718" s="16"/>
      <c r="O2718" s="16"/>
      <c r="P2718" s="16"/>
      <c r="Q2718" s="17"/>
    </row>
    <row r="2719" customFormat="false" ht="15" hidden="false" customHeight="false" outlineLevel="0" collapsed="false">
      <c r="A2719" s="15" t="str">
        <f aca="false">IF(B2719="","",ROW()-1)</f>
        <v/>
      </c>
      <c r="B2719" s="16"/>
      <c r="C2719" s="16"/>
      <c r="D2719" s="16"/>
      <c r="E2719" s="16"/>
      <c r="F2719" s="17"/>
      <c r="G2719" s="16"/>
      <c r="H2719" s="16"/>
      <c r="I2719" s="16"/>
      <c r="J2719" s="16"/>
      <c r="K2719" s="16"/>
      <c r="L2719" s="16"/>
      <c r="M2719" s="18" t="str">
        <f aca="false">IF(OR(C2719="",D2719=""),"",IF(MOD(COUNTIFS($C$2:C2719,C2719,$D$2:D2719,D2719)*7,10)&lt;3,"teste","treino"))</f>
        <v/>
      </c>
      <c r="N2719" s="16"/>
      <c r="O2719" s="16"/>
      <c r="P2719" s="16"/>
      <c r="Q2719" s="17"/>
    </row>
    <row r="2720" customFormat="false" ht="15" hidden="false" customHeight="false" outlineLevel="0" collapsed="false">
      <c r="A2720" s="15" t="str">
        <f aca="false">IF(B2720="","",ROW()-1)</f>
        <v/>
      </c>
      <c r="B2720" s="16"/>
      <c r="C2720" s="16"/>
      <c r="D2720" s="16"/>
      <c r="E2720" s="16"/>
      <c r="F2720" s="17"/>
      <c r="G2720" s="16"/>
      <c r="H2720" s="16"/>
      <c r="I2720" s="16"/>
      <c r="J2720" s="16"/>
      <c r="K2720" s="16"/>
      <c r="L2720" s="16"/>
      <c r="M2720" s="18" t="str">
        <f aca="false">IF(OR(C2720="",D2720=""),"",IF(MOD(COUNTIFS($C$2:C2720,C2720,$D$2:D2720,D2720)*7,10)&lt;3,"teste","treino"))</f>
        <v/>
      </c>
      <c r="N2720" s="16"/>
      <c r="O2720" s="16"/>
      <c r="P2720" s="16"/>
      <c r="Q2720" s="17"/>
    </row>
    <row r="2721" customFormat="false" ht="15" hidden="false" customHeight="false" outlineLevel="0" collapsed="false">
      <c r="A2721" s="15" t="str">
        <f aca="false">IF(B2721="","",ROW()-1)</f>
        <v/>
      </c>
      <c r="B2721" s="16"/>
      <c r="C2721" s="16"/>
      <c r="D2721" s="16"/>
      <c r="E2721" s="16"/>
      <c r="F2721" s="17"/>
      <c r="G2721" s="16"/>
      <c r="H2721" s="16"/>
      <c r="I2721" s="16"/>
      <c r="J2721" s="16"/>
      <c r="K2721" s="16"/>
      <c r="L2721" s="16"/>
      <c r="M2721" s="18" t="str">
        <f aca="false">IF(OR(C2721="",D2721=""),"",IF(MOD(COUNTIFS($C$2:C2721,C2721,$D$2:D2721,D2721)*7,10)&lt;3,"teste","treino"))</f>
        <v/>
      </c>
      <c r="N2721" s="16"/>
      <c r="O2721" s="16"/>
      <c r="P2721" s="16"/>
      <c r="Q2721" s="17"/>
    </row>
    <row r="2722" customFormat="false" ht="15" hidden="false" customHeight="false" outlineLevel="0" collapsed="false">
      <c r="A2722" s="15" t="str">
        <f aca="false">IF(B2722="","",ROW()-1)</f>
        <v/>
      </c>
      <c r="B2722" s="16"/>
      <c r="C2722" s="16"/>
      <c r="D2722" s="16"/>
      <c r="E2722" s="16"/>
      <c r="F2722" s="17"/>
      <c r="G2722" s="16"/>
      <c r="H2722" s="16"/>
      <c r="I2722" s="16"/>
      <c r="J2722" s="16"/>
      <c r="K2722" s="16"/>
      <c r="L2722" s="16"/>
      <c r="M2722" s="18" t="str">
        <f aca="false">IF(OR(C2722="",D2722=""),"",IF(MOD(COUNTIFS($C$2:C2722,C2722,$D$2:D2722,D2722)*7,10)&lt;3,"teste","treino"))</f>
        <v/>
      </c>
      <c r="N2722" s="16"/>
      <c r="O2722" s="16"/>
      <c r="P2722" s="16"/>
      <c r="Q2722" s="17"/>
    </row>
    <row r="2723" customFormat="false" ht="15" hidden="false" customHeight="false" outlineLevel="0" collapsed="false">
      <c r="A2723" s="15" t="str">
        <f aca="false">IF(B2723="","",ROW()-1)</f>
        <v/>
      </c>
      <c r="B2723" s="16"/>
      <c r="C2723" s="16"/>
      <c r="D2723" s="16"/>
      <c r="E2723" s="16"/>
      <c r="F2723" s="17"/>
      <c r="G2723" s="16"/>
      <c r="H2723" s="16"/>
      <c r="I2723" s="16"/>
      <c r="J2723" s="16"/>
      <c r="K2723" s="16"/>
      <c r="L2723" s="16"/>
      <c r="M2723" s="18" t="str">
        <f aca="false">IF(OR(C2723="",D2723=""),"",IF(MOD(COUNTIFS($C$2:C2723,C2723,$D$2:D2723,D2723)*7,10)&lt;3,"teste","treino"))</f>
        <v/>
      </c>
      <c r="N2723" s="16"/>
      <c r="O2723" s="16"/>
      <c r="P2723" s="16"/>
      <c r="Q2723" s="17"/>
    </row>
    <row r="2724" customFormat="false" ht="15" hidden="false" customHeight="false" outlineLevel="0" collapsed="false">
      <c r="A2724" s="15" t="str">
        <f aca="false">IF(B2724="","",ROW()-1)</f>
        <v/>
      </c>
      <c r="B2724" s="16"/>
      <c r="C2724" s="16"/>
      <c r="D2724" s="16"/>
      <c r="E2724" s="16"/>
      <c r="F2724" s="17"/>
      <c r="G2724" s="16"/>
      <c r="H2724" s="16"/>
      <c r="I2724" s="16"/>
      <c r="J2724" s="16"/>
      <c r="K2724" s="16"/>
      <c r="L2724" s="16"/>
      <c r="M2724" s="18" t="str">
        <f aca="false">IF(OR(C2724="",D2724=""),"",IF(MOD(COUNTIFS($C$2:C2724,C2724,$D$2:D2724,D2724)*7,10)&lt;3,"teste","treino"))</f>
        <v/>
      </c>
      <c r="N2724" s="16"/>
      <c r="O2724" s="16"/>
      <c r="P2724" s="16"/>
      <c r="Q2724" s="17"/>
    </row>
    <row r="2725" customFormat="false" ht="15" hidden="false" customHeight="false" outlineLevel="0" collapsed="false">
      <c r="A2725" s="15" t="str">
        <f aca="false">IF(B2725="","",ROW()-1)</f>
        <v/>
      </c>
      <c r="B2725" s="16"/>
      <c r="C2725" s="16"/>
      <c r="D2725" s="16"/>
      <c r="E2725" s="16"/>
      <c r="F2725" s="17"/>
      <c r="G2725" s="16"/>
      <c r="H2725" s="16"/>
      <c r="I2725" s="16"/>
      <c r="J2725" s="16"/>
      <c r="K2725" s="16"/>
      <c r="L2725" s="16"/>
      <c r="M2725" s="18" t="str">
        <f aca="false">IF(OR(C2725="",D2725=""),"",IF(MOD(COUNTIFS($C$2:C2725,C2725,$D$2:D2725,D2725)*7,10)&lt;3,"teste","treino"))</f>
        <v/>
      </c>
      <c r="N2725" s="16"/>
      <c r="O2725" s="16"/>
      <c r="P2725" s="16"/>
      <c r="Q2725" s="17"/>
    </row>
    <row r="2726" customFormat="false" ht="15" hidden="false" customHeight="false" outlineLevel="0" collapsed="false">
      <c r="A2726" s="15" t="str">
        <f aca="false">IF(B2726="","",ROW()-1)</f>
        <v/>
      </c>
      <c r="B2726" s="16"/>
      <c r="C2726" s="16"/>
      <c r="D2726" s="16"/>
      <c r="E2726" s="16"/>
      <c r="F2726" s="17"/>
      <c r="G2726" s="16"/>
      <c r="H2726" s="16"/>
      <c r="I2726" s="16"/>
      <c r="J2726" s="16"/>
      <c r="K2726" s="16"/>
      <c r="L2726" s="16"/>
      <c r="M2726" s="18" t="str">
        <f aca="false">IF(OR(C2726="",D2726=""),"",IF(MOD(COUNTIFS($C$2:C2726,C2726,$D$2:D2726,D2726)*7,10)&lt;3,"teste","treino"))</f>
        <v/>
      </c>
      <c r="N2726" s="16"/>
      <c r="O2726" s="16"/>
      <c r="P2726" s="16"/>
      <c r="Q2726" s="17"/>
    </row>
    <row r="2727" customFormat="false" ht="15" hidden="false" customHeight="false" outlineLevel="0" collapsed="false">
      <c r="A2727" s="15" t="str">
        <f aca="false">IF(B2727="","",ROW()-1)</f>
        <v/>
      </c>
      <c r="B2727" s="16"/>
      <c r="C2727" s="16"/>
      <c r="D2727" s="16"/>
      <c r="E2727" s="16"/>
      <c r="F2727" s="17"/>
      <c r="G2727" s="16"/>
      <c r="H2727" s="16"/>
      <c r="I2727" s="16"/>
      <c r="J2727" s="16"/>
      <c r="K2727" s="16"/>
      <c r="L2727" s="16"/>
      <c r="M2727" s="18" t="str">
        <f aca="false">IF(OR(C2727="",D2727=""),"",IF(MOD(COUNTIFS($C$2:C2727,C2727,$D$2:D2727,D2727)*7,10)&lt;3,"teste","treino"))</f>
        <v/>
      </c>
      <c r="N2727" s="16"/>
      <c r="O2727" s="16"/>
      <c r="P2727" s="16"/>
      <c r="Q2727" s="17"/>
    </row>
    <row r="2728" customFormat="false" ht="15" hidden="false" customHeight="false" outlineLevel="0" collapsed="false">
      <c r="A2728" s="15" t="str">
        <f aca="false">IF(B2728="","",ROW()-1)</f>
        <v/>
      </c>
      <c r="B2728" s="16"/>
      <c r="C2728" s="16"/>
      <c r="D2728" s="16"/>
      <c r="E2728" s="16"/>
      <c r="F2728" s="17"/>
      <c r="G2728" s="16"/>
      <c r="H2728" s="16"/>
      <c r="I2728" s="16"/>
      <c r="J2728" s="16"/>
      <c r="K2728" s="16"/>
      <c r="L2728" s="16"/>
      <c r="M2728" s="18" t="str">
        <f aca="false">IF(OR(C2728="",D2728=""),"",IF(MOD(COUNTIFS($C$2:C2728,C2728,$D$2:D2728,D2728)*7,10)&lt;3,"teste","treino"))</f>
        <v/>
      </c>
      <c r="N2728" s="16"/>
      <c r="O2728" s="16"/>
      <c r="P2728" s="16"/>
      <c r="Q2728" s="17"/>
    </row>
    <row r="2729" customFormat="false" ht="15" hidden="false" customHeight="false" outlineLevel="0" collapsed="false">
      <c r="A2729" s="15" t="str">
        <f aca="false">IF(B2729="","",ROW()-1)</f>
        <v/>
      </c>
      <c r="B2729" s="16"/>
      <c r="C2729" s="16"/>
      <c r="D2729" s="16"/>
      <c r="E2729" s="16"/>
      <c r="F2729" s="17"/>
      <c r="G2729" s="16"/>
      <c r="H2729" s="16"/>
      <c r="I2729" s="16"/>
      <c r="J2729" s="16"/>
      <c r="K2729" s="16"/>
      <c r="L2729" s="16"/>
      <c r="M2729" s="18" t="str">
        <f aca="false">IF(OR(C2729="",D2729=""),"",IF(MOD(COUNTIFS($C$2:C2729,C2729,$D$2:D2729,D2729)*7,10)&lt;3,"teste","treino"))</f>
        <v/>
      </c>
      <c r="N2729" s="16"/>
      <c r="O2729" s="16"/>
      <c r="P2729" s="16"/>
      <c r="Q2729" s="17"/>
    </row>
    <row r="2730" customFormat="false" ht="15" hidden="false" customHeight="false" outlineLevel="0" collapsed="false">
      <c r="A2730" s="15" t="str">
        <f aca="false">IF(B2730="","",ROW()-1)</f>
        <v/>
      </c>
      <c r="B2730" s="16"/>
      <c r="C2730" s="16"/>
      <c r="D2730" s="16"/>
      <c r="E2730" s="16"/>
      <c r="F2730" s="17"/>
      <c r="G2730" s="16"/>
      <c r="H2730" s="16"/>
      <c r="I2730" s="16"/>
      <c r="J2730" s="16"/>
      <c r="K2730" s="16"/>
      <c r="L2730" s="16"/>
      <c r="M2730" s="18" t="str">
        <f aca="false">IF(OR(C2730="",D2730=""),"",IF(MOD(COUNTIFS($C$2:C2730,C2730,$D$2:D2730,D2730)*7,10)&lt;3,"teste","treino"))</f>
        <v/>
      </c>
      <c r="N2730" s="16"/>
      <c r="O2730" s="16"/>
      <c r="P2730" s="16"/>
      <c r="Q2730" s="17"/>
    </row>
    <row r="2731" customFormat="false" ht="15" hidden="false" customHeight="false" outlineLevel="0" collapsed="false">
      <c r="A2731" s="15" t="str">
        <f aca="false">IF(B2731="","",ROW()-1)</f>
        <v/>
      </c>
      <c r="B2731" s="16"/>
      <c r="C2731" s="16"/>
      <c r="D2731" s="16"/>
      <c r="E2731" s="16"/>
      <c r="F2731" s="17"/>
      <c r="G2731" s="16"/>
      <c r="H2731" s="16"/>
      <c r="I2731" s="16"/>
      <c r="J2731" s="16"/>
      <c r="K2731" s="16"/>
      <c r="L2731" s="16"/>
      <c r="M2731" s="18" t="str">
        <f aca="false">IF(OR(C2731="",D2731=""),"",IF(MOD(COUNTIFS($C$2:C2731,C2731,$D$2:D2731,D2731)*7,10)&lt;3,"teste","treino"))</f>
        <v/>
      </c>
      <c r="N2731" s="16"/>
      <c r="O2731" s="16"/>
      <c r="P2731" s="16"/>
      <c r="Q2731" s="17"/>
    </row>
    <row r="2732" customFormat="false" ht="15" hidden="false" customHeight="false" outlineLevel="0" collapsed="false">
      <c r="A2732" s="15" t="str">
        <f aca="false">IF(B2732="","",ROW()-1)</f>
        <v/>
      </c>
      <c r="B2732" s="16"/>
      <c r="C2732" s="16"/>
      <c r="D2732" s="16"/>
      <c r="E2732" s="16"/>
      <c r="F2732" s="17"/>
      <c r="G2732" s="16"/>
      <c r="H2732" s="16"/>
      <c r="I2732" s="16"/>
      <c r="J2732" s="16"/>
      <c r="K2732" s="16"/>
      <c r="L2732" s="16"/>
      <c r="M2732" s="18" t="str">
        <f aca="false">IF(OR(C2732="",D2732=""),"",IF(MOD(COUNTIFS($C$2:C2732,C2732,$D$2:D2732,D2732)*7,10)&lt;3,"teste","treino"))</f>
        <v/>
      </c>
      <c r="N2732" s="16"/>
      <c r="O2732" s="16"/>
      <c r="P2732" s="16"/>
      <c r="Q2732" s="17"/>
    </row>
    <row r="2733" customFormat="false" ht="15" hidden="false" customHeight="false" outlineLevel="0" collapsed="false">
      <c r="A2733" s="15" t="str">
        <f aca="false">IF(B2733="","",ROW()-1)</f>
        <v/>
      </c>
      <c r="B2733" s="16"/>
      <c r="C2733" s="16"/>
      <c r="D2733" s="16"/>
      <c r="E2733" s="16"/>
      <c r="F2733" s="17"/>
      <c r="G2733" s="16"/>
      <c r="H2733" s="16"/>
      <c r="I2733" s="16"/>
      <c r="J2733" s="16"/>
      <c r="K2733" s="16"/>
      <c r="L2733" s="16"/>
      <c r="M2733" s="18" t="str">
        <f aca="false">IF(OR(C2733="",D2733=""),"",IF(MOD(COUNTIFS($C$2:C2733,C2733,$D$2:D2733,D2733)*7,10)&lt;3,"teste","treino"))</f>
        <v/>
      </c>
      <c r="N2733" s="16"/>
      <c r="O2733" s="16"/>
      <c r="P2733" s="16"/>
      <c r="Q2733" s="17"/>
    </row>
    <row r="2734" customFormat="false" ht="15" hidden="false" customHeight="false" outlineLevel="0" collapsed="false">
      <c r="A2734" s="15" t="str">
        <f aca="false">IF(B2734="","",ROW()-1)</f>
        <v/>
      </c>
      <c r="B2734" s="16"/>
      <c r="C2734" s="16"/>
      <c r="D2734" s="16"/>
      <c r="E2734" s="16"/>
      <c r="F2734" s="17"/>
      <c r="G2734" s="16"/>
      <c r="H2734" s="16"/>
      <c r="I2734" s="16"/>
      <c r="J2734" s="16"/>
      <c r="K2734" s="16"/>
      <c r="L2734" s="16"/>
      <c r="M2734" s="18" t="str">
        <f aca="false">IF(OR(C2734="",D2734=""),"",IF(MOD(COUNTIFS($C$2:C2734,C2734,$D$2:D2734,D2734)*7,10)&lt;3,"teste","treino"))</f>
        <v/>
      </c>
      <c r="N2734" s="16"/>
      <c r="O2734" s="16"/>
      <c r="P2734" s="16"/>
      <c r="Q2734" s="17"/>
    </row>
    <row r="2735" customFormat="false" ht="15" hidden="false" customHeight="false" outlineLevel="0" collapsed="false">
      <c r="A2735" s="15" t="str">
        <f aca="false">IF(B2735="","",ROW()-1)</f>
        <v/>
      </c>
      <c r="B2735" s="16"/>
      <c r="C2735" s="16"/>
      <c r="D2735" s="16"/>
      <c r="E2735" s="16"/>
      <c r="F2735" s="17"/>
      <c r="G2735" s="16"/>
      <c r="H2735" s="16"/>
      <c r="I2735" s="16"/>
      <c r="J2735" s="16"/>
      <c r="K2735" s="16"/>
      <c r="L2735" s="16"/>
      <c r="M2735" s="18" t="str">
        <f aca="false">IF(OR(C2735="",D2735=""),"",IF(MOD(COUNTIFS($C$2:C2735,C2735,$D$2:D2735,D2735)*7,10)&lt;3,"teste","treino"))</f>
        <v/>
      </c>
      <c r="N2735" s="16"/>
      <c r="O2735" s="16"/>
      <c r="P2735" s="16"/>
      <c r="Q2735" s="17"/>
    </row>
    <row r="2736" customFormat="false" ht="15" hidden="false" customHeight="false" outlineLevel="0" collapsed="false">
      <c r="A2736" s="15" t="str">
        <f aca="false">IF(B2736="","",ROW()-1)</f>
        <v/>
      </c>
      <c r="B2736" s="16"/>
      <c r="C2736" s="16"/>
      <c r="D2736" s="16"/>
      <c r="E2736" s="16"/>
      <c r="F2736" s="17"/>
      <c r="G2736" s="16"/>
      <c r="H2736" s="16"/>
      <c r="I2736" s="16"/>
      <c r="J2736" s="16"/>
      <c r="K2736" s="16"/>
      <c r="L2736" s="16"/>
      <c r="M2736" s="18" t="str">
        <f aca="false">IF(OR(C2736="",D2736=""),"",IF(MOD(COUNTIFS($C$2:C2736,C2736,$D$2:D2736,D2736)*7,10)&lt;3,"teste","treino"))</f>
        <v/>
      </c>
      <c r="N2736" s="16"/>
      <c r="O2736" s="16"/>
      <c r="P2736" s="16"/>
      <c r="Q2736" s="17"/>
    </row>
    <row r="2737" customFormat="false" ht="15" hidden="false" customHeight="false" outlineLevel="0" collapsed="false">
      <c r="A2737" s="15" t="str">
        <f aca="false">IF(B2737="","",ROW()-1)</f>
        <v/>
      </c>
      <c r="B2737" s="16"/>
      <c r="C2737" s="16"/>
      <c r="D2737" s="16"/>
      <c r="E2737" s="16"/>
      <c r="F2737" s="17"/>
      <c r="G2737" s="16"/>
      <c r="H2737" s="16"/>
      <c r="I2737" s="16"/>
      <c r="J2737" s="16"/>
      <c r="K2737" s="16"/>
      <c r="L2737" s="16"/>
      <c r="M2737" s="18" t="str">
        <f aca="false">IF(OR(C2737="",D2737=""),"",IF(MOD(COUNTIFS($C$2:C2737,C2737,$D$2:D2737,D2737)*7,10)&lt;3,"teste","treino"))</f>
        <v/>
      </c>
      <c r="N2737" s="16"/>
      <c r="O2737" s="16"/>
      <c r="P2737" s="16"/>
      <c r="Q2737" s="17"/>
    </row>
    <row r="2738" customFormat="false" ht="15" hidden="false" customHeight="false" outlineLevel="0" collapsed="false">
      <c r="A2738" s="15" t="str">
        <f aca="false">IF(B2738="","",ROW()-1)</f>
        <v/>
      </c>
      <c r="B2738" s="16"/>
      <c r="C2738" s="16"/>
      <c r="D2738" s="16"/>
      <c r="E2738" s="16"/>
      <c r="F2738" s="17"/>
      <c r="G2738" s="16"/>
      <c r="H2738" s="16"/>
      <c r="I2738" s="16"/>
      <c r="J2738" s="16"/>
      <c r="K2738" s="16"/>
      <c r="L2738" s="16"/>
      <c r="M2738" s="18" t="str">
        <f aca="false">IF(OR(C2738="",D2738=""),"",IF(MOD(COUNTIFS($C$2:C2738,C2738,$D$2:D2738,D2738)*7,10)&lt;3,"teste","treino"))</f>
        <v/>
      </c>
      <c r="N2738" s="16"/>
      <c r="O2738" s="16"/>
      <c r="P2738" s="16"/>
      <c r="Q2738" s="17"/>
    </row>
    <row r="2739" customFormat="false" ht="15" hidden="false" customHeight="false" outlineLevel="0" collapsed="false">
      <c r="A2739" s="15" t="str">
        <f aca="false">IF(B2739="","",ROW()-1)</f>
        <v/>
      </c>
      <c r="B2739" s="16"/>
      <c r="C2739" s="16"/>
      <c r="D2739" s="16"/>
      <c r="E2739" s="16"/>
      <c r="F2739" s="17"/>
      <c r="G2739" s="16"/>
      <c r="H2739" s="16"/>
      <c r="I2739" s="16"/>
      <c r="J2739" s="16"/>
      <c r="K2739" s="16"/>
      <c r="L2739" s="16"/>
      <c r="M2739" s="18" t="str">
        <f aca="false">IF(OR(C2739="",D2739=""),"",IF(MOD(COUNTIFS($C$2:C2739,C2739,$D$2:D2739,D2739)*7,10)&lt;3,"teste","treino"))</f>
        <v/>
      </c>
      <c r="N2739" s="16"/>
      <c r="O2739" s="16"/>
      <c r="P2739" s="16"/>
      <c r="Q2739" s="17"/>
    </row>
    <row r="2740" customFormat="false" ht="15" hidden="false" customHeight="false" outlineLevel="0" collapsed="false">
      <c r="A2740" s="15" t="str">
        <f aca="false">IF(B2740="","",ROW()-1)</f>
        <v/>
      </c>
      <c r="B2740" s="16"/>
      <c r="C2740" s="16"/>
      <c r="D2740" s="16"/>
      <c r="E2740" s="16"/>
      <c r="F2740" s="17"/>
      <c r="G2740" s="16"/>
      <c r="H2740" s="16"/>
      <c r="I2740" s="16"/>
      <c r="J2740" s="16"/>
      <c r="K2740" s="16"/>
      <c r="L2740" s="16"/>
      <c r="M2740" s="18" t="str">
        <f aca="false">IF(OR(C2740="",D2740=""),"",IF(MOD(COUNTIFS($C$2:C2740,C2740,$D$2:D2740,D2740)*7,10)&lt;3,"teste","treino"))</f>
        <v/>
      </c>
      <c r="N2740" s="16"/>
      <c r="O2740" s="16"/>
      <c r="P2740" s="16"/>
      <c r="Q2740" s="17"/>
    </row>
    <row r="2741" customFormat="false" ht="15" hidden="false" customHeight="false" outlineLevel="0" collapsed="false">
      <c r="A2741" s="15" t="str">
        <f aca="false">IF(B2741="","",ROW()-1)</f>
        <v/>
      </c>
      <c r="B2741" s="16"/>
      <c r="C2741" s="16"/>
      <c r="D2741" s="16"/>
      <c r="E2741" s="16"/>
      <c r="F2741" s="17"/>
      <c r="G2741" s="16"/>
      <c r="H2741" s="16"/>
      <c r="I2741" s="16"/>
      <c r="J2741" s="16"/>
      <c r="K2741" s="16"/>
      <c r="L2741" s="16"/>
      <c r="M2741" s="18" t="str">
        <f aca="false">IF(OR(C2741="",D2741=""),"",IF(MOD(COUNTIFS($C$2:C2741,C2741,$D$2:D2741,D2741)*7,10)&lt;3,"teste","treino"))</f>
        <v/>
      </c>
      <c r="N2741" s="16"/>
      <c r="O2741" s="16"/>
      <c r="P2741" s="16"/>
      <c r="Q2741" s="17"/>
    </row>
    <row r="2742" customFormat="false" ht="15" hidden="false" customHeight="false" outlineLevel="0" collapsed="false">
      <c r="A2742" s="15" t="str">
        <f aca="false">IF(B2742="","",ROW()-1)</f>
        <v/>
      </c>
      <c r="B2742" s="16"/>
      <c r="C2742" s="16"/>
      <c r="D2742" s="16"/>
      <c r="E2742" s="16"/>
      <c r="F2742" s="17"/>
      <c r="G2742" s="16"/>
      <c r="H2742" s="16"/>
      <c r="I2742" s="16"/>
      <c r="J2742" s="16"/>
      <c r="K2742" s="16"/>
      <c r="L2742" s="16"/>
      <c r="M2742" s="18" t="str">
        <f aca="false">IF(OR(C2742="",D2742=""),"",IF(MOD(COUNTIFS($C$2:C2742,C2742,$D$2:D2742,D2742)*7,10)&lt;3,"teste","treino"))</f>
        <v/>
      </c>
      <c r="N2742" s="16"/>
      <c r="O2742" s="16"/>
      <c r="P2742" s="16"/>
      <c r="Q2742" s="17"/>
    </row>
    <row r="2743" customFormat="false" ht="15" hidden="false" customHeight="false" outlineLevel="0" collapsed="false">
      <c r="A2743" s="15" t="str">
        <f aca="false">IF(B2743="","",ROW()-1)</f>
        <v/>
      </c>
      <c r="B2743" s="16"/>
      <c r="C2743" s="16"/>
      <c r="D2743" s="16"/>
      <c r="E2743" s="16"/>
      <c r="F2743" s="17"/>
      <c r="G2743" s="16"/>
      <c r="H2743" s="16"/>
      <c r="I2743" s="16"/>
      <c r="J2743" s="16"/>
      <c r="K2743" s="16"/>
      <c r="L2743" s="16"/>
      <c r="M2743" s="18" t="str">
        <f aca="false">IF(OR(C2743="",D2743=""),"",IF(MOD(COUNTIFS($C$2:C2743,C2743,$D$2:D2743,D2743)*7,10)&lt;3,"teste","treino"))</f>
        <v/>
      </c>
      <c r="N2743" s="16"/>
      <c r="O2743" s="16"/>
      <c r="P2743" s="16"/>
      <c r="Q2743" s="17"/>
    </row>
    <row r="2744" customFormat="false" ht="15" hidden="false" customHeight="false" outlineLevel="0" collapsed="false">
      <c r="A2744" s="15" t="str">
        <f aca="false">IF(B2744="","",ROW()-1)</f>
        <v/>
      </c>
      <c r="B2744" s="16"/>
      <c r="C2744" s="16"/>
      <c r="D2744" s="16"/>
      <c r="E2744" s="16"/>
      <c r="F2744" s="17"/>
      <c r="G2744" s="16"/>
      <c r="H2744" s="16"/>
      <c r="I2744" s="16"/>
      <c r="J2744" s="16"/>
      <c r="K2744" s="16"/>
      <c r="L2744" s="16"/>
      <c r="M2744" s="18" t="str">
        <f aca="false">IF(OR(C2744="",D2744=""),"",IF(MOD(COUNTIFS($C$2:C2744,C2744,$D$2:D2744,D2744)*7,10)&lt;3,"teste","treino"))</f>
        <v/>
      </c>
      <c r="N2744" s="16"/>
      <c r="O2744" s="16"/>
      <c r="P2744" s="16"/>
      <c r="Q2744" s="17"/>
    </row>
    <row r="2745" customFormat="false" ht="15" hidden="false" customHeight="false" outlineLevel="0" collapsed="false">
      <c r="A2745" s="15" t="str">
        <f aca="false">IF(B2745="","",ROW()-1)</f>
        <v/>
      </c>
      <c r="B2745" s="16"/>
      <c r="C2745" s="16"/>
      <c r="D2745" s="16"/>
      <c r="E2745" s="16"/>
      <c r="F2745" s="17"/>
      <c r="G2745" s="16"/>
      <c r="H2745" s="16"/>
      <c r="I2745" s="16"/>
      <c r="J2745" s="16"/>
      <c r="K2745" s="16"/>
      <c r="L2745" s="16"/>
      <c r="M2745" s="18" t="str">
        <f aca="false">IF(OR(C2745="",D2745=""),"",IF(MOD(COUNTIFS($C$2:C2745,C2745,$D$2:D2745,D2745)*7,10)&lt;3,"teste","treino"))</f>
        <v/>
      </c>
      <c r="N2745" s="16"/>
      <c r="O2745" s="16"/>
      <c r="P2745" s="16"/>
      <c r="Q2745" s="17"/>
    </row>
    <row r="2746" customFormat="false" ht="15" hidden="false" customHeight="false" outlineLevel="0" collapsed="false">
      <c r="A2746" s="15" t="str">
        <f aca="false">IF(B2746="","",ROW()-1)</f>
        <v/>
      </c>
      <c r="B2746" s="16"/>
      <c r="C2746" s="16"/>
      <c r="D2746" s="16"/>
      <c r="E2746" s="16"/>
      <c r="F2746" s="17"/>
      <c r="G2746" s="16"/>
      <c r="H2746" s="16"/>
      <c r="I2746" s="16"/>
      <c r="J2746" s="16"/>
      <c r="K2746" s="16"/>
      <c r="L2746" s="16"/>
      <c r="M2746" s="18" t="str">
        <f aca="false">IF(OR(C2746="",D2746=""),"",IF(MOD(COUNTIFS($C$2:C2746,C2746,$D$2:D2746,D2746)*7,10)&lt;3,"teste","treino"))</f>
        <v/>
      </c>
      <c r="N2746" s="16"/>
      <c r="O2746" s="16"/>
      <c r="P2746" s="16"/>
      <c r="Q2746" s="17"/>
    </row>
    <row r="2747" customFormat="false" ht="15" hidden="false" customHeight="false" outlineLevel="0" collapsed="false">
      <c r="A2747" s="15" t="str">
        <f aca="false">IF(B2747="","",ROW()-1)</f>
        <v/>
      </c>
      <c r="B2747" s="16"/>
      <c r="C2747" s="16"/>
      <c r="D2747" s="16"/>
      <c r="E2747" s="16"/>
      <c r="F2747" s="17"/>
      <c r="G2747" s="16"/>
      <c r="H2747" s="16"/>
      <c r="I2747" s="16"/>
      <c r="J2747" s="16"/>
      <c r="K2747" s="16"/>
      <c r="L2747" s="16"/>
      <c r="M2747" s="18" t="str">
        <f aca="false">IF(OR(C2747="",D2747=""),"",IF(MOD(COUNTIFS($C$2:C2747,C2747,$D$2:D2747,D2747)*7,10)&lt;3,"teste","treino"))</f>
        <v/>
      </c>
      <c r="N2747" s="16"/>
      <c r="O2747" s="16"/>
      <c r="P2747" s="16"/>
      <c r="Q2747" s="17"/>
    </row>
    <row r="2748" customFormat="false" ht="15" hidden="false" customHeight="false" outlineLevel="0" collapsed="false">
      <c r="A2748" s="15" t="str">
        <f aca="false">IF(B2748="","",ROW()-1)</f>
        <v/>
      </c>
      <c r="B2748" s="16"/>
      <c r="C2748" s="16"/>
      <c r="D2748" s="16"/>
      <c r="E2748" s="16"/>
      <c r="F2748" s="17"/>
      <c r="G2748" s="16"/>
      <c r="H2748" s="16"/>
      <c r="I2748" s="16"/>
      <c r="J2748" s="16"/>
      <c r="K2748" s="16"/>
      <c r="L2748" s="16"/>
      <c r="M2748" s="18" t="str">
        <f aca="false">IF(OR(C2748="",D2748=""),"",IF(MOD(COUNTIFS($C$2:C2748,C2748,$D$2:D2748,D2748)*7,10)&lt;3,"teste","treino"))</f>
        <v/>
      </c>
      <c r="N2748" s="16"/>
      <c r="O2748" s="16"/>
      <c r="P2748" s="16"/>
      <c r="Q2748" s="17"/>
    </row>
    <row r="2749" customFormat="false" ht="15" hidden="false" customHeight="false" outlineLevel="0" collapsed="false">
      <c r="A2749" s="15" t="str">
        <f aca="false">IF(B2749="","",ROW()-1)</f>
        <v/>
      </c>
      <c r="B2749" s="16"/>
      <c r="C2749" s="16"/>
      <c r="D2749" s="16"/>
      <c r="E2749" s="16"/>
      <c r="F2749" s="17"/>
      <c r="G2749" s="16"/>
      <c r="H2749" s="16"/>
      <c r="I2749" s="16"/>
      <c r="J2749" s="16"/>
      <c r="K2749" s="16"/>
      <c r="L2749" s="16"/>
      <c r="M2749" s="18" t="str">
        <f aca="false">IF(OR(C2749="",D2749=""),"",IF(MOD(COUNTIFS($C$2:C2749,C2749,$D$2:D2749,D2749)*7,10)&lt;3,"teste","treino"))</f>
        <v/>
      </c>
      <c r="N2749" s="16"/>
      <c r="O2749" s="16"/>
      <c r="P2749" s="16"/>
      <c r="Q2749" s="17"/>
    </row>
    <row r="2750" customFormat="false" ht="15" hidden="false" customHeight="false" outlineLevel="0" collapsed="false">
      <c r="A2750" s="15" t="str">
        <f aca="false">IF(B2750="","",ROW()-1)</f>
        <v/>
      </c>
      <c r="B2750" s="16"/>
      <c r="C2750" s="16"/>
      <c r="D2750" s="16"/>
      <c r="E2750" s="16"/>
      <c r="F2750" s="17"/>
      <c r="G2750" s="16"/>
      <c r="H2750" s="16"/>
      <c r="I2750" s="16"/>
      <c r="J2750" s="16"/>
      <c r="K2750" s="16"/>
      <c r="L2750" s="16"/>
      <c r="M2750" s="18" t="str">
        <f aca="false">IF(OR(C2750="",D2750=""),"",IF(MOD(COUNTIFS($C$2:C2750,C2750,$D$2:D2750,D2750)*7,10)&lt;3,"teste","treino"))</f>
        <v/>
      </c>
      <c r="N2750" s="16"/>
      <c r="O2750" s="16"/>
      <c r="P2750" s="16"/>
      <c r="Q2750" s="17"/>
    </row>
    <row r="2751" customFormat="false" ht="15" hidden="false" customHeight="false" outlineLevel="0" collapsed="false">
      <c r="A2751" s="15" t="str">
        <f aca="false">IF(B2751="","",ROW()-1)</f>
        <v/>
      </c>
      <c r="B2751" s="16"/>
      <c r="C2751" s="16"/>
      <c r="D2751" s="16"/>
      <c r="E2751" s="16"/>
      <c r="F2751" s="17"/>
      <c r="G2751" s="16"/>
      <c r="H2751" s="16"/>
      <c r="I2751" s="16"/>
      <c r="J2751" s="16"/>
      <c r="K2751" s="16"/>
      <c r="L2751" s="16"/>
      <c r="M2751" s="18" t="str">
        <f aca="false">IF(OR(C2751="",D2751=""),"",IF(MOD(COUNTIFS($C$2:C2751,C2751,$D$2:D2751,D2751)*7,10)&lt;3,"teste","treino"))</f>
        <v/>
      </c>
      <c r="N2751" s="16"/>
      <c r="O2751" s="16"/>
      <c r="P2751" s="16"/>
      <c r="Q2751" s="17"/>
    </row>
    <row r="2752" customFormat="false" ht="15" hidden="false" customHeight="false" outlineLevel="0" collapsed="false">
      <c r="A2752" s="15" t="str">
        <f aca="false">IF(B2752="","",ROW()-1)</f>
        <v/>
      </c>
      <c r="B2752" s="16"/>
      <c r="C2752" s="16"/>
      <c r="D2752" s="16"/>
      <c r="E2752" s="16"/>
      <c r="F2752" s="17"/>
      <c r="G2752" s="16"/>
      <c r="H2752" s="16"/>
      <c r="I2752" s="16"/>
      <c r="J2752" s="16"/>
      <c r="K2752" s="16"/>
      <c r="L2752" s="16"/>
      <c r="M2752" s="18" t="str">
        <f aca="false">IF(OR(C2752="",D2752=""),"",IF(MOD(COUNTIFS($C$2:C2752,C2752,$D$2:D2752,D2752)*7,10)&lt;3,"teste","treino"))</f>
        <v/>
      </c>
      <c r="N2752" s="16"/>
      <c r="O2752" s="16"/>
      <c r="P2752" s="16"/>
      <c r="Q2752" s="17"/>
    </row>
    <row r="2753" customFormat="false" ht="15" hidden="false" customHeight="false" outlineLevel="0" collapsed="false">
      <c r="A2753" s="15" t="str">
        <f aca="false">IF(B2753="","",ROW()-1)</f>
        <v/>
      </c>
      <c r="B2753" s="16"/>
      <c r="C2753" s="16"/>
      <c r="D2753" s="16"/>
      <c r="E2753" s="16"/>
      <c r="F2753" s="17"/>
      <c r="G2753" s="16"/>
      <c r="H2753" s="16"/>
      <c r="I2753" s="16"/>
      <c r="J2753" s="16"/>
      <c r="K2753" s="16"/>
      <c r="L2753" s="16"/>
      <c r="M2753" s="18" t="str">
        <f aca="false">IF(OR(C2753="",D2753=""),"",IF(MOD(COUNTIFS($C$2:C2753,C2753,$D$2:D2753,D2753)*7,10)&lt;3,"teste","treino"))</f>
        <v/>
      </c>
      <c r="N2753" s="16"/>
      <c r="O2753" s="16"/>
      <c r="P2753" s="16"/>
      <c r="Q2753" s="17"/>
    </row>
    <row r="2754" customFormat="false" ht="15" hidden="false" customHeight="false" outlineLevel="0" collapsed="false">
      <c r="A2754" s="15" t="str">
        <f aca="false">IF(B2754="","",ROW()-1)</f>
        <v/>
      </c>
      <c r="B2754" s="16"/>
      <c r="C2754" s="16"/>
      <c r="D2754" s="16"/>
      <c r="E2754" s="16"/>
      <c r="F2754" s="17"/>
      <c r="G2754" s="16"/>
      <c r="H2754" s="16"/>
      <c r="I2754" s="16"/>
      <c r="J2754" s="16"/>
      <c r="K2754" s="16"/>
      <c r="L2754" s="16"/>
      <c r="M2754" s="18" t="str">
        <f aca="false">IF(OR(C2754="",D2754=""),"",IF(MOD(COUNTIFS($C$2:C2754,C2754,$D$2:D2754,D2754)*7,10)&lt;3,"teste","treino"))</f>
        <v/>
      </c>
      <c r="N2754" s="16"/>
      <c r="O2754" s="16"/>
      <c r="P2754" s="16"/>
      <c r="Q2754" s="17"/>
    </row>
    <row r="2755" customFormat="false" ht="15" hidden="false" customHeight="false" outlineLevel="0" collapsed="false">
      <c r="A2755" s="15" t="str">
        <f aca="false">IF(B2755="","",ROW()-1)</f>
        <v/>
      </c>
      <c r="B2755" s="16"/>
      <c r="C2755" s="16"/>
      <c r="D2755" s="16"/>
      <c r="E2755" s="16"/>
      <c r="F2755" s="17"/>
      <c r="G2755" s="16"/>
      <c r="H2755" s="16"/>
      <c r="I2755" s="16"/>
      <c r="J2755" s="16"/>
      <c r="K2755" s="16"/>
      <c r="L2755" s="16"/>
      <c r="M2755" s="18" t="str">
        <f aca="false">IF(OR(C2755="",D2755=""),"",IF(MOD(COUNTIFS($C$2:C2755,C2755,$D$2:D2755,D2755)*7,10)&lt;3,"teste","treino"))</f>
        <v/>
      </c>
      <c r="N2755" s="16"/>
      <c r="O2755" s="16"/>
      <c r="P2755" s="16"/>
      <c r="Q2755" s="17"/>
    </row>
    <row r="2756" customFormat="false" ht="15" hidden="false" customHeight="false" outlineLevel="0" collapsed="false">
      <c r="A2756" s="15" t="str">
        <f aca="false">IF(B2756="","",ROW()-1)</f>
        <v/>
      </c>
      <c r="B2756" s="16"/>
      <c r="C2756" s="16"/>
      <c r="D2756" s="16"/>
      <c r="E2756" s="16"/>
      <c r="F2756" s="17"/>
      <c r="G2756" s="16"/>
      <c r="H2756" s="16"/>
      <c r="I2756" s="16"/>
      <c r="J2756" s="16"/>
      <c r="K2756" s="16"/>
      <c r="L2756" s="16"/>
      <c r="M2756" s="18" t="str">
        <f aca="false">IF(OR(C2756="",D2756=""),"",IF(MOD(COUNTIFS($C$2:C2756,C2756,$D$2:D2756,D2756)*7,10)&lt;3,"teste","treino"))</f>
        <v/>
      </c>
      <c r="N2756" s="16"/>
      <c r="O2756" s="16"/>
      <c r="P2756" s="16"/>
      <c r="Q2756" s="17"/>
    </row>
    <row r="2757" customFormat="false" ht="15" hidden="false" customHeight="false" outlineLevel="0" collapsed="false">
      <c r="A2757" s="15" t="str">
        <f aca="false">IF(B2757="","",ROW()-1)</f>
        <v/>
      </c>
      <c r="B2757" s="16"/>
      <c r="C2757" s="16"/>
      <c r="D2757" s="16"/>
      <c r="E2757" s="16"/>
      <c r="F2757" s="17"/>
      <c r="G2757" s="16"/>
      <c r="H2757" s="16"/>
      <c r="I2757" s="16"/>
      <c r="J2757" s="16"/>
      <c r="K2757" s="16"/>
      <c r="L2757" s="16"/>
      <c r="M2757" s="18" t="str">
        <f aca="false">IF(OR(C2757="",D2757=""),"",IF(MOD(COUNTIFS($C$2:C2757,C2757,$D$2:D2757,D2757)*7,10)&lt;3,"teste","treino"))</f>
        <v/>
      </c>
      <c r="N2757" s="16"/>
      <c r="O2757" s="16"/>
      <c r="P2757" s="16"/>
      <c r="Q2757" s="17"/>
    </row>
    <row r="2758" customFormat="false" ht="15" hidden="false" customHeight="false" outlineLevel="0" collapsed="false">
      <c r="A2758" s="15" t="str">
        <f aca="false">IF(B2758="","",ROW()-1)</f>
        <v/>
      </c>
      <c r="B2758" s="16"/>
      <c r="C2758" s="16"/>
      <c r="D2758" s="16"/>
      <c r="E2758" s="16"/>
      <c r="F2758" s="17"/>
      <c r="G2758" s="16"/>
      <c r="H2758" s="16"/>
      <c r="I2758" s="16"/>
      <c r="J2758" s="16"/>
      <c r="K2758" s="16"/>
      <c r="L2758" s="16"/>
      <c r="M2758" s="18" t="str">
        <f aca="false">IF(OR(C2758="",D2758=""),"",IF(MOD(COUNTIFS($C$2:C2758,C2758,$D$2:D2758,D2758)*7,10)&lt;3,"teste","treino"))</f>
        <v/>
      </c>
      <c r="N2758" s="16"/>
      <c r="O2758" s="16"/>
      <c r="P2758" s="16"/>
      <c r="Q2758" s="17"/>
    </row>
    <row r="2759" customFormat="false" ht="15" hidden="false" customHeight="false" outlineLevel="0" collapsed="false">
      <c r="A2759" s="15" t="str">
        <f aca="false">IF(B2759="","",ROW()-1)</f>
        <v/>
      </c>
      <c r="B2759" s="16"/>
      <c r="C2759" s="16"/>
      <c r="D2759" s="16"/>
      <c r="E2759" s="16"/>
      <c r="F2759" s="17"/>
      <c r="G2759" s="16"/>
      <c r="H2759" s="16"/>
      <c r="I2759" s="16"/>
      <c r="J2759" s="16"/>
      <c r="K2759" s="16"/>
      <c r="L2759" s="16"/>
      <c r="M2759" s="18" t="str">
        <f aca="false">IF(OR(C2759="",D2759=""),"",IF(MOD(COUNTIFS($C$2:C2759,C2759,$D$2:D2759,D2759)*7,10)&lt;3,"teste","treino"))</f>
        <v/>
      </c>
      <c r="N2759" s="16"/>
      <c r="O2759" s="16"/>
      <c r="P2759" s="16"/>
      <c r="Q2759" s="17"/>
    </row>
    <row r="2760" customFormat="false" ht="15" hidden="false" customHeight="false" outlineLevel="0" collapsed="false">
      <c r="A2760" s="15" t="str">
        <f aca="false">IF(B2760="","",ROW()-1)</f>
        <v/>
      </c>
      <c r="B2760" s="16"/>
      <c r="C2760" s="16"/>
      <c r="D2760" s="16"/>
      <c r="E2760" s="16"/>
      <c r="F2760" s="17"/>
      <c r="G2760" s="16"/>
      <c r="H2760" s="16"/>
      <c r="I2760" s="16"/>
      <c r="J2760" s="16"/>
      <c r="K2760" s="16"/>
      <c r="L2760" s="16"/>
      <c r="M2760" s="18" t="str">
        <f aca="false">IF(OR(C2760="",D2760=""),"",IF(MOD(COUNTIFS($C$2:C2760,C2760,$D$2:D2760,D2760)*7,10)&lt;3,"teste","treino"))</f>
        <v/>
      </c>
      <c r="N2760" s="16"/>
      <c r="O2760" s="16"/>
      <c r="P2760" s="16"/>
      <c r="Q2760" s="17"/>
    </row>
    <row r="2761" customFormat="false" ht="15" hidden="false" customHeight="false" outlineLevel="0" collapsed="false">
      <c r="A2761" s="15" t="str">
        <f aca="false">IF(B2761="","",ROW()-1)</f>
        <v/>
      </c>
      <c r="B2761" s="16"/>
      <c r="C2761" s="16"/>
      <c r="D2761" s="16"/>
      <c r="E2761" s="16"/>
      <c r="F2761" s="17"/>
      <c r="G2761" s="16"/>
      <c r="H2761" s="16"/>
      <c r="I2761" s="16"/>
      <c r="J2761" s="16"/>
      <c r="K2761" s="16"/>
      <c r="L2761" s="16"/>
      <c r="M2761" s="18" t="str">
        <f aca="false">IF(OR(C2761="",D2761=""),"",IF(MOD(COUNTIFS($C$2:C2761,C2761,$D$2:D2761,D2761)*7,10)&lt;3,"teste","treino"))</f>
        <v/>
      </c>
      <c r="N2761" s="16"/>
      <c r="O2761" s="16"/>
      <c r="P2761" s="16"/>
      <c r="Q2761" s="17"/>
    </row>
    <row r="2762" customFormat="false" ht="15" hidden="false" customHeight="false" outlineLevel="0" collapsed="false">
      <c r="A2762" s="15" t="str">
        <f aca="false">IF(B2762="","",ROW()-1)</f>
        <v/>
      </c>
      <c r="B2762" s="16"/>
      <c r="C2762" s="16"/>
      <c r="D2762" s="16"/>
      <c r="E2762" s="16"/>
      <c r="F2762" s="17"/>
      <c r="G2762" s="16"/>
      <c r="H2762" s="16"/>
      <c r="I2762" s="16"/>
      <c r="J2762" s="16"/>
      <c r="K2762" s="16"/>
      <c r="L2762" s="16"/>
      <c r="M2762" s="18" t="str">
        <f aca="false">IF(OR(C2762="",D2762=""),"",IF(MOD(COUNTIFS($C$2:C2762,C2762,$D$2:D2762,D2762)*7,10)&lt;3,"teste","treino"))</f>
        <v/>
      </c>
      <c r="N2762" s="16"/>
      <c r="O2762" s="16"/>
      <c r="P2762" s="16"/>
      <c r="Q2762" s="17"/>
    </row>
    <row r="2763" customFormat="false" ht="15" hidden="false" customHeight="false" outlineLevel="0" collapsed="false">
      <c r="A2763" s="15" t="str">
        <f aca="false">IF(B2763="","",ROW()-1)</f>
        <v/>
      </c>
      <c r="B2763" s="16"/>
      <c r="C2763" s="16"/>
      <c r="D2763" s="16"/>
      <c r="E2763" s="16"/>
      <c r="F2763" s="17"/>
      <c r="G2763" s="16"/>
      <c r="H2763" s="16"/>
      <c r="I2763" s="16"/>
      <c r="J2763" s="16"/>
      <c r="K2763" s="16"/>
      <c r="L2763" s="16"/>
      <c r="M2763" s="18" t="str">
        <f aca="false">IF(OR(C2763="",D2763=""),"",IF(MOD(COUNTIFS($C$2:C2763,C2763,$D$2:D2763,D2763)*7,10)&lt;3,"teste","treino"))</f>
        <v/>
      </c>
      <c r="N2763" s="16"/>
      <c r="O2763" s="16"/>
      <c r="P2763" s="16"/>
      <c r="Q2763" s="17"/>
    </row>
    <row r="2764" customFormat="false" ht="15" hidden="false" customHeight="false" outlineLevel="0" collapsed="false">
      <c r="A2764" s="15" t="str">
        <f aca="false">IF(B2764="","",ROW()-1)</f>
        <v/>
      </c>
      <c r="B2764" s="16"/>
      <c r="C2764" s="16"/>
      <c r="D2764" s="16"/>
      <c r="E2764" s="16"/>
      <c r="F2764" s="17"/>
      <c r="G2764" s="16"/>
      <c r="H2764" s="16"/>
      <c r="I2764" s="16"/>
      <c r="J2764" s="16"/>
      <c r="K2764" s="16"/>
      <c r="L2764" s="16"/>
      <c r="M2764" s="18" t="str">
        <f aca="false">IF(OR(C2764="",D2764=""),"",IF(MOD(COUNTIFS($C$2:C2764,C2764,$D$2:D2764,D2764)*7,10)&lt;3,"teste","treino"))</f>
        <v/>
      </c>
      <c r="N2764" s="16"/>
      <c r="O2764" s="16"/>
      <c r="P2764" s="16"/>
      <c r="Q2764" s="17"/>
    </row>
    <row r="2765" customFormat="false" ht="15" hidden="false" customHeight="false" outlineLevel="0" collapsed="false">
      <c r="A2765" s="15" t="str">
        <f aca="false">IF(B2765="","",ROW()-1)</f>
        <v/>
      </c>
      <c r="B2765" s="16"/>
      <c r="C2765" s="16"/>
      <c r="D2765" s="16"/>
      <c r="E2765" s="16"/>
      <c r="F2765" s="17"/>
      <c r="G2765" s="16"/>
      <c r="H2765" s="16"/>
      <c r="I2765" s="16"/>
      <c r="J2765" s="16"/>
      <c r="K2765" s="16"/>
      <c r="L2765" s="16"/>
      <c r="M2765" s="18" t="str">
        <f aca="false">IF(OR(C2765="",D2765=""),"",IF(MOD(COUNTIFS($C$2:C2765,C2765,$D$2:D2765,D2765)*7,10)&lt;3,"teste","treino"))</f>
        <v/>
      </c>
      <c r="N2765" s="16"/>
      <c r="O2765" s="16"/>
      <c r="P2765" s="16"/>
      <c r="Q2765" s="17"/>
    </row>
    <row r="2766" customFormat="false" ht="15" hidden="false" customHeight="false" outlineLevel="0" collapsed="false">
      <c r="A2766" s="15" t="str">
        <f aca="false">IF(B2766="","",ROW()-1)</f>
        <v/>
      </c>
      <c r="B2766" s="16"/>
      <c r="C2766" s="16"/>
      <c r="D2766" s="16"/>
      <c r="E2766" s="16"/>
      <c r="F2766" s="17"/>
      <c r="G2766" s="16"/>
      <c r="H2766" s="16"/>
      <c r="I2766" s="16"/>
      <c r="J2766" s="16"/>
      <c r="K2766" s="16"/>
      <c r="L2766" s="16"/>
      <c r="M2766" s="18" t="str">
        <f aca="false">IF(OR(C2766="",D2766=""),"",IF(MOD(COUNTIFS($C$2:C2766,C2766,$D$2:D2766,D2766)*7,10)&lt;3,"teste","treino"))</f>
        <v/>
      </c>
      <c r="N2766" s="16"/>
      <c r="O2766" s="16"/>
      <c r="P2766" s="16"/>
      <c r="Q2766" s="17"/>
    </row>
    <row r="2767" customFormat="false" ht="15" hidden="false" customHeight="false" outlineLevel="0" collapsed="false">
      <c r="A2767" s="15" t="str">
        <f aca="false">IF(B2767="","",ROW()-1)</f>
        <v/>
      </c>
      <c r="B2767" s="16"/>
      <c r="C2767" s="16"/>
      <c r="D2767" s="16"/>
      <c r="E2767" s="16"/>
      <c r="F2767" s="17"/>
      <c r="G2767" s="16"/>
      <c r="H2767" s="16"/>
      <c r="I2767" s="16"/>
      <c r="J2767" s="16"/>
      <c r="K2767" s="16"/>
      <c r="L2767" s="16"/>
      <c r="M2767" s="18" t="str">
        <f aca="false">IF(OR(C2767="",D2767=""),"",IF(MOD(COUNTIFS($C$2:C2767,C2767,$D$2:D2767,D2767)*7,10)&lt;3,"teste","treino"))</f>
        <v/>
      </c>
      <c r="N2767" s="16"/>
      <c r="O2767" s="16"/>
      <c r="P2767" s="16"/>
      <c r="Q2767" s="17"/>
    </row>
    <row r="2768" customFormat="false" ht="15" hidden="false" customHeight="false" outlineLevel="0" collapsed="false">
      <c r="A2768" s="15" t="str">
        <f aca="false">IF(B2768="","",ROW()-1)</f>
        <v/>
      </c>
      <c r="B2768" s="16"/>
      <c r="C2768" s="16"/>
      <c r="D2768" s="16"/>
      <c r="E2768" s="16"/>
      <c r="F2768" s="17"/>
      <c r="G2768" s="16"/>
      <c r="H2768" s="16"/>
      <c r="I2768" s="16"/>
      <c r="J2768" s="16"/>
      <c r="K2768" s="16"/>
      <c r="L2768" s="16"/>
      <c r="M2768" s="18" t="str">
        <f aca="false">IF(OR(C2768="",D2768=""),"",IF(MOD(COUNTIFS($C$2:C2768,C2768,$D$2:D2768,D2768)*7,10)&lt;3,"teste","treino"))</f>
        <v/>
      </c>
      <c r="N2768" s="16"/>
      <c r="O2768" s="16"/>
      <c r="P2768" s="16"/>
      <c r="Q2768" s="17"/>
    </row>
    <row r="2769" customFormat="false" ht="15" hidden="false" customHeight="false" outlineLevel="0" collapsed="false">
      <c r="A2769" s="15" t="str">
        <f aca="false">IF(B2769="","",ROW()-1)</f>
        <v/>
      </c>
      <c r="B2769" s="16"/>
      <c r="C2769" s="16"/>
      <c r="D2769" s="16"/>
      <c r="E2769" s="16"/>
      <c r="F2769" s="17"/>
      <c r="G2769" s="16"/>
      <c r="H2769" s="16"/>
      <c r="I2769" s="16"/>
      <c r="J2769" s="16"/>
      <c r="K2769" s="16"/>
      <c r="L2769" s="16"/>
      <c r="M2769" s="18" t="str">
        <f aca="false">IF(OR(C2769="",D2769=""),"",IF(MOD(COUNTIFS($C$2:C2769,C2769,$D$2:D2769,D2769)*7,10)&lt;3,"teste","treino"))</f>
        <v/>
      </c>
      <c r="N2769" s="16"/>
      <c r="O2769" s="16"/>
      <c r="P2769" s="16"/>
      <c r="Q2769" s="17"/>
    </row>
    <row r="2770" customFormat="false" ht="15" hidden="false" customHeight="false" outlineLevel="0" collapsed="false">
      <c r="A2770" s="15" t="str">
        <f aca="false">IF(B2770="","",ROW()-1)</f>
        <v/>
      </c>
      <c r="B2770" s="16"/>
      <c r="C2770" s="16"/>
      <c r="D2770" s="16"/>
      <c r="E2770" s="16"/>
      <c r="F2770" s="17"/>
      <c r="G2770" s="16"/>
      <c r="H2770" s="16"/>
      <c r="I2770" s="16"/>
      <c r="J2770" s="16"/>
      <c r="K2770" s="16"/>
      <c r="L2770" s="16"/>
      <c r="M2770" s="18" t="str">
        <f aca="false">IF(OR(C2770="",D2770=""),"",IF(MOD(COUNTIFS($C$2:C2770,C2770,$D$2:D2770,D2770)*7,10)&lt;3,"teste","treino"))</f>
        <v/>
      </c>
      <c r="N2770" s="16"/>
      <c r="O2770" s="16"/>
      <c r="P2770" s="16"/>
      <c r="Q2770" s="17"/>
    </row>
    <row r="2771" customFormat="false" ht="15" hidden="false" customHeight="false" outlineLevel="0" collapsed="false">
      <c r="A2771" s="15" t="str">
        <f aca="false">IF(B2771="","",ROW()-1)</f>
        <v/>
      </c>
      <c r="B2771" s="16"/>
      <c r="C2771" s="16"/>
      <c r="D2771" s="16"/>
      <c r="E2771" s="16"/>
      <c r="F2771" s="17"/>
      <c r="G2771" s="16"/>
      <c r="H2771" s="16"/>
      <c r="I2771" s="16"/>
      <c r="J2771" s="16"/>
      <c r="K2771" s="16"/>
      <c r="L2771" s="16"/>
      <c r="M2771" s="18" t="str">
        <f aca="false">IF(OR(C2771="",D2771=""),"",IF(MOD(COUNTIFS($C$2:C2771,C2771,$D$2:D2771,D2771)*7,10)&lt;3,"teste","treino"))</f>
        <v/>
      </c>
      <c r="N2771" s="16"/>
      <c r="O2771" s="16"/>
      <c r="P2771" s="16"/>
      <c r="Q2771" s="17"/>
    </row>
    <row r="2772" customFormat="false" ht="15" hidden="false" customHeight="false" outlineLevel="0" collapsed="false">
      <c r="A2772" s="15" t="str">
        <f aca="false">IF(B2772="","",ROW()-1)</f>
        <v/>
      </c>
      <c r="B2772" s="16"/>
      <c r="C2772" s="16"/>
      <c r="D2772" s="16"/>
      <c r="E2772" s="16"/>
      <c r="F2772" s="17"/>
      <c r="G2772" s="16"/>
      <c r="H2772" s="16"/>
      <c r="I2772" s="16"/>
      <c r="J2772" s="16"/>
      <c r="K2772" s="16"/>
      <c r="L2772" s="16"/>
      <c r="M2772" s="18" t="str">
        <f aca="false">IF(OR(C2772="",D2772=""),"",IF(MOD(COUNTIFS($C$2:C2772,C2772,$D$2:D2772,D2772)*7,10)&lt;3,"teste","treino"))</f>
        <v/>
      </c>
      <c r="N2772" s="16"/>
      <c r="O2772" s="16"/>
      <c r="P2772" s="16"/>
      <c r="Q2772" s="17"/>
    </row>
    <row r="2773" customFormat="false" ht="15" hidden="false" customHeight="false" outlineLevel="0" collapsed="false">
      <c r="A2773" s="15" t="str">
        <f aca="false">IF(B2773="","",ROW()-1)</f>
        <v/>
      </c>
      <c r="B2773" s="16"/>
      <c r="C2773" s="16"/>
      <c r="D2773" s="16"/>
      <c r="E2773" s="16"/>
      <c r="F2773" s="17"/>
      <c r="G2773" s="16"/>
      <c r="H2773" s="16"/>
      <c r="I2773" s="16"/>
      <c r="J2773" s="16"/>
      <c r="K2773" s="16"/>
      <c r="L2773" s="16"/>
      <c r="M2773" s="18" t="str">
        <f aca="false">IF(OR(C2773="",D2773=""),"",IF(MOD(COUNTIFS($C$2:C2773,C2773,$D$2:D2773,D2773)*7,10)&lt;3,"teste","treino"))</f>
        <v/>
      </c>
      <c r="N2773" s="16"/>
      <c r="O2773" s="16"/>
      <c r="P2773" s="16"/>
      <c r="Q2773" s="17"/>
    </row>
    <row r="2774" customFormat="false" ht="15" hidden="false" customHeight="false" outlineLevel="0" collapsed="false">
      <c r="A2774" s="15" t="str">
        <f aca="false">IF(B2774="","",ROW()-1)</f>
        <v/>
      </c>
      <c r="B2774" s="16"/>
      <c r="C2774" s="16"/>
      <c r="D2774" s="16"/>
      <c r="E2774" s="16"/>
      <c r="F2774" s="17"/>
      <c r="G2774" s="16"/>
      <c r="H2774" s="16"/>
      <c r="I2774" s="16"/>
      <c r="J2774" s="16"/>
      <c r="K2774" s="16"/>
      <c r="L2774" s="16"/>
      <c r="M2774" s="18" t="str">
        <f aca="false">IF(OR(C2774="",D2774=""),"",IF(MOD(COUNTIFS($C$2:C2774,C2774,$D$2:D2774,D2774)*7,10)&lt;3,"teste","treino"))</f>
        <v/>
      </c>
      <c r="N2774" s="16"/>
      <c r="O2774" s="16"/>
      <c r="P2774" s="16"/>
      <c r="Q2774" s="17"/>
    </row>
    <row r="2775" customFormat="false" ht="15" hidden="false" customHeight="false" outlineLevel="0" collapsed="false">
      <c r="A2775" s="15" t="str">
        <f aca="false">IF(B2775="","",ROW()-1)</f>
        <v/>
      </c>
      <c r="B2775" s="16"/>
      <c r="C2775" s="16"/>
      <c r="D2775" s="16"/>
      <c r="E2775" s="16"/>
      <c r="F2775" s="17"/>
      <c r="G2775" s="16"/>
      <c r="H2775" s="16"/>
      <c r="I2775" s="16"/>
      <c r="J2775" s="16"/>
      <c r="K2775" s="16"/>
      <c r="L2775" s="16"/>
      <c r="M2775" s="18" t="str">
        <f aca="false">IF(OR(C2775="",D2775=""),"",IF(MOD(COUNTIFS($C$2:C2775,C2775,$D$2:D2775,D2775)*7,10)&lt;3,"teste","treino"))</f>
        <v/>
      </c>
      <c r="N2775" s="16"/>
      <c r="O2775" s="16"/>
      <c r="P2775" s="16"/>
      <c r="Q2775" s="17"/>
    </row>
    <row r="2776" customFormat="false" ht="15" hidden="false" customHeight="false" outlineLevel="0" collapsed="false">
      <c r="A2776" s="15" t="str">
        <f aca="false">IF(B2776="","",ROW()-1)</f>
        <v/>
      </c>
      <c r="B2776" s="16"/>
      <c r="C2776" s="16"/>
      <c r="D2776" s="16"/>
      <c r="E2776" s="16"/>
      <c r="F2776" s="17"/>
      <c r="G2776" s="16"/>
      <c r="H2776" s="16"/>
      <c r="I2776" s="16"/>
      <c r="J2776" s="16"/>
      <c r="K2776" s="16"/>
      <c r="L2776" s="16"/>
      <c r="M2776" s="18" t="str">
        <f aca="false">IF(OR(C2776="",D2776=""),"",IF(MOD(COUNTIFS($C$2:C2776,C2776,$D$2:D2776,D2776)*7,10)&lt;3,"teste","treino"))</f>
        <v/>
      </c>
      <c r="N2776" s="16"/>
      <c r="O2776" s="16"/>
      <c r="P2776" s="16"/>
      <c r="Q2776" s="17"/>
    </row>
    <row r="2777" customFormat="false" ht="15" hidden="false" customHeight="false" outlineLevel="0" collapsed="false">
      <c r="A2777" s="15" t="str">
        <f aca="false">IF(B2777="","",ROW()-1)</f>
        <v/>
      </c>
      <c r="B2777" s="16"/>
      <c r="C2777" s="16"/>
      <c r="D2777" s="16"/>
      <c r="E2777" s="16"/>
      <c r="F2777" s="17"/>
      <c r="G2777" s="16"/>
      <c r="H2777" s="16"/>
      <c r="I2777" s="16"/>
      <c r="J2777" s="16"/>
      <c r="K2777" s="16"/>
      <c r="L2777" s="16"/>
      <c r="M2777" s="18" t="str">
        <f aca="false">IF(OR(C2777="",D2777=""),"",IF(MOD(COUNTIFS($C$2:C2777,C2777,$D$2:D2777,D2777)*7,10)&lt;3,"teste","treino"))</f>
        <v/>
      </c>
      <c r="N2777" s="16"/>
      <c r="O2777" s="16"/>
      <c r="P2777" s="16"/>
      <c r="Q2777" s="17"/>
    </row>
    <row r="2778" customFormat="false" ht="15" hidden="false" customHeight="false" outlineLevel="0" collapsed="false">
      <c r="A2778" s="15" t="str">
        <f aca="false">IF(B2778="","",ROW()-1)</f>
        <v/>
      </c>
      <c r="B2778" s="16"/>
      <c r="C2778" s="16"/>
      <c r="D2778" s="16"/>
      <c r="E2778" s="16"/>
      <c r="F2778" s="17"/>
      <c r="G2778" s="16"/>
      <c r="H2778" s="16"/>
      <c r="I2778" s="16"/>
      <c r="J2778" s="16"/>
      <c r="K2778" s="16"/>
      <c r="L2778" s="16"/>
      <c r="M2778" s="18" t="str">
        <f aca="false">IF(OR(C2778="",D2778=""),"",IF(MOD(COUNTIFS($C$2:C2778,C2778,$D$2:D2778,D2778)*7,10)&lt;3,"teste","treino"))</f>
        <v/>
      </c>
      <c r="N2778" s="16"/>
      <c r="O2778" s="16"/>
      <c r="P2778" s="16"/>
      <c r="Q2778" s="17"/>
    </row>
    <row r="2779" customFormat="false" ht="15" hidden="false" customHeight="false" outlineLevel="0" collapsed="false">
      <c r="A2779" s="15" t="str">
        <f aca="false">IF(B2779="","",ROW()-1)</f>
        <v/>
      </c>
      <c r="B2779" s="16"/>
      <c r="C2779" s="16"/>
      <c r="D2779" s="16"/>
      <c r="E2779" s="16"/>
      <c r="F2779" s="17"/>
      <c r="G2779" s="16"/>
      <c r="H2779" s="16"/>
      <c r="I2779" s="16"/>
      <c r="J2779" s="16"/>
      <c r="K2779" s="16"/>
      <c r="L2779" s="16"/>
      <c r="M2779" s="18" t="str">
        <f aca="false">IF(OR(C2779="",D2779=""),"",IF(MOD(COUNTIFS($C$2:C2779,C2779,$D$2:D2779,D2779)*7,10)&lt;3,"teste","treino"))</f>
        <v/>
      </c>
      <c r="N2779" s="16"/>
      <c r="O2779" s="16"/>
      <c r="P2779" s="16"/>
      <c r="Q2779" s="17"/>
    </row>
    <row r="2780" customFormat="false" ht="15" hidden="false" customHeight="false" outlineLevel="0" collapsed="false">
      <c r="A2780" s="15" t="str">
        <f aca="false">IF(B2780="","",ROW()-1)</f>
        <v/>
      </c>
      <c r="B2780" s="16"/>
      <c r="C2780" s="16"/>
      <c r="D2780" s="16"/>
      <c r="E2780" s="16"/>
      <c r="F2780" s="17"/>
      <c r="G2780" s="16"/>
      <c r="H2780" s="16"/>
      <c r="I2780" s="16"/>
      <c r="J2780" s="16"/>
      <c r="K2780" s="16"/>
      <c r="L2780" s="16"/>
      <c r="M2780" s="18" t="str">
        <f aca="false">IF(OR(C2780="",D2780=""),"",IF(MOD(COUNTIFS($C$2:C2780,C2780,$D$2:D2780,D2780)*7,10)&lt;3,"teste","treino"))</f>
        <v/>
      </c>
      <c r="N2780" s="16"/>
      <c r="O2780" s="16"/>
      <c r="P2780" s="16"/>
      <c r="Q2780" s="17"/>
    </row>
    <row r="2781" customFormat="false" ht="15" hidden="false" customHeight="false" outlineLevel="0" collapsed="false">
      <c r="A2781" s="15" t="str">
        <f aca="false">IF(B2781="","",ROW()-1)</f>
        <v/>
      </c>
      <c r="B2781" s="16"/>
      <c r="C2781" s="16"/>
      <c r="D2781" s="16"/>
      <c r="E2781" s="16"/>
      <c r="F2781" s="17"/>
      <c r="G2781" s="16"/>
      <c r="H2781" s="16"/>
      <c r="I2781" s="16"/>
      <c r="J2781" s="16"/>
      <c r="K2781" s="16"/>
      <c r="L2781" s="16"/>
      <c r="M2781" s="18" t="str">
        <f aca="false">IF(OR(C2781="",D2781=""),"",IF(MOD(COUNTIFS($C$2:C2781,C2781,$D$2:D2781,D2781)*7,10)&lt;3,"teste","treino"))</f>
        <v/>
      </c>
      <c r="N2781" s="16"/>
      <c r="O2781" s="16"/>
      <c r="P2781" s="16"/>
      <c r="Q2781" s="17"/>
    </row>
    <row r="2782" customFormat="false" ht="15" hidden="false" customHeight="false" outlineLevel="0" collapsed="false">
      <c r="A2782" s="15" t="str">
        <f aca="false">IF(B2782="","",ROW()-1)</f>
        <v/>
      </c>
      <c r="B2782" s="16"/>
      <c r="C2782" s="16"/>
      <c r="D2782" s="16"/>
      <c r="E2782" s="16"/>
      <c r="F2782" s="17"/>
      <c r="G2782" s="16"/>
      <c r="H2782" s="16"/>
      <c r="I2782" s="16"/>
      <c r="J2782" s="16"/>
      <c r="K2782" s="16"/>
      <c r="L2782" s="16"/>
      <c r="M2782" s="18" t="str">
        <f aca="false">IF(OR(C2782="",D2782=""),"",IF(MOD(COUNTIFS($C$2:C2782,C2782,$D$2:D2782,D2782)*7,10)&lt;3,"teste","treino"))</f>
        <v/>
      </c>
      <c r="N2782" s="16"/>
      <c r="O2782" s="16"/>
      <c r="P2782" s="16"/>
      <c r="Q2782" s="17"/>
    </row>
    <row r="2783" customFormat="false" ht="15" hidden="false" customHeight="false" outlineLevel="0" collapsed="false">
      <c r="A2783" s="15" t="str">
        <f aca="false">IF(B2783="","",ROW()-1)</f>
        <v/>
      </c>
      <c r="B2783" s="16"/>
      <c r="C2783" s="16"/>
      <c r="D2783" s="16"/>
      <c r="E2783" s="16"/>
      <c r="F2783" s="17"/>
      <c r="G2783" s="16"/>
      <c r="H2783" s="16"/>
      <c r="I2783" s="16"/>
      <c r="J2783" s="16"/>
      <c r="K2783" s="16"/>
      <c r="L2783" s="16"/>
      <c r="M2783" s="18" t="str">
        <f aca="false">IF(OR(C2783="",D2783=""),"",IF(MOD(COUNTIFS($C$2:C2783,C2783,$D$2:D2783,D2783)*7,10)&lt;3,"teste","treino"))</f>
        <v/>
      </c>
      <c r="N2783" s="16"/>
      <c r="O2783" s="16"/>
      <c r="P2783" s="16"/>
      <c r="Q2783" s="17"/>
    </row>
    <row r="2784" customFormat="false" ht="15" hidden="false" customHeight="false" outlineLevel="0" collapsed="false">
      <c r="A2784" s="15" t="str">
        <f aca="false">IF(B2784="","",ROW()-1)</f>
        <v/>
      </c>
      <c r="B2784" s="16"/>
      <c r="C2784" s="16"/>
      <c r="D2784" s="16"/>
      <c r="E2784" s="16"/>
      <c r="F2784" s="17"/>
      <c r="G2784" s="16"/>
      <c r="H2784" s="16"/>
      <c r="I2784" s="16"/>
      <c r="J2784" s="16"/>
      <c r="K2784" s="16"/>
      <c r="L2784" s="16"/>
      <c r="M2784" s="18" t="str">
        <f aca="false">IF(OR(C2784="",D2784=""),"",IF(MOD(COUNTIFS($C$2:C2784,C2784,$D$2:D2784,D2784)*7,10)&lt;3,"teste","treino"))</f>
        <v/>
      </c>
      <c r="N2784" s="16"/>
      <c r="O2784" s="16"/>
      <c r="P2784" s="16"/>
      <c r="Q2784" s="17"/>
    </row>
    <row r="2785" customFormat="false" ht="15" hidden="false" customHeight="false" outlineLevel="0" collapsed="false">
      <c r="A2785" s="15" t="str">
        <f aca="false">IF(B2785="","",ROW()-1)</f>
        <v/>
      </c>
      <c r="B2785" s="16"/>
      <c r="C2785" s="16"/>
      <c r="D2785" s="16"/>
      <c r="E2785" s="16"/>
      <c r="F2785" s="17"/>
      <c r="G2785" s="16"/>
      <c r="H2785" s="16"/>
      <c r="I2785" s="16"/>
      <c r="J2785" s="16"/>
      <c r="K2785" s="16"/>
      <c r="L2785" s="16"/>
      <c r="M2785" s="18" t="str">
        <f aca="false">IF(OR(C2785="",D2785=""),"",IF(MOD(COUNTIFS($C$2:C2785,C2785,$D$2:D2785,D2785)*7,10)&lt;3,"teste","treino"))</f>
        <v/>
      </c>
      <c r="N2785" s="16"/>
      <c r="O2785" s="16"/>
      <c r="P2785" s="16"/>
      <c r="Q2785" s="17"/>
    </row>
    <row r="2786" customFormat="false" ht="15" hidden="false" customHeight="false" outlineLevel="0" collapsed="false">
      <c r="A2786" s="15" t="str">
        <f aca="false">IF(B2786="","",ROW()-1)</f>
        <v/>
      </c>
      <c r="B2786" s="16"/>
      <c r="C2786" s="16"/>
      <c r="D2786" s="16"/>
      <c r="E2786" s="16"/>
      <c r="F2786" s="17"/>
      <c r="G2786" s="16"/>
      <c r="H2786" s="16"/>
      <c r="I2786" s="16"/>
      <c r="J2786" s="16"/>
      <c r="K2786" s="16"/>
      <c r="L2786" s="16"/>
      <c r="M2786" s="18" t="str">
        <f aca="false">IF(OR(C2786="",D2786=""),"",IF(MOD(COUNTIFS($C$2:C2786,C2786,$D$2:D2786,D2786)*7,10)&lt;3,"teste","treino"))</f>
        <v/>
      </c>
      <c r="N2786" s="16"/>
      <c r="O2786" s="16"/>
      <c r="P2786" s="16"/>
      <c r="Q2786" s="17"/>
    </row>
    <row r="2787" customFormat="false" ht="15" hidden="false" customHeight="false" outlineLevel="0" collapsed="false">
      <c r="A2787" s="15" t="str">
        <f aca="false">IF(B2787="","",ROW()-1)</f>
        <v/>
      </c>
      <c r="B2787" s="16"/>
      <c r="C2787" s="16"/>
      <c r="D2787" s="16"/>
      <c r="E2787" s="16"/>
      <c r="F2787" s="17"/>
      <c r="G2787" s="16"/>
      <c r="H2787" s="16"/>
      <c r="I2787" s="16"/>
      <c r="J2787" s="16"/>
      <c r="K2787" s="16"/>
      <c r="L2787" s="16"/>
      <c r="M2787" s="18" t="str">
        <f aca="false">IF(OR(C2787="",D2787=""),"",IF(MOD(COUNTIFS($C$2:C2787,C2787,$D$2:D2787,D2787)*7,10)&lt;3,"teste","treino"))</f>
        <v/>
      </c>
      <c r="N2787" s="16"/>
      <c r="O2787" s="16"/>
      <c r="P2787" s="16"/>
      <c r="Q2787" s="17"/>
    </row>
    <row r="2788" customFormat="false" ht="15" hidden="false" customHeight="false" outlineLevel="0" collapsed="false">
      <c r="A2788" s="15" t="str">
        <f aca="false">IF(B2788="","",ROW()-1)</f>
        <v/>
      </c>
      <c r="B2788" s="16"/>
      <c r="C2788" s="16"/>
      <c r="D2788" s="16"/>
      <c r="E2788" s="16"/>
      <c r="F2788" s="17"/>
      <c r="G2788" s="16"/>
      <c r="H2788" s="16"/>
      <c r="I2788" s="16"/>
      <c r="J2788" s="16"/>
      <c r="K2788" s="16"/>
      <c r="L2788" s="16"/>
      <c r="M2788" s="18" t="str">
        <f aca="false">IF(OR(C2788="",D2788=""),"",IF(MOD(COUNTIFS($C$2:C2788,C2788,$D$2:D2788,D2788)*7,10)&lt;3,"teste","treino"))</f>
        <v/>
      </c>
      <c r="N2788" s="16"/>
      <c r="O2788" s="16"/>
      <c r="P2788" s="16"/>
      <c r="Q2788" s="17"/>
    </row>
    <row r="2789" customFormat="false" ht="15" hidden="false" customHeight="false" outlineLevel="0" collapsed="false">
      <c r="A2789" s="15" t="str">
        <f aca="false">IF(B2789="","",ROW()-1)</f>
        <v/>
      </c>
      <c r="B2789" s="16"/>
      <c r="C2789" s="16"/>
      <c r="D2789" s="16"/>
      <c r="E2789" s="16"/>
      <c r="F2789" s="17"/>
      <c r="G2789" s="16"/>
      <c r="H2789" s="16"/>
      <c r="I2789" s="16"/>
      <c r="J2789" s="16"/>
      <c r="K2789" s="16"/>
      <c r="L2789" s="16"/>
      <c r="M2789" s="18" t="str">
        <f aca="false">IF(OR(C2789="",D2789=""),"",IF(MOD(COUNTIFS($C$2:C2789,C2789,$D$2:D2789,D2789)*7,10)&lt;3,"teste","treino"))</f>
        <v/>
      </c>
      <c r="N2789" s="16"/>
      <c r="O2789" s="16"/>
      <c r="P2789" s="16"/>
      <c r="Q2789" s="17"/>
    </row>
    <row r="2790" customFormat="false" ht="15" hidden="false" customHeight="false" outlineLevel="0" collapsed="false">
      <c r="A2790" s="15" t="str">
        <f aca="false">IF(B2790="","",ROW()-1)</f>
        <v/>
      </c>
      <c r="B2790" s="16"/>
      <c r="C2790" s="16"/>
      <c r="D2790" s="16"/>
      <c r="E2790" s="16"/>
      <c r="F2790" s="17"/>
      <c r="G2790" s="16"/>
      <c r="H2790" s="16"/>
      <c r="I2790" s="16"/>
      <c r="J2790" s="16"/>
      <c r="K2790" s="16"/>
      <c r="L2790" s="16"/>
      <c r="M2790" s="18" t="str">
        <f aca="false">IF(OR(C2790="",D2790=""),"",IF(MOD(COUNTIFS($C$2:C2790,C2790,$D$2:D2790,D2790)*7,10)&lt;3,"teste","treino"))</f>
        <v/>
      </c>
      <c r="N2790" s="16"/>
      <c r="O2790" s="16"/>
      <c r="P2790" s="16"/>
      <c r="Q2790" s="17"/>
    </row>
    <row r="2791" customFormat="false" ht="15" hidden="false" customHeight="false" outlineLevel="0" collapsed="false">
      <c r="A2791" s="15" t="str">
        <f aca="false">IF(B2791="","",ROW()-1)</f>
        <v/>
      </c>
      <c r="B2791" s="16"/>
      <c r="C2791" s="16"/>
      <c r="D2791" s="16"/>
      <c r="E2791" s="16"/>
      <c r="F2791" s="17"/>
      <c r="G2791" s="16"/>
      <c r="H2791" s="16"/>
      <c r="I2791" s="16"/>
      <c r="J2791" s="16"/>
      <c r="K2791" s="16"/>
      <c r="L2791" s="16"/>
      <c r="M2791" s="18" t="str">
        <f aca="false">IF(OR(C2791="",D2791=""),"",IF(MOD(COUNTIFS($C$2:C2791,C2791,$D$2:D2791,D2791)*7,10)&lt;3,"teste","treino"))</f>
        <v/>
      </c>
      <c r="N2791" s="16"/>
      <c r="O2791" s="16"/>
      <c r="P2791" s="16"/>
      <c r="Q2791" s="17"/>
    </row>
    <row r="2792" customFormat="false" ht="15" hidden="false" customHeight="false" outlineLevel="0" collapsed="false">
      <c r="A2792" s="15" t="str">
        <f aca="false">IF(B2792="","",ROW()-1)</f>
        <v/>
      </c>
      <c r="B2792" s="16"/>
      <c r="C2792" s="16"/>
      <c r="D2792" s="16"/>
      <c r="E2792" s="16"/>
      <c r="F2792" s="17"/>
      <c r="G2792" s="16"/>
      <c r="H2792" s="16"/>
      <c r="I2792" s="16"/>
      <c r="J2792" s="16"/>
      <c r="K2792" s="16"/>
      <c r="L2792" s="16"/>
      <c r="M2792" s="18" t="str">
        <f aca="false">IF(OR(C2792="",D2792=""),"",IF(MOD(COUNTIFS($C$2:C2792,C2792,$D$2:D2792,D2792)*7,10)&lt;3,"teste","treino"))</f>
        <v/>
      </c>
      <c r="N2792" s="16"/>
      <c r="O2792" s="16"/>
      <c r="P2792" s="16"/>
      <c r="Q2792" s="17"/>
    </row>
    <row r="2793" customFormat="false" ht="15" hidden="false" customHeight="false" outlineLevel="0" collapsed="false">
      <c r="A2793" s="15" t="str">
        <f aca="false">IF(B2793="","",ROW()-1)</f>
        <v/>
      </c>
      <c r="B2793" s="16"/>
      <c r="C2793" s="16"/>
      <c r="D2793" s="16"/>
      <c r="E2793" s="16"/>
      <c r="F2793" s="17"/>
      <c r="G2793" s="16"/>
      <c r="H2793" s="16"/>
      <c r="I2793" s="16"/>
      <c r="J2793" s="16"/>
      <c r="K2793" s="16"/>
      <c r="L2793" s="16"/>
      <c r="M2793" s="18" t="str">
        <f aca="false">IF(OR(C2793="",D2793=""),"",IF(MOD(COUNTIFS($C$2:C2793,C2793,$D$2:D2793,D2793)*7,10)&lt;3,"teste","treino"))</f>
        <v/>
      </c>
      <c r="N2793" s="16"/>
      <c r="O2793" s="16"/>
      <c r="P2793" s="16"/>
      <c r="Q2793" s="17"/>
    </row>
    <row r="2794" customFormat="false" ht="15" hidden="false" customHeight="false" outlineLevel="0" collapsed="false">
      <c r="A2794" s="15" t="str">
        <f aca="false">IF(B2794="","",ROW()-1)</f>
        <v/>
      </c>
      <c r="B2794" s="16"/>
      <c r="C2794" s="16"/>
      <c r="D2794" s="16"/>
      <c r="E2794" s="16"/>
      <c r="F2794" s="17"/>
      <c r="G2794" s="16"/>
      <c r="H2794" s="16"/>
      <c r="I2794" s="16"/>
      <c r="J2794" s="16"/>
      <c r="K2794" s="16"/>
      <c r="L2794" s="16"/>
      <c r="M2794" s="18" t="str">
        <f aca="false">IF(OR(C2794="",D2794=""),"",IF(MOD(COUNTIFS($C$2:C2794,C2794,$D$2:D2794,D2794)*7,10)&lt;3,"teste","treino"))</f>
        <v/>
      </c>
      <c r="N2794" s="16"/>
      <c r="O2794" s="16"/>
      <c r="P2794" s="16"/>
      <c r="Q2794" s="17"/>
    </row>
    <row r="2795" customFormat="false" ht="15" hidden="false" customHeight="false" outlineLevel="0" collapsed="false">
      <c r="A2795" s="15" t="str">
        <f aca="false">IF(B2795="","",ROW()-1)</f>
        <v/>
      </c>
      <c r="B2795" s="16"/>
      <c r="C2795" s="16"/>
      <c r="D2795" s="16"/>
      <c r="E2795" s="16"/>
      <c r="F2795" s="17"/>
      <c r="G2795" s="16"/>
      <c r="H2795" s="16"/>
      <c r="I2795" s="16"/>
      <c r="J2795" s="16"/>
      <c r="K2795" s="16"/>
      <c r="L2795" s="16"/>
      <c r="M2795" s="18" t="str">
        <f aca="false">IF(OR(C2795="",D2795=""),"",IF(MOD(COUNTIFS($C$2:C2795,C2795,$D$2:D2795,D2795)*7,10)&lt;3,"teste","treino"))</f>
        <v/>
      </c>
      <c r="N2795" s="16"/>
      <c r="O2795" s="16"/>
      <c r="P2795" s="16"/>
      <c r="Q2795" s="17"/>
    </row>
    <row r="2796" customFormat="false" ht="15" hidden="false" customHeight="false" outlineLevel="0" collapsed="false">
      <c r="A2796" s="15" t="str">
        <f aca="false">IF(B2796="","",ROW()-1)</f>
        <v/>
      </c>
      <c r="B2796" s="16"/>
      <c r="C2796" s="16"/>
      <c r="D2796" s="16"/>
      <c r="E2796" s="16"/>
      <c r="F2796" s="17"/>
      <c r="G2796" s="16"/>
      <c r="H2796" s="16"/>
      <c r="I2796" s="16"/>
      <c r="J2796" s="16"/>
      <c r="K2796" s="16"/>
      <c r="L2796" s="16"/>
      <c r="M2796" s="18" t="str">
        <f aca="false">IF(OR(C2796="",D2796=""),"",IF(MOD(COUNTIFS($C$2:C2796,C2796,$D$2:D2796,D2796)*7,10)&lt;3,"teste","treino"))</f>
        <v/>
      </c>
      <c r="N2796" s="16"/>
      <c r="O2796" s="16"/>
      <c r="P2796" s="16"/>
      <c r="Q2796" s="17"/>
    </row>
    <row r="2797" customFormat="false" ht="15" hidden="false" customHeight="false" outlineLevel="0" collapsed="false">
      <c r="A2797" s="15" t="str">
        <f aca="false">IF(B2797="","",ROW()-1)</f>
        <v/>
      </c>
      <c r="B2797" s="16"/>
      <c r="C2797" s="16"/>
      <c r="D2797" s="16"/>
      <c r="E2797" s="16"/>
      <c r="F2797" s="17"/>
      <c r="G2797" s="16"/>
      <c r="H2797" s="16"/>
      <c r="I2797" s="16"/>
      <c r="J2797" s="16"/>
      <c r="K2797" s="16"/>
      <c r="L2797" s="16"/>
      <c r="M2797" s="18" t="str">
        <f aca="false">IF(OR(C2797="",D2797=""),"",IF(MOD(COUNTIFS($C$2:C2797,C2797,$D$2:D2797,D2797)*7,10)&lt;3,"teste","treino"))</f>
        <v/>
      </c>
      <c r="N2797" s="16"/>
      <c r="O2797" s="16"/>
      <c r="P2797" s="16"/>
      <c r="Q2797" s="17"/>
    </row>
    <row r="2798" customFormat="false" ht="15" hidden="false" customHeight="false" outlineLevel="0" collapsed="false">
      <c r="A2798" s="15" t="str">
        <f aca="false">IF(B2798="","",ROW()-1)</f>
        <v/>
      </c>
      <c r="B2798" s="16"/>
      <c r="C2798" s="16"/>
      <c r="D2798" s="16"/>
      <c r="E2798" s="16"/>
      <c r="F2798" s="17"/>
      <c r="G2798" s="16"/>
      <c r="H2798" s="16"/>
      <c r="I2798" s="16"/>
      <c r="J2798" s="16"/>
      <c r="K2798" s="16"/>
      <c r="L2798" s="16"/>
      <c r="M2798" s="18" t="str">
        <f aca="false">IF(OR(C2798="",D2798=""),"",IF(MOD(COUNTIFS($C$2:C2798,C2798,$D$2:D2798,D2798)*7,10)&lt;3,"teste","treino"))</f>
        <v/>
      </c>
      <c r="N2798" s="16"/>
      <c r="O2798" s="16"/>
      <c r="P2798" s="16"/>
      <c r="Q2798" s="17"/>
    </row>
    <row r="2799" customFormat="false" ht="15" hidden="false" customHeight="false" outlineLevel="0" collapsed="false">
      <c r="A2799" s="15" t="str">
        <f aca="false">IF(B2799="","",ROW()-1)</f>
        <v/>
      </c>
      <c r="B2799" s="16"/>
      <c r="C2799" s="16"/>
      <c r="D2799" s="16"/>
      <c r="E2799" s="16"/>
      <c r="F2799" s="17"/>
      <c r="G2799" s="16"/>
      <c r="H2799" s="16"/>
      <c r="I2799" s="16"/>
      <c r="J2799" s="16"/>
      <c r="K2799" s="16"/>
      <c r="L2799" s="16"/>
      <c r="M2799" s="18" t="str">
        <f aca="false">IF(OR(C2799="",D2799=""),"",IF(MOD(COUNTIFS($C$2:C2799,C2799,$D$2:D2799,D2799)*7,10)&lt;3,"teste","treino"))</f>
        <v/>
      </c>
      <c r="N2799" s="16"/>
      <c r="O2799" s="16"/>
      <c r="P2799" s="16"/>
      <c r="Q2799" s="17"/>
    </row>
    <row r="2800" customFormat="false" ht="15" hidden="false" customHeight="false" outlineLevel="0" collapsed="false">
      <c r="A2800" s="15" t="str">
        <f aca="false">IF(B2800="","",ROW()-1)</f>
        <v/>
      </c>
      <c r="B2800" s="16"/>
      <c r="C2800" s="16"/>
      <c r="D2800" s="16"/>
      <c r="E2800" s="16"/>
      <c r="F2800" s="17"/>
      <c r="G2800" s="16"/>
      <c r="H2800" s="16"/>
      <c r="I2800" s="16"/>
      <c r="J2800" s="16"/>
      <c r="K2800" s="16"/>
      <c r="L2800" s="16"/>
      <c r="M2800" s="18" t="str">
        <f aca="false">IF(OR(C2800="",D2800=""),"",IF(MOD(COUNTIFS($C$2:C2800,C2800,$D$2:D2800,D2800)*7,10)&lt;3,"teste","treino"))</f>
        <v/>
      </c>
      <c r="N2800" s="16"/>
      <c r="O2800" s="16"/>
      <c r="P2800" s="16"/>
      <c r="Q2800" s="17"/>
    </row>
    <row r="2801" customFormat="false" ht="15" hidden="false" customHeight="false" outlineLevel="0" collapsed="false">
      <c r="A2801" s="15" t="str">
        <f aca="false">IF(B2801="","",ROW()-1)</f>
        <v/>
      </c>
      <c r="B2801" s="16"/>
      <c r="C2801" s="16"/>
      <c r="D2801" s="16"/>
      <c r="E2801" s="16"/>
      <c r="F2801" s="17"/>
      <c r="G2801" s="16"/>
      <c r="H2801" s="16"/>
      <c r="I2801" s="16"/>
      <c r="J2801" s="16"/>
      <c r="K2801" s="16"/>
      <c r="L2801" s="16"/>
      <c r="M2801" s="18" t="str">
        <f aca="false">IF(OR(C2801="",D2801=""),"",IF(MOD(COUNTIFS($C$2:C2801,C2801,$D$2:D2801,D2801)*7,10)&lt;3,"teste","treino"))</f>
        <v/>
      </c>
      <c r="N2801" s="16"/>
      <c r="O2801" s="16"/>
      <c r="P2801" s="16"/>
      <c r="Q2801" s="17"/>
    </row>
    <row r="2802" customFormat="false" ht="15" hidden="false" customHeight="false" outlineLevel="0" collapsed="false">
      <c r="A2802" s="15" t="str">
        <f aca="false">IF(B2802="","",ROW()-1)</f>
        <v/>
      </c>
      <c r="B2802" s="16"/>
      <c r="C2802" s="16"/>
      <c r="D2802" s="16"/>
      <c r="E2802" s="16"/>
      <c r="F2802" s="17"/>
      <c r="G2802" s="16"/>
      <c r="H2802" s="16"/>
      <c r="I2802" s="16"/>
      <c r="J2802" s="16"/>
      <c r="K2802" s="16"/>
      <c r="L2802" s="16"/>
      <c r="M2802" s="18" t="str">
        <f aca="false">IF(OR(C2802="",D2802=""),"",IF(MOD(COUNTIFS($C$2:C2802,C2802,$D$2:D2802,D2802)*7,10)&lt;3,"teste","treino"))</f>
        <v/>
      </c>
      <c r="N2802" s="16"/>
      <c r="O2802" s="16"/>
      <c r="P2802" s="16"/>
      <c r="Q2802" s="17"/>
    </row>
    <row r="2803" customFormat="false" ht="15" hidden="false" customHeight="false" outlineLevel="0" collapsed="false">
      <c r="A2803" s="15" t="str">
        <f aca="false">IF(B2803="","",ROW()-1)</f>
        <v/>
      </c>
      <c r="B2803" s="16"/>
      <c r="C2803" s="16"/>
      <c r="D2803" s="16"/>
      <c r="E2803" s="16"/>
      <c r="F2803" s="17"/>
      <c r="G2803" s="16"/>
      <c r="H2803" s="16"/>
      <c r="I2803" s="16"/>
      <c r="J2803" s="16"/>
      <c r="K2803" s="16"/>
      <c r="L2803" s="16"/>
      <c r="M2803" s="18" t="str">
        <f aca="false">IF(OR(C2803="",D2803=""),"",IF(MOD(COUNTIFS($C$2:C2803,C2803,$D$2:D2803,D2803)*7,10)&lt;3,"teste","treino"))</f>
        <v/>
      </c>
      <c r="N2803" s="16"/>
      <c r="O2803" s="16"/>
      <c r="P2803" s="16"/>
      <c r="Q2803" s="17"/>
    </row>
    <row r="2804" customFormat="false" ht="15" hidden="false" customHeight="false" outlineLevel="0" collapsed="false">
      <c r="A2804" s="15" t="str">
        <f aca="false">IF(B2804="","",ROW()-1)</f>
        <v/>
      </c>
      <c r="B2804" s="16"/>
      <c r="C2804" s="16"/>
      <c r="D2804" s="16"/>
      <c r="E2804" s="16"/>
      <c r="F2804" s="17"/>
      <c r="G2804" s="16"/>
      <c r="H2804" s="16"/>
      <c r="I2804" s="16"/>
      <c r="J2804" s="16"/>
      <c r="K2804" s="16"/>
      <c r="L2804" s="16"/>
      <c r="M2804" s="18" t="str">
        <f aca="false">IF(OR(C2804="",D2804=""),"",IF(MOD(COUNTIFS($C$2:C2804,C2804,$D$2:D2804,D2804)*7,10)&lt;3,"teste","treino"))</f>
        <v/>
      </c>
      <c r="N2804" s="16"/>
      <c r="O2804" s="16"/>
      <c r="P2804" s="16"/>
      <c r="Q2804" s="17"/>
    </row>
    <row r="2805" customFormat="false" ht="15" hidden="false" customHeight="false" outlineLevel="0" collapsed="false">
      <c r="A2805" s="15" t="str">
        <f aca="false">IF(B2805="","",ROW()-1)</f>
        <v/>
      </c>
      <c r="B2805" s="16"/>
      <c r="C2805" s="16"/>
      <c r="D2805" s="16"/>
      <c r="E2805" s="16"/>
      <c r="F2805" s="17"/>
      <c r="G2805" s="16"/>
      <c r="H2805" s="16"/>
      <c r="I2805" s="16"/>
      <c r="J2805" s="16"/>
      <c r="K2805" s="16"/>
      <c r="L2805" s="16"/>
      <c r="M2805" s="18" t="str">
        <f aca="false">IF(OR(C2805="",D2805=""),"",IF(MOD(COUNTIFS($C$2:C2805,C2805,$D$2:D2805,D2805)*7,10)&lt;3,"teste","treino"))</f>
        <v/>
      </c>
      <c r="N2805" s="16"/>
      <c r="O2805" s="16"/>
      <c r="P2805" s="16"/>
      <c r="Q2805" s="17"/>
    </row>
    <row r="2806" customFormat="false" ht="15" hidden="false" customHeight="false" outlineLevel="0" collapsed="false">
      <c r="A2806" s="15" t="str">
        <f aca="false">IF(B2806="","",ROW()-1)</f>
        <v/>
      </c>
      <c r="B2806" s="16"/>
      <c r="C2806" s="16"/>
      <c r="D2806" s="16"/>
      <c r="E2806" s="16"/>
      <c r="F2806" s="17"/>
      <c r="G2806" s="16"/>
      <c r="H2806" s="16"/>
      <c r="I2806" s="16"/>
      <c r="J2806" s="16"/>
      <c r="K2806" s="16"/>
      <c r="L2806" s="16"/>
      <c r="M2806" s="18" t="str">
        <f aca="false">IF(OR(C2806="",D2806=""),"",IF(MOD(COUNTIFS($C$2:C2806,C2806,$D$2:D2806,D2806)*7,10)&lt;3,"teste","treino"))</f>
        <v/>
      </c>
      <c r="N2806" s="16"/>
      <c r="O2806" s="16"/>
      <c r="P2806" s="16"/>
      <c r="Q2806" s="17"/>
    </row>
    <row r="2807" customFormat="false" ht="15" hidden="false" customHeight="false" outlineLevel="0" collapsed="false">
      <c r="A2807" s="15" t="str">
        <f aca="false">IF(B2807="","",ROW()-1)</f>
        <v/>
      </c>
      <c r="B2807" s="16"/>
      <c r="C2807" s="16"/>
      <c r="D2807" s="16"/>
      <c r="E2807" s="16"/>
      <c r="F2807" s="17"/>
      <c r="G2807" s="16"/>
      <c r="H2807" s="16"/>
      <c r="I2807" s="16"/>
      <c r="J2807" s="16"/>
      <c r="K2807" s="16"/>
      <c r="L2807" s="16"/>
      <c r="M2807" s="18" t="str">
        <f aca="false">IF(OR(C2807="",D2807=""),"",IF(MOD(COUNTIFS($C$2:C2807,C2807,$D$2:D2807,D2807)*7,10)&lt;3,"teste","treino"))</f>
        <v/>
      </c>
      <c r="N2807" s="16"/>
      <c r="O2807" s="16"/>
      <c r="P2807" s="16"/>
      <c r="Q2807" s="17"/>
    </row>
    <row r="2808" customFormat="false" ht="15" hidden="false" customHeight="false" outlineLevel="0" collapsed="false">
      <c r="A2808" s="15" t="str">
        <f aca="false">IF(B2808="","",ROW()-1)</f>
        <v/>
      </c>
      <c r="B2808" s="16"/>
      <c r="C2808" s="16"/>
      <c r="D2808" s="16"/>
      <c r="E2808" s="16"/>
      <c r="F2808" s="17"/>
      <c r="G2808" s="16"/>
      <c r="H2808" s="16"/>
      <c r="I2808" s="16"/>
      <c r="J2808" s="16"/>
      <c r="K2808" s="16"/>
      <c r="L2808" s="16"/>
      <c r="M2808" s="18" t="str">
        <f aca="false">IF(OR(C2808="",D2808=""),"",IF(MOD(COUNTIFS($C$2:C2808,C2808,$D$2:D2808,D2808)*7,10)&lt;3,"teste","treino"))</f>
        <v/>
      </c>
      <c r="N2808" s="16"/>
      <c r="O2808" s="16"/>
      <c r="P2808" s="16"/>
      <c r="Q2808" s="17"/>
    </row>
    <row r="2809" customFormat="false" ht="15" hidden="false" customHeight="false" outlineLevel="0" collapsed="false">
      <c r="A2809" s="15" t="str">
        <f aca="false">IF(B2809="","",ROW()-1)</f>
        <v/>
      </c>
      <c r="B2809" s="16"/>
      <c r="C2809" s="16"/>
      <c r="D2809" s="16"/>
      <c r="E2809" s="16"/>
      <c r="F2809" s="17"/>
      <c r="G2809" s="16"/>
      <c r="H2809" s="16"/>
      <c r="I2809" s="16"/>
      <c r="J2809" s="16"/>
      <c r="K2809" s="16"/>
      <c r="L2809" s="16"/>
      <c r="M2809" s="18" t="str">
        <f aca="false">IF(OR(C2809="",D2809=""),"",IF(MOD(COUNTIFS($C$2:C2809,C2809,$D$2:D2809,D2809)*7,10)&lt;3,"teste","treino"))</f>
        <v/>
      </c>
      <c r="N2809" s="16"/>
      <c r="O2809" s="16"/>
      <c r="P2809" s="16"/>
      <c r="Q2809" s="17"/>
    </row>
    <row r="2810" customFormat="false" ht="15" hidden="false" customHeight="false" outlineLevel="0" collapsed="false">
      <c r="A2810" s="15" t="str">
        <f aca="false">IF(B2810="","",ROW()-1)</f>
        <v/>
      </c>
      <c r="B2810" s="16"/>
      <c r="C2810" s="16"/>
      <c r="D2810" s="16"/>
      <c r="E2810" s="16"/>
      <c r="F2810" s="17"/>
      <c r="G2810" s="16"/>
      <c r="H2810" s="16"/>
      <c r="I2810" s="16"/>
      <c r="J2810" s="16"/>
      <c r="K2810" s="16"/>
      <c r="L2810" s="16"/>
      <c r="M2810" s="18" t="str">
        <f aca="false">IF(OR(C2810="",D2810=""),"",IF(MOD(COUNTIFS($C$2:C2810,C2810,$D$2:D2810,D2810)*7,10)&lt;3,"teste","treino"))</f>
        <v/>
      </c>
      <c r="N2810" s="16"/>
      <c r="O2810" s="16"/>
      <c r="P2810" s="16"/>
      <c r="Q2810" s="17"/>
    </row>
    <row r="2811" customFormat="false" ht="15" hidden="false" customHeight="false" outlineLevel="0" collapsed="false">
      <c r="A2811" s="15" t="str">
        <f aca="false">IF(B2811="","",ROW()-1)</f>
        <v/>
      </c>
      <c r="B2811" s="16"/>
      <c r="C2811" s="16"/>
      <c r="D2811" s="16"/>
      <c r="E2811" s="16"/>
      <c r="F2811" s="17"/>
      <c r="G2811" s="16"/>
      <c r="H2811" s="16"/>
      <c r="I2811" s="16"/>
      <c r="J2811" s="16"/>
      <c r="K2811" s="16"/>
      <c r="L2811" s="16"/>
      <c r="M2811" s="18" t="str">
        <f aca="false">IF(OR(C2811="",D2811=""),"",IF(MOD(COUNTIFS($C$2:C2811,C2811,$D$2:D2811,D2811)*7,10)&lt;3,"teste","treino"))</f>
        <v/>
      </c>
      <c r="N2811" s="16"/>
      <c r="O2811" s="16"/>
      <c r="P2811" s="16"/>
      <c r="Q2811" s="17"/>
    </row>
    <row r="2812" customFormat="false" ht="15" hidden="false" customHeight="false" outlineLevel="0" collapsed="false">
      <c r="A2812" s="15" t="str">
        <f aca="false">IF(B2812="","",ROW()-1)</f>
        <v/>
      </c>
      <c r="B2812" s="16"/>
      <c r="C2812" s="16"/>
      <c r="D2812" s="16"/>
      <c r="E2812" s="16"/>
      <c r="F2812" s="17"/>
      <c r="G2812" s="16"/>
      <c r="H2812" s="16"/>
      <c r="I2812" s="16"/>
      <c r="J2812" s="16"/>
      <c r="K2812" s="16"/>
      <c r="L2812" s="16"/>
      <c r="M2812" s="18" t="str">
        <f aca="false">IF(OR(C2812="",D2812=""),"",IF(MOD(COUNTIFS($C$2:C2812,C2812,$D$2:D2812,D2812)*7,10)&lt;3,"teste","treino"))</f>
        <v/>
      </c>
      <c r="N2812" s="16"/>
      <c r="O2812" s="16"/>
      <c r="P2812" s="16"/>
      <c r="Q2812" s="17"/>
    </row>
    <row r="2813" customFormat="false" ht="15" hidden="false" customHeight="false" outlineLevel="0" collapsed="false">
      <c r="A2813" s="15" t="str">
        <f aca="false">IF(B2813="","",ROW()-1)</f>
        <v/>
      </c>
      <c r="B2813" s="16"/>
      <c r="C2813" s="16"/>
      <c r="D2813" s="16"/>
      <c r="E2813" s="16"/>
      <c r="F2813" s="17"/>
      <c r="G2813" s="16"/>
      <c r="H2813" s="16"/>
      <c r="I2813" s="16"/>
      <c r="J2813" s="16"/>
      <c r="K2813" s="16"/>
      <c r="L2813" s="16"/>
      <c r="M2813" s="18" t="str">
        <f aca="false">IF(OR(C2813="",D2813=""),"",IF(MOD(COUNTIFS($C$2:C2813,C2813,$D$2:D2813,D2813)*7,10)&lt;3,"teste","treino"))</f>
        <v/>
      </c>
      <c r="N2813" s="16"/>
      <c r="O2813" s="16"/>
      <c r="P2813" s="16"/>
      <c r="Q2813" s="17"/>
    </row>
    <row r="2814" customFormat="false" ht="15" hidden="false" customHeight="false" outlineLevel="0" collapsed="false">
      <c r="A2814" s="15" t="str">
        <f aca="false">IF(B2814="","",ROW()-1)</f>
        <v/>
      </c>
      <c r="B2814" s="16"/>
      <c r="C2814" s="16"/>
      <c r="D2814" s="16"/>
      <c r="E2814" s="16"/>
      <c r="F2814" s="17"/>
      <c r="G2814" s="16"/>
      <c r="H2814" s="16"/>
      <c r="I2814" s="16"/>
      <c r="J2814" s="16"/>
      <c r="K2814" s="16"/>
      <c r="L2814" s="16"/>
      <c r="M2814" s="18" t="str">
        <f aca="false">IF(OR(C2814="",D2814=""),"",IF(MOD(COUNTIFS($C$2:C2814,C2814,$D$2:D2814,D2814)*7,10)&lt;3,"teste","treino"))</f>
        <v/>
      </c>
      <c r="N2814" s="16"/>
      <c r="O2814" s="16"/>
      <c r="P2814" s="16"/>
      <c r="Q2814" s="17"/>
    </row>
    <row r="2815" customFormat="false" ht="15" hidden="false" customHeight="false" outlineLevel="0" collapsed="false">
      <c r="A2815" s="15" t="str">
        <f aca="false">IF(B2815="","",ROW()-1)</f>
        <v/>
      </c>
      <c r="B2815" s="16"/>
      <c r="C2815" s="16"/>
      <c r="D2815" s="16"/>
      <c r="E2815" s="16"/>
      <c r="F2815" s="17"/>
      <c r="G2815" s="16"/>
      <c r="H2815" s="16"/>
      <c r="I2815" s="16"/>
      <c r="J2815" s="16"/>
      <c r="K2815" s="16"/>
      <c r="L2815" s="16"/>
      <c r="M2815" s="18" t="str">
        <f aca="false">IF(OR(C2815="",D2815=""),"",IF(MOD(COUNTIFS($C$2:C2815,C2815,$D$2:D2815,D2815)*7,10)&lt;3,"teste","treino"))</f>
        <v/>
      </c>
      <c r="N2815" s="16"/>
      <c r="O2815" s="16"/>
      <c r="P2815" s="16"/>
      <c r="Q2815" s="17"/>
    </row>
    <row r="2816" customFormat="false" ht="15" hidden="false" customHeight="false" outlineLevel="0" collapsed="false">
      <c r="A2816" s="15" t="str">
        <f aca="false">IF(B2816="","",ROW()-1)</f>
        <v/>
      </c>
      <c r="B2816" s="16"/>
      <c r="C2816" s="16"/>
      <c r="D2816" s="16"/>
      <c r="E2816" s="16"/>
      <c r="F2816" s="17"/>
      <c r="G2816" s="16"/>
      <c r="H2816" s="16"/>
      <c r="I2816" s="16"/>
      <c r="J2816" s="16"/>
      <c r="K2816" s="16"/>
      <c r="L2816" s="16"/>
      <c r="M2816" s="18" t="str">
        <f aca="false">IF(OR(C2816="",D2816=""),"",IF(MOD(COUNTIFS($C$2:C2816,C2816,$D$2:D2816,D2816)*7,10)&lt;3,"teste","treino"))</f>
        <v/>
      </c>
      <c r="N2816" s="16"/>
      <c r="O2816" s="16"/>
      <c r="P2816" s="16"/>
      <c r="Q2816" s="17"/>
    </row>
    <row r="2817" customFormat="false" ht="15" hidden="false" customHeight="false" outlineLevel="0" collapsed="false">
      <c r="A2817" s="15" t="str">
        <f aca="false">IF(B2817="","",ROW()-1)</f>
        <v/>
      </c>
      <c r="B2817" s="16"/>
      <c r="C2817" s="16"/>
      <c r="D2817" s="16"/>
      <c r="E2817" s="16"/>
      <c r="F2817" s="17"/>
      <c r="G2817" s="16"/>
      <c r="H2817" s="16"/>
      <c r="I2817" s="16"/>
      <c r="J2817" s="16"/>
      <c r="K2817" s="16"/>
      <c r="L2817" s="16"/>
      <c r="M2817" s="18" t="str">
        <f aca="false">IF(OR(C2817="",D2817=""),"",IF(MOD(COUNTIFS($C$2:C2817,C2817,$D$2:D2817,D2817)*7,10)&lt;3,"teste","treino"))</f>
        <v/>
      </c>
      <c r="N2817" s="16"/>
      <c r="O2817" s="16"/>
      <c r="P2817" s="16"/>
      <c r="Q2817" s="17"/>
    </row>
    <row r="2818" customFormat="false" ht="15" hidden="false" customHeight="false" outlineLevel="0" collapsed="false">
      <c r="A2818" s="15" t="str">
        <f aca="false">IF(B2818="","",ROW()-1)</f>
        <v/>
      </c>
      <c r="B2818" s="16"/>
      <c r="C2818" s="16"/>
      <c r="D2818" s="16"/>
      <c r="E2818" s="16"/>
      <c r="F2818" s="17"/>
      <c r="G2818" s="16"/>
      <c r="H2818" s="16"/>
      <c r="I2818" s="16"/>
      <c r="J2818" s="16"/>
      <c r="K2818" s="16"/>
      <c r="L2818" s="16"/>
      <c r="M2818" s="18" t="str">
        <f aca="false">IF(OR(C2818="",D2818=""),"",IF(MOD(COUNTIFS($C$2:C2818,C2818,$D$2:D2818,D2818)*7,10)&lt;3,"teste","treino"))</f>
        <v/>
      </c>
      <c r="N2818" s="16"/>
      <c r="O2818" s="16"/>
      <c r="P2818" s="16"/>
      <c r="Q2818" s="17"/>
    </row>
    <row r="2819" customFormat="false" ht="15" hidden="false" customHeight="false" outlineLevel="0" collapsed="false">
      <c r="A2819" s="15" t="str">
        <f aca="false">IF(B2819="","",ROW()-1)</f>
        <v/>
      </c>
      <c r="B2819" s="16"/>
      <c r="C2819" s="16"/>
      <c r="D2819" s="16"/>
      <c r="E2819" s="16"/>
      <c r="F2819" s="17"/>
      <c r="G2819" s="16"/>
      <c r="H2819" s="16"/>
      <c r="I2819" s="16"/>
      <c r="J2819" s="16"/>
      <c r="K2819" s="16"/>
      <c r="L2819" s="16"/>
      <c r="M2819" s="18" t="str">
        <f aca="false">IF(OR(C2819="",D2819=""),"",IF(MOD(COUNTIFS($C$2:C2819,C2819,$D$2:D2819,D2819)*7,10)&lt;3,"teste","treino"))</f>
        <v/>
      </c>
      <c r="N2819" s="16"/>
      <c r="O2819" s="16"/>
      <c r="P2819" s="16"/>
      <c r="Q2819" s="17"/>
    </row>
    <row r="2820" customFormat="false" ht="15" hidden="false" customHeight="false" outlineLevel="0" collapsed="false">
      <c r="A2820" s="15" t="str">
        <f aca="false">IF(B2820="","",ROW()-1)</f>
        <v/>
      </c>
      <c r="B2820" s="16"/>
      <c r="C2820" s="16"/>
      <c r="D2820" s="16"/>
      <c r="E2820" s="16"/>
      <c r="F2820" s="17"/>
      <c r="G2820" s="16"/>
      <c r="H2820" s="16"/>
      <c r="I2820" s="16"/>
      <c r="J2820" s="16"/>
      <c r="K2820" s="16"/>
      <c r="L2820" s="16"/>
      <c r="M2820" s="18" t="str">
        <f aca="false">IF(OR(C2820="",D2820=""),"",IF(MOD(COUNTIFS($C$2:C2820,C2820,$D$2:D2820,D2820)*7,10)&lt;3,"teste","treino"))</f>
        <v/>
      </c>
      <c r="N2820" s="16"/>
      <c r="O2820" s="16"/>
      <c r="P2820" s="16"/>
      <c r="Q2820" s="17"/>
    </row>
    <row r="2821" customFormat="false" ht="15" hidden="false" customHeight="false" outlineLevel="0" collapsed="false">
      <c r="A2821" s="15" t="str">
        <f aca="false">IF(B2821="","",ROW()-1)</f>
        <v/>
      </c>
      <c r="B2821" s="16"/>
      <c r="C2821" s="16"/>
      <c r="D2821" s="16"/>
      <c r="E2821" s="16"/>
      <c r="F2821" s="17"/>
      <c r="G2821" s="16"/>
      <c r="H2821" s="16"/>
      <c r="I2821" s="16"/>
      <c r="J2821" s="16"/>
      <c r="K2821" s="16"/>
      <c r="L2821" s="16"/>
      <c r="M2821" s="18" t="str">
        <f aca="false">IF(OR(C2821="",D2821=""),"",IF(MOD(COUNTIFS($C$2:C2821,C2821,$D$2:D2821,D2821)*7,10)&lt;3,"teste","treino"))</f>
        <v/>
      </c>
      <c r="N2821" s="16"/>
      <c r="O2821" s="16"/>
      <c r="P2821" s="16"/>
      <c r="Q2821" s="17"/>
    </row>
    <row r="2822" customFormat="false" ht="15" hidden="false" customHeight="false" outlineLevel="0" collapsed="false">
      <c r="A2822" s="15" t="str">
        <f aca="false">IF(B2822="","",ROW()-1)</f>
        <v/>
      </c>
      <c r="B2822" s="16"/>
      <c r="C2822" s="16"/>
      <c r="D2822" s="16"/>
      <c r="E2822" s="16"/>
      <c r="F2822" s="17"/>
      <c r="G2822" s="16"/>
      <c r="H2822" s="16"/>
      <c r="I2822" s="16"/>
      <c r="J2822" s="16"/>
      <c r="K2822" s="16"/>
      <c r="L2822" s="16"/>
      <c r="M2822" s="18" t="str">
        <f aca="false">IF(OR(C2822="",D2822=""),"",IF(MOD(COUNTIFS($C$2:C2822,C2822,$D$2:D2822,D2822)*7,10)&lt;3,"teste","treino"))</f>
        <v/>
      </c>
      <c r="N2822" s="16"/>
      <c r="O2822" s="16"/>
      <c r="P2822" s="16"/>
      <c r="Q2822" s="17"/>
    </row>
    <row r="2823" customFormat="false" ht="15" hidden="false" customHeight="false" outlineLevel="0" collapsed="false">
      <c r="A2823" s="15" t="str">
        <f aca="false">IF(B2823="","",ROW()-1)</f>
        <v/>
      </c>
      <c r="B2823" s="16"/>
      <c r="C2823" s="16"/>
      <c r="D2823" s="16"/>
      <c r="E2823" s="16"/>
      <c r="F2823" s="17"/>
      <c r="G2823" s="16"/>
      <c r="H2823" s="16"/>
      <c r="I2823" s="16"/>
      <c r="J2823" s="16"/>
      <c r="K2823" s="16"/>
      <c r="L2823" s="16"/>
      <c r="M2823" s="18" t="str">
        <f aca="false">IF(OR(C2823="",D2823=""),"",IF(MOD(COUNTIFS($C$2:C2823,C2823,$D$2:D2823,D2823)*7,10)&lt;3,"teste","treino"))</f>
        <v/>
      </c>
      <c r="N2823" s="16"/>
      <c r="O2823" s="16"/>
      <c r="P2823" s="16"/>
      <c r="Q2823" s="17"/>
    </row>
    <row r="2824" customFormat="false" ht="15" hidden="false" customHeight="false" outlineLevel="0" collapsed="false">
      <c r="A2824" s="15" t="str">
        <f aca="false">IF(B2824="","",ROW()-1)</f>
        <v/>
      </c>
      <c r="B2824" s="16"/>
      <c r="C2824" s="16"/>
      <c r="D2824" s="16"/>
      <c r="E2824" s="16"/>
      <c r="F2824" s="17"/>
      <c r="G2824" s="16"/>
      <c r="H2824" s="16"/>
      <c r="I2824" s="16"/>
      <c r="J2824" s="16"/>
      <c r="K2824" s="16"/>
      <c r="L2824" s="16"/>
      <c r="M2824" s="18" t="str">
        <f aca="false">IF(OR(C2824="",D2824=""),"",IF(MOD(COUNTIFS($C$2:C2824,C2824,$D$2:D2824,D2824)*7,10)&lt;3,"teste","treino"))</f>
        <v/>
      </c>
      <c r="N2824" s="16"/>
      <c r="O2824" s="16"/>
      <c r="P2824" s="16"/>
      <c r="Q2824" s="17"/>
    </row>
    <row r="2825" customFormat="false" ht="15" hidden="false" customHeight="false" outlineLevel="0" collapsed="false">
      <c r="A2825" s="15" t="str">
        <f aca="false">IF(B2825="","",ROW()-1)</f>
        <v/>
      </c>
      <c r="B2825" s="16"/>
      <c r="C2825" s="16"/>
      <c r="D2825" s="16"/>
      <c r="E2825" s="16"/>
      <c r="F2825" s="17"/>
      <c r="G2825" s="16"/>
      <c r="H2825" s="16"/>
      <c r="I2825" s="16"/>
      <c r="J2825" s="16"/>
      <c r="K2825" s="16"/>
      <c r="L2825" s="16"/>
      <c r="M2825" s="18" t="str">
        <f aca="false">IF(OR(C2825="",D2825=""),"",IF(MOD(COUNTIFS($C$2:C2825,C2825,$D$2:D2825,D2825)*7,10)&lt;3,"teste","treino"))</f>
        <v/>
      </c>
      <c r="N2825" s="16"/>
      <c r="O2825" s="16"/>
      <c r="P2825" s="16"/>
      <c r="Q2825" s="17"/>
    </row>
    <row r="2826" customFormat="false" ht="15" hidden="false" customHeight="false" outlineLevel="0" collapsed="false">
      <c r="A2826" s="15" t="str">
        <f aca="false">IF(B2826="","",ROW()-1)</f>
        <v/>
      </c>
      <c r="B2826" s="16"/>
      <c r="C2826" s="16"/>
      <c r="D2826" s="16"/>
      <c r="E2826" s="16"/>
      <c r="F2826" s="17"/>
      <c r="G2826" s="16"/>
      <c r="H2826" s="16"/>
      <c r="I2826" s="16"/>
      <c r="J2826" s="16"/>
      <c r="K2826" s="16"/>
      <c r="L2826" s="16"/>
      <c r="M2826" s="18" t="str">
        <f aca="false">IF(OR(C2826="",D2826=""),"",IF(MOD(COUNTIFS($C$2:C2826,C2826,$D$2:D2826,D2826)*7,10)&lt;3,"teste","treino"))</f>
        <v/>
      </c>
      <c r="N2826" s="16"/>
      <c r="O2826" s="16"/>
      <c r="P2826" s="16"/>
      <c r="Q2826" s="17"/>
    </row>
    <row r="2827" customFormat="false" ht="15" hidden="false" customHeight="false" outlineLevel="0" collapsed="false">
      <c r="A2827" s="15" t="str">
        <f aca="false">IF(B2827="","",ROW()-1)</f>
        <v/>
      </c>
      <c r="B2827" s="16"/>
      <c r="C2827" s="16"/>
      <c r="D2827" s="16"/>
      <c r="E2827" s="16"/>
      <c r="F2827" s="17"/>
      <c r="G2827" s="16"/>
      <c r="H2827" s="16"/>
      <c r="I2827" s="16"/>
      <c r="J2827" s="16"/>
      <c r="K2827" s="16"/>
      <c r="L2827" s="16"/>
      <c r="M2827" s="18" t="str">
        <f aca="false">IF(OR(C2827="",D2827=""),"",IF(MOD(COUNTIFS($C$2:C2827,C2827,$D$2:D2827,D2827)*7,10)&lt;3,"teste","treino"))</f>
        <v/>
      </c>
      <c r="N2827" s="16"/>
      <c r="O2827" s="16"/>
      <c r="P2827" s="16"/>
      <c r="Q2827" s="17"/>
    </row>
    <row r="2828" customFormat="false" ht="15" hidden="false" customHeight="false" outlineLevel="0" collapsed="false">
      <c r="A2828" s="15" t="str">
        <f aca="false">IF(B2828="","",ROW()-1)</f>
        <v/>
      </c>
      <c r="B2828" s="16"/>
      <c r="C2828" s="16"/>
      <c r="D2828" s="16"/>
      <c r="E2828" s="16"/>
      <c r="F2828" s="17"/>
      <c r="G2828" s="16"/>
      <c r="H2828" s="16"/>
      <c r="I2828" s="16"/>
      <c r="J2828" s="16"/>
      <c r="K2828" s="16"/>
      <c r="L2828" s="16"/>
      <c r="M2828" s="18" t="str">
        <f aca="false">IF(OR(C2828="",D2828=""),"",IF(MOD(COUNTIFS($C$2:C2828,C2828,$D$2:D2828,D2828)*7,10)&lt;3,"teste","treino"))</f>
        <v/>
      </c>
      <c r="N2828" s="16"/>
      <c r="O2828" s="16"/>
      <c r="P2828" s="16"/>
      <c r="Q2828" s="17"/>
    </row>
    <row r="2829" customFormat="false" ht="15" hidden="false" customHeight="false" outlineLevel="0" collapsed="false">
      <c r="A2829" s="15" t="str">
        <f aca="false">IF(B2829="","",ROW()-1)</f>
        <v/>
      </c>
      <c r="B2829" s="16"/>
      <c r="C2829" s="16"/>
      <c r="D2829" s="16"/>
      <c r="E2829" s="16"/>
      <c r="F2829" s="17"/>
      <c r="G2829" s="16"/>
      <c r="H2829" s="16"/>
      <c r="I2829" s="16"/>
      <c r="J2829" s="16"/>
      <c r="K2829" s="16"/>
      <c r="L2829" s="16"/>
      <c r="M2829" s="18" t="str">
        <f aca="false">IF(OR(C2829="",D2829=""),"",IF(MOD(COUNTIFS($C$2:C2829,C2829,$D$2:D2829,D2829)*7,10)&lt;3,"teste","treino"))</f>
        <v/>
      </c>
      <c r="N2829" s="16"/>
      <c r="O2829" s="16"/>
      <c r="P2829" s="16"/>
      <c r="Q2829" s="17"/>
    </row>
    <row r="2830" customFormat="false" ht="15" hidden="false" customHeight="false" outlineLevel="0" collapsed="false">
      <c r="A2830" s="15" t="str">
        <f aca="false">IF(B2830="","",ROW()-1)</f>
        <v/>
      </c>
      <c r="B2830" s="16"/>
      <c r="C2830" s="16"/>
      <c r="D2830" s="16"/>
      <c r="E2830" s="16"/>
      <c r="F2830" s="17"/>
      <c r="G2830" s="16"/>
      <c r="H2830" s="16"/>
      <c r="I2830" s="16"/>
      <c r="J2830" s="16"/>
      <c r="K2830" s="16"/>
      <c r="L2830" s="16"/>
      <c r="M2830" s="18" t="str">
        <f aca="false">IF(OR(C2830="",D2830=""),"",IF(MOD(COUNTIFS($C$2:C2830,C2830,$D$2:D2830,D2830)*7,10)&lt;3,"teste","treino"))</f>
        <v/>
      </c>
      <c r="N2830" s="16"/>
      <c r="O2830" s="16"/>
      <c r="P2830" s="16"/>
      <c r="Q2830" s="17"/>
    </row>
    <row r="2831" customFormat="false" ht="15" hidden="false" customHeight="false" outlineLevel="0" collapsed="false">
      <c r="A2831" s="15" t="str">
        <f aca="false">IF(B2831="","",ROW()-1)</f>
        <v/>
      </c>
      <c r="B2831" s="16"/>
      <c r="C2831" s="16"/>
      <c r="D2831" s="16"/>
      <c r="E2831" s="16"/>
      <c r="F2831" s="17"/>
      <c r="G2831" s="16"/>
      <c r="H2831" s="16"/>
      <c r="I2831" s="16"/>
      <c r="J2831" s="16"/>
      <c r="K2831" s="16"/>
      <c r="L2831" s="16"/>
      <c r="M2831" s="18" t="str">
        <f aca="false">IF(OR(C2831="",D2831=""),"",IF(MOD(COUNTIFS($C$2:C2831,C2831,$D$2:D2831,D2831)*7,10)&lt;3,"teste","treino"))</f>
        <v/>
      </c>
      <c r="N2831" s="16"/>
      <c r="O2831" s="16"/>
      <c r="P2831" s="16"/>
      <c r="Q2831" s="17"/>
    </row>
    <row r="2832" customFormat="false" ht="15" hidden="false" customHeight="false" outlineLevel="0" collapsed="false">
      <c r="A2832" s="15" t="str">
        <f aca="false">IF(B2832="","",ROW()-1)</f>
        <v/>
      </c>
      <c r="B2832" s="16"/>
      <c r="C2832" s="16"/>
      <c r="D2832" s="16"/>
      <c r="E2832" s="16"/>
      <c r="F2832" s="17"/>
      <c r="G2832" s="16"/>
      <c r="H2832" s="16"/>
      <c r="I2832" s="16"/>
      <c r="J2832" s="16"/>
      <c r="K2832" s="16"/>
      <c r="L2832" s="16"/>
      <c r="M2832" s="18" t="str">
        <f aca="false">IF(OR(C2832="",D2832=""),"",IF(MOD(COUNTIFS($C$2:C2832,C2832,$D$2:D2832,D2832)*7,10)&lt;3,"teste","treino"))</f>
        <v/>
      </c>
      <c r="N2832" s="16"/>
      <c r="O2832" s="16"/>
      <c r="P2832" s="16"/>
      <c r="Q2832" s="17"/>
    </row>
    <row r="2833" customFormat="false" ht="15" hidden="false" customHeight="false" outlineLevel="0" collapsed="false">
      <c r="A2833" s="15" t="str">
        <f aca="false">IF(B2833="","",ROW()-1)</f>
        <v/>
      </c>
      <c r="B2833" s="16"/>
      <c r="C2833" s="16"/>
      <c r="D2833" s="16"/>
      <c r="E2833" s="16"/>
      <c r="F2833" s="17"/>
      <c r="G2833" s="16"/>
      <c r="H2833" s="16"/>
      <c r="I2833" s="16"/>
      <c r="J2833" s="16"/>
      <c r="K2833" s="16"/>
      <c r="L2833" s="16"/>
      <c r="M2833" s="18" t="str">
        <f aca="false">IF(OR(C2833="",D2833=""),"",IF(MOD(COUNTIFS($C$2:C2833,C2833,$D$2:D2833,D2833)*7,10)&lt;3,"teste","treino"))</f>
        <v/>
      </c>
      <c r="N2833" s="16"/>
      <c r="O2833" s="16"/>
      <c r="P2833" s="16"/>
      <c r="Q2833" s="17"/>
    </row>
    <row r="2834" customFormat="false" ht="15" hidden="false" customHeight="false" outlineLevel="0" collapsed="false">
      <c r="A2834" s="15" t="str">
        <f aca="false">IF(B2834="","",ROW()-1)</f>
        <v/>
      </c>
      <c r="B2834" s="16"/>
      <c r="C2834" s="16"/>
      <c r="D2834" s="16"/>
      <c r="E2834" s="16"/>
      <c r="F2834" s="17"/>
      <c r="G2834" s="16"/>
      <c r="H2834" s="16"/>
      <c r="I2834" s="16"/>
      <c r="J2834" s="16"/>
      <c r="K2834" s="16"/>
      <c r="L2834" s="16"/>
      <c r="M2834" s="18" t="str">
        <f aca="false">IF(OR(C2834="",D2834=""),"",IF(MOD(COUNTIFS($C$2:C2834,C2834,$D$2:D2834,D2834)*7,10)&lt;3,"teste","treino"))</f>
        <v/>
      </c>
      <c r="N2834" s="16"/>
      <c r="O2834" s="16"/>
      <c r="P2834" s="16"/>
      <c r="Q2834" s="17"/>
    </row>
    <row r="2835" customFormat="false" ht="15" hidden="false" customHeight="false" outlineLevel="0" collapsed="false">
      <c r="A2835" s="15" t="str">
        <f aca="false">IF(B2835="","",ROW()-1)</f>
        <v/>
      </c>
      <c r="B2835" s="16"/>
      <c r="C2835" s="16"/>
      <c r="D2835" s="16"/>
      <c r="E2835" s="16"/>
      <c r="F2835" s="17"/>
      <c r="G2835" s="16"/>
      <c r="H2835" s="16"/>
      <c r="I2835" s="16"/>
      <c r="J2835" s="16"/>
      <c r="K2835" s="16"/>
      <c r="L2835" s="16"/>
      <c r="M2835" s="18" t="str">
        <f aca="false">IF(OR(C2835="",D2835=""),"",IF(MOD(COUNTIFS($C$2:C2835,C2835,$D$2:D2835,D2835)*7,10)&lt;3,"teste","treino"))</f>
        <v/>
      </c>
      <c r="N2835" s="16"/>
      <c r="O2835" s="16"/>
      <c r="P2835" s="16"/>
      <c r="Q2835" s="17"/>
    </row>
    <row r="2836" customFormat="false" ht="15" hidden="false" customHeight="false" outlineLevel="0" collapsed="false">
      <c r="A2836" s="15" t="str">
        <f aca="false">IF(B2836="","",ROW()-1)</f>
        <v/>
      </c>
      <c r="B2836" s="16"/>
      <c r="C2836" s="16"/>
      <c r="D2836" s="16"/>
      <c r="E2836" s="16"/>
      <c r="F2836" s="17"/>
      <c r="G2836" s="16"/>
      <c r="H2836" s="16"/>
      <c r="I2836" s="16"/>
      <c r="J2836" s="16"/>
      <c r="K2836" s="16"/>
      <c r="L2836" s="16"/>
      <c r="M2836" s="18" t="str">
        <f aca="false">IF(OR(C2836="",D2836=""),"",IF(MOD(COUNTIFS($C$2:C2836,C2836,$D$2:D2836,D2836)*7,10)&lt;3,"teste","treino"))</f>
        <v/>
      </c>
      <c r="N2836" s="16"/>
      <c r="O2836" s="16"/>
      <c r="P2836" s="16"/>
      <c r="Q2836" s="17"/>
    </row>
    <row r="2837" customFormat="false" ht="15" hidden="false" customHeight="false" outlineLevel="0" collapsed="false">
      <c r="A2837" s="15" t="str">
        <f aca="false">IF(B2837="","",ROW()-1)</f>
        <v/>
      </c>
      <c r="B2837" s="16"/>
      <c r="C2837" s="16"/>
      <c r="D2837" s="16"/>
      <c r="E2837" s="16"/>
      <c r="F2837" s="17"/>
      <c r="G2837" s="16"/>
      <c r="H2837" s="16"/>
      <c r="I2837" s="16"/>
      <c r="J2837" s="16"/>
      <c r="K2837" s="16"/>
      <c r="L2837" s="16"/>
      <c r="M2837" s="18" t="str">
        <f aca="false">IF(OR(C2837="",D2837=""),"",IF(MOD(COUNTIFS($C$2:C2837,C2837,$D$2:D2837,D2837)*7,10)&lt;3,"teste","treino"))</f>
        <v/>
      </c>
      <c r="N2837" s="16"/>
      <c r="O2837" s="16"/>
      <c r="P2837" s="16"/>
      <c r="Q2837" s="17"/>
    </row>
    <row r="2838" customFormat="false" ht="15" hidden="false" customHeight="false" outlineLevel="0" collapsed="false">
      <c r="A2838" s="15" t="str">
        <f aca="false">IF(B2838="","",ROW()-1)</f>
        <v/>
      </c>
      <c r="B2838" s="16"/>
      <c r="C2838" s="16"/>
      <c r="D2838" s="16"/>
      <c r="E2838" s="16"/>
      <c r="F2838" s="17"/>
      <c r="G2838" s="16"/>
      <c r="H2838" s="16"/>
      <c r="I2838" s="16"/>
      <c r="J2838" s="16"/>
      <c r="K2838" s="16"/>
      <c r="L2838" s="16"/>
      <c r="M2838" s="18" t="str">
        <f aca="false">IF(OR(C2838="",D2838=""),"",IF(MOD(COUNTIFS($C$2:C2838,C2838,$D$2:D2838,D2838)*7,10)&lt;3,"teste","treino"))</f>
        <v/>
      </c>
      <c r="N2838" s="16"/>
      <c r="O2838" s="16"/>
      <c r="P2838" s="16"/>
      <c r="Q2838" s="17"/>
    </row>
    <row r="2839" customFormat="false" ht="15" hidden="false" customHeight="false" outlineLevel="0" collapsed="false">
      <c r="A2839" s="15" t="str">
        <f aca="false">IF(B2839="","",ROW()-1)</f>
        <v/>
      </c>
      <c r="B2839" s="16"/>
      <c r="C2839" s="16"/>
      <c r="D2839" s="16"/>
      <c r="E2839" s="16"/>
      <c r="F2839" s="17"/>
      <c r="G2839" s="16"/>
      <c r="H2839" s="16"/>
      <c r="I2839" s="16"/>
      <c r="J2839" s="16"/>
      <c r="K2839" s="16"/>
      <c r="L2839" s="16"/>
      <c r="M2839" s="18" t="str">
        <f aca="false">IF(OR(C2839="",D2839=""),"",IF(MOD(COUNTIFS($C$2:C2839,C2839,$D$2:D2839,D2839)*7,10)&lt;3,"teste","treino"))</f>
        <v/>
      </c>
      <c r="N2839" s="16"/>
      <c r="O2839" s="16"/>
      <c r="P2839" s="16"/>
      <c r="Q2839" s="17"/>
    </row>
    <row r="2840" customFormat="false" ht="15" hidden="false" customHeight="false" outlineLevel="0" collapsed="false">
      <c r="A2840" s="15" t="str">
        <f aca="false">IF(B2840="","",ROW()-1)</f>
        <v/>
      </c>
      <c r="B2840" s="16"/>
      <c r="C2840" s="16"/>
      <c r="D2840" s="16"/>
      <c r="E2840" s="16"/>
      <c r="F2840" s="17"/>
      <c r="G2840" s="16"/>
      <c r="H2840" s="16"/>
      <c r="I2840" s="16"/>
      <c r="J2840" s="16"/>
      <c r="K2840" s="16"/>
      <c r="L2840" s="16"/>
      <c r="M2840" s="18" t="str">
        <f aca="false">IF(OR(C2840="",D2840=""),"",IF(MOD(COUNTIFS($C$2:C2840,C2840,$D$2:D2840,D2840)*7,10)&lt;3,"teste","treino"))</f>
        <v/>
      </c>
      <c r="N2840" s="16"/>
      <c r="O2840" s="16"/>
      <c r="P2840" s="16"/>
      <c r="Q2840" s="17"/>
    </row>
    <row r="2841" customFormat="false" ht="15" hidden="false" customHeight="false" outlineLevel="0" collapsed="false">
      <c r="A2841" s="15" t="str">
        <f aca="false">IF(B2841="","",ROW()-1)</f>
        <v/>
      </c>
      <c r="B2841" s="16"/>
      <c r="C2841" s="16"/>
      <c r="D2841" s="16"/>
      <c r="E2841" s="16"/>
      <c r="F2841" s="17"/>
      <c r="G2841" s="16"/>
      <c r="H2841" s="16"/>
      <c r="I2841" s="16"/>
      <c r="J2841" s="16"/>
      <c r="K2841" s="16"/>
      <c r="L2841" s="16"/>
      <c r="M2841" s="18" t="str">
        <f aca="false">IF(OR(C2841="",D2841=""),"",IF(MOD(COUNTIFS($C$2:C2841,C2841,$D$2:D2841,D2841)*7,10)&lt;3,"teste","treino"))</f>
        <v/>
      </c>
      <c r="N2841" s="16"/>
      <c r="O2841" s="16"/>
      <c r="P2841" s="16"/>
      <c r="Q2841" s="17"/>
    </row>
    <row r="2842" customFormat="false" ht="15" hidden="false" customHeight="false" outlineLevel="0" collapsed="false">
      <c r="A2842" s="15" t="str">
        <f aca="false">IF(B2842="","",ROW()-1)</f>
        <v/>
      </c>
      <c r="B2842" s="16"/>
      <c r="C2842" s="16"/>
      <c r="D2842" s="16"/>
      <c r="E2842" s="16"/>
      <c r="F2842" s="17"/>
      <c r="G2842" s="16"/>
      <c r="H2842" s="16"/>
      <c r="I2842" s="16"/>
      <c r="J2842" s="16"/>
      <c r="K2842" s="16"/>
      <c r="L2842" s="16"/>
      <c r="M2842" s="18" t="str">
        <f aca="false">IF(OR(C2842="",D2842=""),"",IF(MOD(COUNTIFS($C$2:C2842,C2842,$D$2:D2842,D2842)*7,10)&lt;3,"teste","treino"))</f>
        <v/>
      </c>
      <c r="N2842" s="16"/>
      <c r="O2842" s="16"/>
      <c r="P2842" s="16"/>
      <c r="Q2842" s="17"/>
    </row>
    <row r="2843" customFormat="false" ht="15" hidden="false" customHeight="false" outlineLevel="0" collapsed="false">
      <c r="A2843" s="15" t="str">
        <f aca="false">IF(B2843="","",ROW()-1)</f>
        <v/>
      </c>
      <c r="B2843" s="16"/>
      <c r="C2843" s="16"/>
      <c r="D2843" s="16"/>
      <c r="E2843" s="16"/>
      <c r="F2843" s="17"/>
      <c r="G2843" s="16"/>
      <c r="H2843" s="16"/>
      <c r="I2843" s="16"/>
      <c r="J2843" s="16"/>
      <c r="K2843" s="16"/>
      <c r="L2843" s="16"/>
      <c r="M2843" s="18" t="str">
        <f aca="false">IF(OR(C2843="",D2843=""),"",IF(MOD(COUNTIFS($C$2:C2843,C2843,$D$2:D2843,D2843)*7,10)&lt;3,"teste","treino"))</f>
        <v/>
      </c>
      <c r="N2843" s="16"/>
      <c r="O2843" s="16"/>
      <c r="P2843" s="16"/>
      <c r="Q2843" s="17"/>
    </row>
    <row r="2844" customFormat="false" ht="15" hidden="false" customHeight="false" outlineLevel="0" collapsed="false">
      <c r="A2844" s="15" t="str">
        <f aca="false">IF(B2844="","",ROW()-1)</f>
        <v/>
      </c>
      <c r="B2844" s="16"/>
      <c r="C2844" s="16"/>
      <c r="D2844" s="16"/>
      <c r="E2844" s="16"/>
      <c r="F2844" s="17"/>
      <c r="G2844" s="16"/>
      <c r="H2844" s="16"/>
      <c r="I2844" s="16"/>
      <c r="J2844" s="16"/>
      <c r="K2844" s="16"/>
      <c r="L2844" s="16"/>
      <c r="M2844" s="18" t="str">
        <f aca="false">IF(OR(C2844="",D2844=""),"",IF(MOD(COUNTIFS($C$2:C2844,C2844,$D$2:D2844,D2844)*7,10)&lt;3,"teste","treino"))</f>
        <v/>
      </c>
      <c r="N2844" s="16"/>
      <c r="O2844" s="16"/>
      <c r="P2844" s="16"/>
      <c r="Q2844" s="17"/>
    </row>
    <row r="2845" customFormat="false" ht="15" hidden="false" customHeight="false" outlineLevel="0" collapsed="false">
      <c r="A2845" s="15" t="str">
        <f aca="false">IF(B2845="","",ROW()-1)</f>
        <v/>
      </c>
      <c r="B2845" s="16"/>
      <c r="C2845" s="16"/>
      <c r="D2845" s="16"/>
      <c r="E2845" s="16"/>
      <c r="F2845" s="17"/>
      <c r="G2845" s="16"/>
      <c r="H2845" s="16"/>
      <c r="I2845" s="16"/>
      <c r="J2845" s="16"/>
      <c r="K2845" s="16"/>
      <c r="L2845" s="16"/>
      <c r="M2845" s="18" t="str">
        <f aca="false">IF(OR(C2845="",D2845=""),"",IF(MOD(COUNTIFS($C$2:C2845,C2845,$D$2:D2845,D2845)*7,10)&lt;3,"teste","treino"))</f>
        <v/>
      </c>
      <c r="N2845" s="16"/>
      <c r="O2845" s="16"/>
      <c r="P2845" s="16"/>
      <c r="Q2845" s="17"/>
    </row>
    <row r="2846" customFormat="false" ht="15" hidden="false" customHeight="false" outlineLevel="0" collapsed="false">
      <c r="A2846" s="15" t="str">
        <f aca="false">IF(B2846="","",ROW()-1)</f>
        <v/>
      </c>
      <c r="B2846" s="16"/>
      <c r="C2846" s="16"/>
      <c r="D2846" s="16"/>
      <c r="E2846" s="16"/>
      <c r="F2846" s="17"/>
      <c r="G2846" s="16"/>
      <c r="H2846" s="16"/>
      <c r="I2846" s="16"/>
      <c r="J2846" s="16"/>
      <c r="K2846" s="16"/>
      <c r="L2846" s="16"/>
      <c r="M2846" s="18" t="str">
        <f aca="false">IF(OR(C2846="",D2846=""),"",IF(MOD(COUNTIFS($C$2:C2846,C2846,$D$2:D2846,D2846)*7,10)&lt;3,"teste","treino"))</f>
        <v/>
      </c>
      <c r="N2846" s="16"/>
      <c r="O2846" s="16"/>
      <c r="P2846" s="16"/>
      <c r="Q2846" s="17"/>
    </row>
    <row r="2847" customFormat="false" ht="15" hidden="false" customHeight="false" outlineLevel="0" collapsed="false">
      <c r="A2847" s="15" t="str">
        <f aca="false">IF(B2847="","",ROW()-1)</f>
        <v/>
      </c>
      <c r="B2847" s="16"/>
      <c r="C2847" s="16"/>
      <c r="D2847" s="16"/>
      <c r="E2847" s="16"/>
      <c r="F2847" s="17"/>
      <c r="G2847" s="16"/>
      <c r="H2847" s="16"/>
      <c r="I2847" s="16"/>
      <c r="J2847" s="16"/>
      <c r="K2847" s="16"/>
      <c r="L2847" s="16"/>
      <c r="M2847" s="18" t="str">
        <f aca="false">IF(OR(C2847="",D2847=""),"",IF(MOD(COUNTIFS($C$2:C2847,C2847,$D$2:D2847,D2847)*7,10)&lt;3,"teste","treino"))</f>
        <v/>
      </c>
      <c r="N2847" s="16"/>
      <c r="O2847" s="16"/>
      <c r="P2847" s="16"/>
      <c r="Q2847" s="17"/>
    </row>
    <row r="2848" customFormat="false" ht="15" hidden="false" customHeight="false" outlineLevel="0" collapsed="false">
      <c r="A2848" s="15" t="str">
        <f aca="false">IF(B2848="","",ROW()-1)</f>
        <v/>
      </c>
      <c r="B2848" s="16"/>
      <c r="C2848" s="16"/>
      <c r="D2848" s="16"/>
      <c r="E2848" s="16"/>
      <c r="F2848" s="17"/>
      <c r="G2848" s="16"/>
      <c r="H2848" s="16"/>
      <c r="I2848" s="16"/>
      <c r="J2848" s="16"/>
      <c r="K2848" s="16"/>
      <c r="L2848" s="16"/>
      <c r="M2848" s="18" t="str">
        <f aca="false">IF(OR(C2848="",D2848=""),"",IF(MOD(COUNTIFS($C$2:C2848,C2848,$D$2:D2848,D2848)*7,10)&lt;3,"teste","treino"))</f>
        <v/>
      </c>
      <c r="N2848" s="16"/>
      <c r="O2848" s="16"/>
      <c r="P2848" s="16"/>
      <c r="Q2848" s="17"/>
    </row>
    <row r="2849" customFormat="false" ht="15" hidden="false" customHeight="false" outlineLevel="0" collapsed="false">
      <c r="A2849" s="15" t="str">
        <f aca="false">IF(B2849="","",ROW()-1)</f>
        <v/>
      </c>
      <c r="B2849" s="16"/>
      <c r="C2849" s="16"/>
      <c r="D2849" s="16"/>
      <c r="E2849" s="16"/>
      <c r="F2849" s="17"/>
      <c r="G2849" s="16"/>
      <c r="H2849" s="16"/>
      <c r="I2849" s="16"/>
      <c r="J2849" s="16"/>
      <c r="K2849" s="16"/>
      <c r="L2849" s="16"/>
      <c r="M2849" s="18" t="str">
        <f aca="false">IF(OR(C2849="",D2849=""),"",IF(MOD(COUNTIFS($C$2:C2849,C2849,$D$2:D2849,D2849)*7,10)&lt;3,"teste","treino"))</f>
        <v/>
      </c>
      <c r="N2849" s="16"/>
      <c r="O2849" s="16"/>
      <c r="P2849" s="16"/>
      <c r="Q2849" s="17"/>
    </row>
    <row r="2850" customFormat="false" ht="15" hidden="false" customHeight="false" outlineLevel="0" collapsed="false">
      <c r="A2850" s="15" t="str">
        <f aca="false">IF(B2850="","",ROW()-1)</f>
        <v/>
      </c>
      <c r="B2850" s="16"/>
      <c r="C2850" s="16"/>
      <c r="D2850" s="16"/>
      <c r="E2850" s="16"/>
      <c r="F2850" s="17"/>
      <c r="G2850" s="16"/>
      <c r="H2850" s="16"/>
      <c r="I2850" s="16"/>
      <c r="J2850" s="16"/>
      <c r="K2850" s="16"/>
      <c r="L2850" s="16"/>
      <c r="M2850" s="18" t="str">
        <f aca="false">IF(OR(C2850="",D2850=""),"",IF(MOD(COUNTIFS($C$2:C2850,C2850,$D$2:D2850,D2850)*7,10)&lt;3,"teste","treino"))</f>
        <v/>
      </c>
      <c r="N2850" s="16"/>
      <c r="O2850" s="16"/>
      <c r="P2850" s="16"/>
      <c r="Q2850" s="17"/>
    </row>
    <row r="2851" customFormat="false" ht="15" hidden="false" customHeight="false" outlineLevel="0" collapsed="false">
      <c r="A2851" s="15" t="str">
        <f aca="false">IF(B2851="","",ROW()-1)</f>
        <v/>
      </c>
      <c r="B2851" s="16"/>
      <c r="C2851" s="16"/>
      <c r="D2851" s="16"/>
      <c r="E2851" s="16"/>
      <c r="F2851" s="17"/>
      <c r="G2851" s="16"/>
      <c r="H2851" s="16"/>
      <c r="I2851" s="16"/>
      <c r="J2851" s="16"/>
      <c r="K2851" s="16"/>
      <c r="L2851" s="16"/>
      <c r="M2851" s="18" t="str">
        <f aca="false">IF(OR(C2851="",D2851=""),"",IF(MOD(COUNTIFS($C$2:C2851,C2851,$D$2:D2851,D2851)*7,10)&lt;3,"teste","treino"))</f>
        <v/>
      </c>
      <c r="N2851" s="16"/>
      <c r="O2851" s="16"/>
      <c r="P2851" s="16"/>
      <c r="Q2851" s="17"/>
    </row>
    <row r="2852" customFormat="false" ht="15" hidden="false" customHeight="false" outlineLevel="0" collapsed="false">
      <c r="A2852" s="15" t="str">
        <f aca="false">IF(B2852="","",ROW()-1)</f>
        <v/>
      </c>
      <c r="B2852" s="16"/>
      <c r="C2852" s="16"/>
      <c r="D2852" s="16"/>
      <c r="E2852" s="16"/>
      <c r="F2852" s="17"/>
      <c r="G2852" s="16"/>
      <c r="H2852" s="16"/>
      <c r="I2852" s="16"/>
      <c r="J2852" s="16"/>
      <c r="K2852" s="16"/>
      <c r="L2852" s="16"/>
      <c r="M2852" s="18" t="str">
        <f aca="false">IF(OR(C2852="",D2852=""),"",IF(MOD(COUNTIFS($C$2:C2852,C2852,$D$2:D2852,D2852)*7,10)&lt;3,"teste","treino"))</f>
        <v/>
      </c>
      <c r="N2852" s="16"/>
      <c r="O2852" s="16"/>
      <c r="P2852" s="16"/>
      <c r="Q2852" s="17"/>
    </row>
    <row r="2853" customFormat="false" ht="15" hidden="false" customHeight="false" outlineLevel="0" collapsed="false">
      <c r="A2853" s="15" t="str">
        <f aca="false">IF(B2853="","",ROW()-1)</f>
        <v/>
      </c>
      <c r="B2853" s="16"/>
      <c r="C2853" s="16"/>
      <c r="D2853" s="16"/>
      <c r="E2853" s="16"/>
      <c r="F2853" s="17"/>
      <c r="G2853" s="16"/>
      <c r="H2853" s="16"/>
      <c r="I2853" s="16"/>
      <c r="J2853" s="16"/>
      <c r="K2853" s="16"/>
      <c r="L2853" s="16"/>
      <c r="M2853" s="18" t="str">
        <f aca="false">IF(OR(C2853="",D2853=""),"",IF(MOD(COUNTIFS($C$2:C2853,C2853,$D$2:D2853,D2853)*7,10)&lt;3,"teste","treino"))</f>
        <v/>
      </c>
      <c r="N2853" s="16"/>
      <c r="O2853" s="16"/>
      <c r="P2853" s="16"/>
      <c r="Q2853" s="17"/>
    </row>
    <row r="2854" customFormat="false" ht="15" hidden="false" customHeight="false" outlineLevel="0" collapsed="false">
      <c r="A2854" s="15" t="str">
        <f aca="false">IF(B2854="","",ROW()-1)</f>
        <v/>
      </c>
      <c r="B2854" s="16"/>
      <c r="C2854" s="16"/>
      <c r="D2854" s="16"/>
      <c r="E2854" s="16"/>
      <c r="F2854" s="17"/>
      <c r="G2854" s="16"/>
      <c r="H2854" s="16"/>
      <c r="I2854" s="16"/>
      <c r="J2854" s="16"/>
      <c r="K2854" s="16"/>
      <c r="L2854" s="16"/>
      <c r="M2854" s="18" t="str">
        <f aca="false">IF(OR(C2854="",D2854=""),"",IF(MOD(COUNTIFS($C$2:C2854,C2854,$D$2:D2854,D2854)*7,10)&lt;3,"teste","treino"))</f>
        <v/>
      </c>
      <c r="N2854" s="16"/>
      <c r="O2854" s="16"/>
      <c r="P2854" s="16"/>
      <c r="Q2854" s="17"/>
    </row>
    <row r="2855" customFormat="false" ht="15" hidden="false" customHeight="false" outlineLevel="0" collapsed="false">
      <c r="A2855" s="15" t="str">
        <f aca="false">IF(B2855="","",ROW()-1)</f>
        <v/>
      </c>
      <c r="B2855" s="16"/>
      <c r="C2855" s="16"/>
      <c r="D2855" s="16"/>
      <c r="E2855" s="16"/>
      <c r="F2855" s="17"/>
      <c r="G2855" s="16"/>
      <c r="H2855" s="16"/>
      <c r="I2855" s="16"/>
      <c r="J2855" s="16"/>
      <c r="K2855" s="16"/>
      <c r="L2855" s="16"/>
      <c r="M2855" s="18" t="str">
        <f aca="false">IF(OR(C2855="",D2855=""),"",IF(MOD(COUNTIFS($C$2:C2855,C2855,$D$2:D2855,D2855)*7,10)&lt;3,"teste","treino"))</f>
        <v/>
      </c>
      <c r="N2855" s="16"/>
      <c r="O2855" s="16"/>
      <c r="P2855" s="16"/>
      <c r="Q2855" s="17"/>
    </row>
    <row r="2856" customFormat="false" ht="15" hidden="false" customHeight="false" outlineLevel="0" collapsed="false">
      <c r="A2856" s="15" t="str">
        <f aca="false">IF(B2856="","",ROW()-1)</f>
        <v/>
      </c>
      <c r="B2856" s="16"/>
      <c r="C2856" s="16"/>
      <c r="D2856" s="16"/>
      <c r="E2856" s="16"/>
      <c r="F2856" s="17"/>
      <c r="G2856" s="16"/>
      <c r="H2856" s="16"/>
      <c r="I2856" s="16"/>
      <c r="J2856" s="16"/>
      <c r="K2856" s="16"/>
      <c r="L2856" s="16"/>
      <c r="M2856" s="18" t="str">
        <f aca="false">IF(OR(C2856="",D2856=""),"",IF(MOD(COUNTIFS($C$2:C2856,C2856,$D$2:D2856,D2856)*7,10)&lt;3,"teste","treino"))</f>
        <v/>
      </c>
      <c r="N2856" s="16"/>
      <c r="O2856" s="16"/>
      <c r="P2856" s="16"/>
      <c r="Q2856" s="17"/>
    </row>
    <row r="2857" customFormat="false" ht="15" hidden="false" customHeight="false" outlineLevel="0" collapsed="false">
      <c r="A2857" s="15" t="str">
        <f aca="false">IF(B2857="","",ROW()-1)</f>
        <v/>
      </c>
      <c r="B2857" s="16"/>
      <c r="C2857" s="16"/>
      <c r="D2857" s="16"/>
      <c r="E2857" s="16"/>
      <c r="F2857" s="17"/>
      <c r="G2857" s="16"/>
      <c r="H2857" s="16"/>
      <c r="I2857" s="16"/>
      <c r="J2857" s="16"/>
      <c r="K2857" s="16"/>
      <c r="L2857" s="16"/>
      <c r="M2857" s="18" t="str">
        <f aca="false">IF(OR(C2857="",D2857=""),"",IF(MOD(COUNTIFS($C$2:C2857,C2857,$D$2:D2857,D2857)*7,10)&lt;3,"teste","treino"))</f>
        <v/>
      </c>
      <c r="N2857" s="16"/>
      <c r="O2857" s="16"/>
      <c r="P2857" s="16"/>
      <c r="Q2857" s="17"/>
    </row>
    <row r="2858" customFormat="false" ht="15" hidden="false" customHeight="false" outlineLevel="0" collapsed="false">
      <c r="A2858" s="15" t="str">
        <f aca="false">IF(B2858="","",ROW()-1)</f>
        <v/>
      </c>
      <c r="B2858" s="16"/>
      <c r="C2858" s="16"/>
      <c r="D2858" s="16"/>
      <c r="E2858" s="16"/>
      <c r="F2858" s="17"/>
      <c r="G2858" s="16"/>
      <c r="H2858" s="16"/>
      <c r="I2858" s="16"/>
      <c r="J2858" s="16"/>
      <c r="K2858" s="16"/>
      <c r="L2858" s="16"/>
      <c r="M2858" s="18" t="str">
        <f aca="false">IF(OR(C2858="",D2858=""),"",IF(MOD(COUNTIFS($C$2:C2858,C2858,$D$2:D2858,D2858)*7,10)&lt;3,"teste","treino"))</f>
        <v/>
      </c>
      <c r="N2858" s="16"/>
      <c r="O2858" s="16"/>
      <c r="P2858" s="16"/>
      <c r="Q2858" s="17"/>
    </row>
    <row r="2859" customFormat="false" ht="15" hidden="false" customHeight="false" outlineLevel="0" collapsed="false">
      <c r="A2859" s="15" t="str">
        <f aca="false">IF(B2859="","",ROW()-1)</f>
        <v/>
      </c>
      <c r="B2859" s="16"/>
      <c r="C2859" s="16"/>
      <c r="D2859" s="16"/>
      <c r="E2859" s="16"/>
      <c r="F2859" s="17"/>
      <c r="G2859" s="16"/>
      <c r="H2859" s="16"/>
      <c r="I2859" s="16"/>
      <c r="J2859" s="16"/>
      <c r="K2859" s="16"/>
      <c r="L2859" s="16"/>
      <c r="M2859" s="18" t="str">
        <f aca="false">IF(OR(C2859="",D2859=""),"",IF(MOD(COUNTIFS($C$2:C2859,C2859,$D$2:D2859,D2859)*7,10)&lt;3,"teste","treino"))</f>
        <v/>
      </c>
      <c r="N2859" s="16"/>
      <c r="O2859" s="16"/>
      <c r="P2859" s="16"/>
      <c r="Q2859" s="17"/>
    </row>
    <row r="2860" customFormat="false" ht="15" hidden="false" customHeight="false" outlineLevel="0" collapsed="false">
      <c r="A2860" s="15" t="str">
        <f aca="false">IF(B2860="","",ROW()-1)</f>
        <v/>
      </c>
      <c r="B2860" s="16"/>
      <c r="C2860" s="16"/>
      <c r="D2860" s="16"/>
      <c r="E2860" s="16"/>
      <c r="F2860" s="17"/>
      <c r="G2860" s="16"/>
      <c r="H2860" s="16"/>
      <c r="I2860" s="16"/>
      <c r="J2860" s="16"/>
      <c r="K2860" s="16"/>
      <c r="L2860" s="16"/>
      <c r="M2860" s="18" t="str">
        <f aca="false">IF(OR(C2860="",D2860=""),"",IF(MOD(COUNTIFS($C$2:C2860,C2860,$D$2:D2860,D2860)*7,10)&lt;3,"teste","treino"))</f>
        <v/>
      </c>
      <c r="N2860" s="16"/>
      <c r="O2860" s="16"/>
      <c r="P2860" s="16"/>
      <c r="Q2860" s="17"/>
    </row>
    <row r="2861" customFormat="false" ht="15" hidden="false" customHeight="false" outlineLevel="0" collapsed="false">
      <c r="A2861" s="15" t="str">
        <f aca="false">IF(B2861="","",ROW()-1)</f>
        <v/>
      </c>
      <c r="B2861" s="16"/>
      <c r="C2861" s="16"/>
      <c r="D2861" s="16"/>
      <c r="E2861" s="16"/>
      <c r="F2861" s="17"/>
      <c r="G2861" s="16"/>
      <c r="H2861" s="16"/>
      <c r="I2861" s="16"/>
      <c r="J2861" s="16"/>
      <c r="K2861" s="16"/>
      <c r="L2861" s="16"/>
      <c r="M2861" s="18" t="str">
        <f aca="false">IF(OR(C2861="",D2861=""),"",IF(MOD(COUNTIFS($C$2:C2861,C2861,$D$2:D2861,D2861)*7,10)&lt;3,"teste","treino"))</f>
        <v/>
      </c>
      <c r="N2861" s="16"/>
      <c r="O2861" s="16"/>
      <c r="P2861" s="16"/>
      <c r="Q2861" s="17"/>
    </row>
    <row r="2862" customFormat="false" ht="15" hidden="false" customHeight="false" outlineLevel="0" collapsed="false">
      <c r="A2862" s="15" t="str">
        <f aca="false">IF(B2862="","",ROW()-1)</f>
        <v/>
      </c>
      <c r="B2862" s="16"/>
      <c r="C2862" s="16"/>
      <c r="D2862" s="16"/>
      <c r="E2862" s="16"/>
      <c r="F2862" s="17"/>
      <c r="G2862" s="16"/>
      <c r="H2862" s="16"/>
      <c r="I2862" s="16"/>
      <c r="J2862" s="16"/>
      <c r="K2862" s="16"/>
      <c r="L2862" s="16"/>
      <c r="M2862" s="18" t="str">
        <f aca="false">IF(OR(C2862="",D2862=""),"",IF(MOD(COUNTIFS($C$2:C2862,C2862,$D$2:D2862,D2862)*7,10)&lt;3,"teste","treino"))</f>
        <v/>
      </c>
      <c r="N2862" s="16"/>
      <c r="O2862" s="16"/>
      <c r="P2862" s="16"/>
      <c r="Q2862" s="17"/>
    </row>
    <row r="2863" customFormat="false" ht="15" hidden="false" customHeight="false" outlineLevel="0" collapsed="false">
      <c r="A2863" s="15" t="str">
        <f aca="false">IF(B2863="","",ROW()-1)</f>
        <v/>
      </c>
      <c r="B2863" s="16"/>
      <c r="C2863" s="16"/>
      <c r="D2863" s="16"/>
      <c r="E2863" s="16"/>
      <c r="F2863" s="17"/>
      <c r="G2863" s="16"/>
      <c r="H2863" s="16"/>
      <c r="I2863" s="16"/>
      <c r="J2863" s="16"/>
      <c r="K2863" s="16"/>
      <c r="L2863" s="16"/>
      <c r="M2863" s="18" t="str">
        <f aca="false">IF(OR(C2863="",D2863=""),"",IF(MOD(COUNTIFS($C$2:C2863,C2863,$D$2:D2863,D2863)*7,10)&lt;3,"teste","treino"))</f>
        <v/>
      </c>
      <c r="N2863" s="16"/>
      <c r="O2863" s="16"/>
      <c r="P2863" s="16"/>
      <c r="Q2863" s="17"/>
    </row>
    <row r="2864" customFormat="false" ht="15" hidden="false" customHeight="false" outlineLevel="0" collapsed="false">
      <c r="A2864" s="15" t="str">
        <f aca="false">IF(B2864="","",ROW()-1)</f>
        <v/>
      </c>
      <c r="B2864" s="16"/>
      <c r="C2864" s="16"/>
      <c r="D2864" s="16"/>
      <c r="E2864" s="16"/>
      <c r="F2864" s="17"/>
      <c r="G2864" s="16"/>
      <c r="H2864" s="16"/>
      <c r="I2864" s="16"/>
      <c r="J2864" s="16"/>
      <c r="K2864" s="16"/>
      <c r="L2864" s="16"/>
      <c r="M2864" s="18" t="str">
        <f aca="false">IF(OR(C2864="",D2864=""),"",IF(MOD(COUNTIFS($C$2:C2864,C2864,$D$2:D2864,D2864)*7,10)&lt;3,"teste","treino"))</f>
        <v/>
      </c>
      <c r="N2864" s="16"/>
      <c r="O2864" s="16"/>
      <c r="P2864" s="16"/>
      <c r="Q2864" s="17"/>
    </row>
    <row r="2865" customFormat="false" ht="15" hidden="false" customHeight="false" outlineLevel="0" collapsed="false">
      <c r="A2865" s="15" t="str">
        <f aca="false">IF(B2865="","",ROW()-1)</f>
        <v/>
      </c>
      <c r="B2865" s="16"/>
      <c r="C2865" s="16"/>
      <c r="D2865" s="16"/>
      <c r="E2865" s="16"/>
      <c r="F2865" s="17"/>
      <c r="G2865" s="16"/>
      <c r="H2865" s="16"/>
      <c r="I2865" s="16"/>
      <c r="J2865" s="16"/>
      <c r="K2865" s="16"/>
      <c r="L2865" s="16"/>
      <c r="M2865" s="18" t="str">
        <f aca="false">IF(OR(C2865="",D2865=""),"",IF(MOD(COUNTIFS($C$2:C2865,C2865,$D$2:D2865,D2865)*7,10)&lt;3,"teste","treino"))</f>
        <v/>
      </c>
      <c r="N2865" s="16"/>
      <c r="O2865" s="16"/>
      <c r="P2865" s="16"/>
      <c r="Q2865" s="17"/>
    </row>
    <row r="2866" customFormat="false" ht="15" hidden="false" customHeight="false" outlineLevel="0" collapsed="false">
      <c r="A2866" s="15" t="str">
        <f aca="false">IF(B2866="","",ROW()-1)</f>
        <v/>
      </c>
      <c r="B2866" s="16"/>
      <c r="C2866" s="16"/>
      <c r="D2866" s="16"/>
      <c r="E2866" s="16"/>
      <c r="F2866" s="17"/>
      <c r="G2866" s="16"/>
      <c r="H2866" s="16"/>
      <c r="I2866" s="16"/>
      <c r="J2866" s="16"/>
      <c r="K2866" s="16"/>
      <c r="L2866" s="16"/>
      <c r="M2866" s="18" t="str">
        <f aca="false">IF(OR(C2866="",D2866=""),"",IF(MOD(COUNTIFS($C$2:C2866,C2866,$D$2:D2866,D2866)*7,10)&lt;3,"teste","treino"))</f>
        <v/>
      </c>
      <c r="N2866" s="16"/>
      <c r="O2866" s="16"/>
      <c r="P2866" s="16"/>
      <c r="Q2866" s="17"/>
    </row>
    <row r="2867" customFormat="false" ht="15" hidden="false" customHeight="false" outlineLevel="0" collapsed="false">
      <c r="A2867" s="15" t="str">
        <f aca="false">IF(B2867="","",ROW()-1)</f>
        <v/>
      </c>
      <c r="B2867" s="16"/>
      <c r="C2867" s="16"/>
      <c r="D2867" s="16"/>
      <c r="E2867" s="16"/>
      <c r="F2867" s="17"/>
      <c r="G2867" s="16"/>
      <c r="H2867" s="16"/>
      <c r="I2867" s="16"/>
      <c r="J2867" s="16"/>
      <c r="K2867" s="16"/>
      <c r="L2867" s="16"/>
      <c r="M2867" s="18" t="str">
        <f aca="false">IF(OR(C2867="",D2867=""),"",IF(MOD(COUNTIFS($C$2:C2867,C2867,$D$2:D2867,D2867)*7,10)&lt;3,"teste","treino"))</f>
        <v/>
      </c>
      <c r="N2867" s="16"/>
      <c r="O2867" s="16"/>
      <c r="P2867" s="16"/>
      <c r="Q2867" s="17"/>
    </row>
    <row r="2868" customFormat="false" ht="15" hidden="false" customHeight="false" outlineLevel="0" collapsed="false">
      <c r="A2868" s="15" t="str">
        <f aca="false">IF(B2868="","",ROW()-1)</f>
        <v/>
      </c>
      <c r="B2868" s="16"/>
      <c r="C2868" s="16"/>
      <c r="D2868" s="16"/>
      <c r="E2868" s="16"/>
      <c r="F2868" s="17"/>
      <c r="G2868" s="16"/>
      <c r="H2868" s="16"/>
      <c r="I2868" s="16"/>
      <c r="J2868" s="16"/>
      <c r="K2868" s="16"/>
      <c r="L2868" s="16"/>
      <c r="M2868" s="18" t="str">
        <f aca="false">IF(OR(C2868="",D2868=""),"",IF(MOD(COUNTIFS($C$2:C2868,C2868,$D$2:D2868,D2868)*7,10)&lt;3,"teste","treino"))</f>
        <v/>
      </c>
      <c r="N2868" s="16"/>
      <c r="O2868" s="16"/>
      <c r="P2868" s="16"/>
      <c r="Q2868" s="17"/>
    </row>
    <row r="2869" customFormat="false" ht="15" hidden="false" customHeight="false" outlineLevel="0" collapsed="false">
      <c r="A2869" s="15" t="str">
        <f aca="false">IF(B2869="","",ROW()-1)</f>
        <v/>
      </c>
      <c r="B2869" s="16"/>
      <c r="C2869" s="16"/>
      <c r="D2869" s="16"/>
      <c r="E2869" s="16"/>
      <c r="F2869" s="17"/>
      <c r="G2869" s="16"/>
      <c r="H2869" s="16"/>
      <c r="I2869" s="16"/>
      <c r="J2869" s="16"/>
      <c r="K2869" s="16"/>
      <c r="L2869" s="16"/>
      <c r="M2869" s="18" t="str">
        <f aca="false">IF(OR(C2869="",D2869=""),"",IF(MOD(COUNTIFS($C$2:C2869,C2869,$D$2:D2869,D2869)*7,10)&lt;3,"teste","treino"))</f>
        <v/>
      </c>
      <c r="N2869" s="16"/>
      <c r="O2869" s="16"/>
      <c r="P2869" s="16"/>
      <c r="Q2869" s="17"/>
    </row>
    <row r="2870" customFormat="false" ht="15" hidden="false" customHeight="false" outlineLevel="0" collapsed="false">
      <c r="A2870" s="15" t="str">
        <f aca="false">IF(B2870="","",ROW()-1)</f>
        <v/>
      </c>
      <c r="B2870" s="16"/>
      <c r="C2870" s="16"/>
      <c r="D2870" s="16"/>
      <c r="E2870" s="16"/>
      <c r="F2870" s="17"/>
      <c r="G2870" s="16"/>
      <c r="H2870" s="16"/>
      <c r="I2870" s="16"/>
      <c r="J2870" s="16"/>
      <c r="K2870" s="16"/>
      <c r="L2870" s="16"/>
      <c r="M2870" s="18" t="str">
        <f aca="false">IF(OR(C2870="",D2870=""),"",IF(MOD(COUNTIFS($C$2:C2870,C2870,$D$2:D2870,D2870)*7,10)&lt;3,"teste","treino"))</f>
        <v/>
      </c>
      <c r="N2870" s="16"/>
      <c r="O2870" s="16"/>
      <c r="P2870" s="16"/>
      <c r="Q2870" s="17"/>
    </row>
    <row r="2871" customFormat="false" ht="15" hidden="false" customHeight="false" outlineLevel="0" collapsed="false">
      <c r="A2871" s="15" t="str">
        <f aca="false">IF(B2871="","",ROW()-1)</f>
        <v/>
      </c>
      <c r="B2871" s="16"/>
      <c r="C2871" s="16"/>
      <c r="D2871" s="16"/>
      <c r="E2871" s="16"/>
      <c r="F2871" s="17"/>
      <c r="G2871" s="16"/>
      <c r="H2871" s="16"/>
      <c r="I2871" s="16"/>
      <c r="J2871" s="16"/>
      <c r="K2871" s="16"/>
      <c r="L2871" s="16"/>
      <c r="M2871" s="18" t="str">
        <f aca="false">IF(OR(C2871="",D2871=""),"",IF(MOD(COUNTIFS($C$2:C2871,C2871,$D$2:D2871,D2871)*7,10)&lt;3,"teste","treino"))</f>
        <v/>
      </c>
      <c r="N2871" s="16"/>
      <c r="O2871" s="16"/>
      <c r="P2871" s="16"/>
      <c r="Q2871" s="17"/>
    </row>
    <row r="2872" customFormat="false" ht="15" hidden="false" customHeight="false" outlineLevel="0" collapsed="false">
      <c r="A2872" s="15" t="str">
        <f aca="false">IF(B2872="","",ROW()-1)</f>
        <v/>
      </c>
      <c r="B2872" s="16"/>
      <c r="C2872" s="16"/>
      <c r="D2872" s="16"/>
      <c r="E2872" s="16"/>
      <c r="F2872" s="17"/>
      <c r="G2872" s="16"/>
      <c r="H2872" s="16"/>
      <c r="I2872" s="16"/>
      <c r="J2872" s="16"/>
      <c r="K2872" s="16"/>
      <c r="L2872" s="16"/>
      <c r="M2872" s="18" t="str">
        <f aca="false">IF(OR(C2872="",D2872=""),"",IF(MOD(COUNTIFS($C$2:C2872,C2872,$D$2:D2872,D2872)*7,10)&lt;3,"teste","treino"))</f>
        <v/>
      </c>
      <c r="N2872" s="16"/>
      <c r="O2872" s="16"/>
      <c r="P2872" s="16"/>
      <c r="Q2872" s="17"/>
    </row>
    <row r="2873" customFormat="false" ht="15" hidden="false" customHeight="false" outlineLevel="0" collapsed="false">
      <c r="A2873" s="15" t="str">
        <f aca="false">IF(B2873="","",ROW()-1)</f>
        <v/>
      </c>
      <c r="B2873" s="16"/>
      <c r="C2873" s="16"/>
      <c r="D2873" s="16"/>
      <c r="E2873" s="16"/>
      <c r="F2873" s="17"/>
      <c r="G2873" s="16"/>
      <c r="H2873" s="16"/>
      <c r="I2873" s="16"/>
      <c r="J2873" s="16"/>
      <c r="K2873" s="16"/>
      <c r="L2873" s="16"/>
      <c r="M2873" s="18" t="str">
        <f aca="false">IF(OR(C2873="",D2873=""),"",IF(MOD(COUNTIFS($C$2:C2873,C2873,$D$2:D2873,D2873)*7,10)&lt;3,"teste","treino"))</f>
        <v/>
      </c>
      <c r="N2873" s="16"/>
      <c r="O2873" s="16"/>
      <c r="P2873" s="16"/>
      <c r="Q2873" s="17"/>
    </row>
    <row r="2874" customFormat="false" ht="15" hidden="false" customHeight="false" outlineLevel="0" collapsed="false">
      <c r="A2874" s="15" t="str">
        <f aca="false">IF(B2874="","",ROW()-1)</f>
        <v/>
      </c>
      <c r="B2874" s="16"/>
      <c r="C2874" s="16"/>
      <c r="D2874" s="16"/>
      <c r="E2874" s="16"/>
      <c r="F2874" s="17"/>
      <c r="G2874" s="16"/>
      <c r="H2874" s="16"/>
      <c r="I2874" s="16"/>
      <c r="J2874" s="16"/>
      <c r="K2874" s="16"/>
      <c r="L2874" s="16"/>
      <c r="M2874" s="18" t="str">
        <f aca="false">IF(OR(C2874="",D2874=""),"",IF(MOD(COUNTIFS($C$2:C2874,C2874,$D$2:D2874,D2874)*7,10)&lt;3,"teste","treino"))</f>
        <v/>
      </c>
      <c r="N2874" s="16"/>
      <c r="O2874" s="16"/>
      <c r="P2874" s="16"/>
      <c r="Q2874" s="17"/>
    </row>
    <row r="2875" customFormat="false" ht="15" hidden="false" customHeight="false" outlineLevel="0" collapsed="false">
      <c r="A2875" s="15" t="str">
        <f aca="false">IF(B2875="","",ROW()-1)</f>
        <v/>
      </c>
      <c r="B2875" s="16"/>
      <c r="C2875" s="16"/>
      <c r="D2875" s="16"/>
      <c r="E2875" s="16"/>
      <c r="F2875" s="17"/>
      <c r="G2875" s="16"/>
      <c r="H2875" s="16"/>
      <c r="I2875" s="16"/>
      <c r="J2875" s="16"/>
      <c r="K2875" s="16"/>
      <c r="L2875" s="16"/>
      <c r="M2875" s="18" t="str">
        <f aca="false">IF(OR(C2875="",D2875=""),"",IF(MOD(COUNTIFS($C$2:C2875,C2875,$D$2:D2875,D2875)*7,10)&lt;3,"teste","treino"))</f>
        <v/>
      </c>
      <c r="N2875" s="16"/>
      <c r="O2875" s="16"/>
      <c r="P2875" s="16"/>
      <c r="Q2875" s="17"/>
    </row>
    <row r="2876" customFormat="false" ht="15" hidden="false" customHeight="false" outlineLevel="0" collapsed="false">
      <c r="A2876" s="15" t="str">
        <f aca="false">IF(B2876="","",ROW()-1)</f>
        <v/>
      </c>
      <c r="B2876" s="16"/>
      <c r="C2876" s="16"/>
      <c r="D2876" s="16"/>
      <c r="E2876" s="16"/>
      <c r="F2876" s="17"/>
      <c r="G2876" s="16"/>
      <c r="H2876" s="16"/>
      <c r="I2876" s="16"/>
      <c r="J2876" s="16"/>
      <c r="K2876" s="16"/>
      <c r="L2876" s="16"/>
      <c r="M2876" s="18" t="str">
        <f aca="false">IF(OR(C2876="",D2876=""),"",IF(MOD(COUNTIFS($C$2:C2876,C2876,$D$2:D2876,D2876)*7,10)&lt;3,"teste","treino"))</f>
        <v/>
      </c>
      <c r="N2876" s="16"/>
      <c r="O2876" s="16"/>
      <c r="P2876" s="16"/>
      <c r="Q2876" s="17"/>
    </row>
    <row r="2877" customFormat="false" ht="15" hidden="false" customHeight="false" outlineLevel="0" collapsed="false">
      <c r="A2877" s="15" t="str">
        <f aca="false">IF(B2877="","",ROW()-1)</f>
        <v/>
      </c>
      <c r="B2877" s="16"/>
      <c r="C2877" s="16"/>
      <c r="D2877" s="16"/>
      <c r="E2877" s="16"/>
      <c r="F2877" s="17"/>
      <c r="G2877" s="16"/>
      <c r="H2877" s="16"/>
      <c r="I2877" s="16"/>
      <c r="J2877" s="16"/>
      <c r="K2877" s="16"/>
      <c r="L2877" s="16"/>
      <c r="M2877" s="18" t="str">
        <f aca="false">IF(OR(C2877="",D2877=""),"",IF(MOD(COUNTIFS($C$2:C2877,C2877,$D$2:D2877,D2877)*7,10)&lt;3,"teste","treino"))</f>
        <v/>
      </c>
      <c r="N2877" s="16"/>
      <c r="O2877" s="16"/>
      <c r="P2877" s="16"/>
      <c r="Q2877" s="17"/>
    </row>
    <row r="2878" customFormat="false" ht="15" hidden="false" customHeight="false" outlineLevel="0" collapsed="false">
      <c r="A2878" s="15" t="str">
        <f aca="false">IF(B2878="","",ROW()-1)</f>
        <v/>
      </c>
      <c r="B2878" s="16"/>
      <c r="C2878" s="16"/>
      <c r="D2878" s="16"/>
      <c r="E2878" s="16"/>
      <c r="F2878" s="17"/>
      <c r="G2878" s="16"/>
      <c r="H2878" s="16"/>
      <c r="I2878" s="16"/>
      <c r="J2878" s="16"/>
      <c r="K2878" s="16"/>
      <c r="L2878" s="16"/>
      <c r="M2878" s="18" t="str">
        <f aca="false">IF(OR(C2878="",D2878=""),"",IF(MOD(COUNTIFS($C$2:C2878,C2878,$D$2:D2878,D2878)*7,10)&lt;3,"teste","treino"))</f>
        <v/>
      </c>
      <c r="N2878" s="16"/>
      <c r="O2878" s="16"/>
      <c r="P2878" s="16"/>
      <c r="Q2878" s="17"/>
    </row>
    <row r="2879" customFormat="false" ht="15" hidden="false" customHeight="false" outlineLevel="0" collapsed="false">
      <c r="A2879" s="15" t="str">
        <f aca="false">IF(B2879="","",ROW()-1)</f>
        <v/>
      </c>
      <c r="B2879" s="16"/>
      <c r="C2879" s="16"/>
      <c r="D2879" s="16"/>
      <c r="E2879" s="16"/>
      <c r="F2879" s="17"/>
      <c r="G2879" s="16"/>
      <c r="H2879" s="16"/>
      <c r="I2879" s="16"/>
      <c r="J2879" s="16"/>
      <c r="K2879" s="16"/>
      <c r="L2879" s="16"/>
      <c r="M2879" s="18" t="str">
        <f aca="false">IF(OR(C2879="",D2879=""),"",IF(MOD(COUNTIFS($C$2:C2879,C2879,$D$2:D2879,D2879)*7,10)&lt;3,"teste","treino"))</f>
        <v/>
      </c>
      <c r="N2879" s="16"/>
      <c r="O2879" s="16"/>
      <c r="P2879" s="16"/>
      <c r="Q2879" s="17"/>
    </row>
    <row r="2880" customFormat="false" ht="15" hidden="false" customHeight="false" outlineLevel="0" collapsed="false">
      <c r="A2880" s="15" t="str">
        <f aca="false">IF(B2880="","",ROW()-1)</f>
        <v/>
      </c>
      <c r="B2880" s="16"/>
      <c r="C2880" s="16"/>
      <c r="D2880" s="16"/>
      <c r="E2880" s="16"/>
      <c r="F2880" s="17"/>
      <c r="G2880" s="16"/>
      <c r="H2880" s="16"/>
      <c r="I2880" s="16"/>
      <c r="J2880" s="16"/>
      <c r="K2880" s="16"/>
      <c r="L2880" s="16"/>
      <c r="M2880" s="18" t="str">
        <f aca="false">IF(OR(C2880="",D2880=""),"",IF(MOD(COUNTIFS($C$2:C2880,C2880,$D$2:D2880,D2880)*7,10)&lt;3,"teste","treino"))</f>
        <v/>
      </c>
      <c r="N2880" s="16"/>
      <c r="O2880" s="16"/>
      <c r="P2880" s="16"/>
      <c r="Q2880" s="17"/>
    </row>
    <row r="2881" customFormat="false" ht="15" hidden="false" customHeight="false" outlineLevel="0" collapsed="false">
      <c r="A2881" s="15" t="str">
        <f aca="false">IF(B2881="","",ROW()-1)</f>
        <v/>
      </c>
      <c r="B2881" s="16"/>
      <c r="C2881" s="16"/>
      <c r="D2881" s="16"/>
      <c r="E2881" s="16"/>
      <c r="F2881" s="17"/>
      <c r="G2881" s="16"/>
      <c r="H2881" s="16"/>
      <c r="I2881" s="16"/>
      <c r="J2881" s="16"/>
      <c r="K2881" s="16"/>
      <c r="L2881" s="16"/>
      <c r="M2881" s="18" t="str">
        <f aca="false">IF(OR(C2881="",D2881=""),"",IF(MOD(COUNTIFS($C$2:C2881,C2881,$D$2:D2881,D2881)*7,10)&lt;3,"teste","treino"))</f>
        <v/>
      </c>
      <c r="N2881" s="16"/>
      <c r="O2881" s="16"/>
      <c r="P2881" s="16"/>
      <c r="Q2881" s="17"/>
    </row>
    <row r="2882" customFormat="false" ht="15" hidden="false" customHeight="false" outlineLevel="0" collapsed="false">
      <c r="A2882" s="15" t="str">
        <f aca="false">IF(B2882="","",ROW()-1)</f>
        <v/>
      </c>
      <c r="B2882" s="16"/>
      <c r="C2882" s="16"/>
      <c r="D2882" s="16"/>
      <c r="E2882" s="16"/>
      <c r="F2882" s="17"/>
      <c r="G2882" s="16"/>
      <c r="H2882" s="16"/>
      <c r="I2882" s="16"/>
      <c r="J2882" s="16"/>
      <c r="K2882" s="16"/>
      <c r="L2882" s="16"/>
      <c r="M2882" s="18" t="str">
        <f aca="false">IF(OR(C2882="",D2882=""),"",IF(MOD(COUNTIFS($C$2:C2882,C2882,$D$2:D2882,D2882)*7,10)&lt;3,"teste","treino"))</f>
        <v/>
      </c>
      <c r="N2882" s="16"/>
      <c r="O2882" s="16"/>
      <c r="P2882" s="16"/>
      <c r="Q2882" s="17"/>
    </row>
    <row r="2883" customFormat="false" ht="15" hidden="false" customHeight="false" outlineLevel="0" collapsed="false">
      <c r="A2883" s="15" t="str">
        <f aca="false">IF(B2883="","",ROW()-1)</f>
        <v/>
      </c>
      <c r="B2883" s="16"/>
      <c r="C2883" s="16"/>
      <c r="D2883" s="16"/>
      <c r="E2883" s="16"/>
      <c r="F2883" s="17"/>
      <c r="G2883" s="16"/>
      <c r="H2883" s="16"/>
      <c r="I2883" s="16"/>
      <c r="J2883" s="16"/>
      <c r="K2883" s="16"/>
      <c r="L2883" s="16"/>
      <c r="M2883" s="18" t="str">
        <f aca="false">IF(OR(C2883="",D2883=""),"",IF(MOD(COUNTIFS($C$2:C2883,C2883,$D$2:D2883,D2883)*7,10)&lt;3,"teste","treino"))</f>
        <v/>
      </c>
      <c r="N2883" s="16"/>
      <c r="O2883" s="16"/>
      <c r="P2883" s="16"/>
      <c r="Q2883" s="17"/>
    </row>
    <row r="2884" customFormat="false" ht="15" hidden="false" customHeight="false" outlineLevel="0" collapsed="false">
      <c r="A2884" s="15" t="str">
        <f aca="false">IF(B2884="","",ROW()-1)</f>
        <v/>
      </c>
      <c r="B2884" s="16"/>
      <c r="C2884" s="16"/>
      <c r="D2884" s="16"/>
      <c r="E2884" s="16"/>
      <c r="F2884" s="17"/>
      <c r="G2884" s="16"/>
      <c r="H2884" s="16"/>
      <c r="I2884" s="16"/>
      <c r="J2884" s="16"/>
      <c r="K2884" s="16"/>
      <c r="L2884" s="16"/>
      <c r="M2884" s="18" t="str">
        <f aca="false">IF(OR(C2884="",D2884=""),"",IF(MOD(COUNTIFS($C$2:C2884,C2884,$D$2:D2884,D2884)*7,10)&lt;3,"teste","treino"))</f>
        <v/>
      </c>
      <c r="N2884" s="16"/>
      <c r="O2884" s="16"/>
      <c r="P2884" s="16"/>
      <c r="Q2884" s="17"/>
    </row>
    <row r="2885" customFormat="false" ht="15" hidden="false" customHeight="false" outlineLevel="0" collapsed="false">
      <c r="A2885" s="15" t="str">
        <f aca="false">IF(B2885="","",ROW()-1)</f>
        <v/>
      </c>
      <c r="B2885" s="16"/>
      <c r="C2885" s="16"/>
      <c r="D2885" s="16"/>
      <c r="E2885" s="16"/>
      <c r="F2885" s="17"/>
      <c r="G2885" s="16"/>
      <c r="H2885" s="16"/>
      <c r="I2885" s="16"/>
      <c r="J2885" s="16"/>
      <c r="K2885" s="16"/>
      <c r="L2885" s="16"/>
      <c r="M2885" s="18" t="str">
        <f aca="false">IF(OR(C2885="",D2885=""),"",IF(MOD(COUNTIFS($C$2:C2885,C2885,$D$2:D2885,D2885)*7,10)&lt;3,"teste","treino"))</f>
        <v/>
      </c>
      <c r="N2885" s="16"/>
      <c r="O2885" s="16"/>
      <c r="P2885" s="16"/>
      <c r="Q2885" s="17"/>
    </row>
    <row r="2886" customFormat="false" ht="15" hidden="false" customHeight="false" outlineLevel="0" collapsed="false">
      <c r="A2886" s="15" t="str">
        <f aca="false">IF(B2886="","",ROW()-1)</f>
        <v/>
      </c>
      <c r="B2886" s="16"/>
      <c r="C2886" s="16"/>
      <c r="D2886" s="16"/>
      <c r="E2886" s="16"/>
      <c r="F2886" s="17"/>
      <c r="G2886" s="16"/>
      <c r="H2886" s="16"/>
      <c r="I2886" s="16"/>
      <c r="J2886" s="16"/>
      <c r="K2886" s="16"/>
      <c r="L2886" s="16"/>
      <c r="M2886" s="18" t="str">
        <f aca="false">IF(OR(C2886="",D2886=""),"",IF(MOD(COUNTIFS($C$2:C2886,C2886,$D$2:D2886,D2886)*7,10)&lt;3,"teste","treino"))</f>
        <v/>
      </c>
      <c r="N2886" s="16"/>
      <c r="O2886" s="16"/>
      <c r="P2886" s="16"/>
      <c r="Q2886" s="17"/>
    </row>
    <row r="2887" customFormat="false" ht="15" hidden="false" customHeight="false" outlineLevel="0" collapsed="false">
      <c r="A2887" s="15" t="str">
        <f aca="false">IF(B2887="","",ROW()-1)</f>
        <v/>
      </c>
      <c r="B2887" s="16"/>
      <c r="C2887" s="16"/>
      <c r="D2887" s="16"/>
      <c r="E2887" s="16"/>
      <c r="F2887" s="17"/>
      <c r="G2887" s="16"/>
      <c r="H2887" s="16"/>
      <c r="I2887" s="16"/>
      <c r="J2887" s="16"/>
      <c r="K2887" s="16"/>
      <c r="L2887" s="16"/>
      <c r="M2887" s="18" t="str">
        <f aca="false">IF(OR(C2887="",D2887=""),"",IF(MOD(COUNTIFS($C$2:C2887,C2887,$D$2:D2887,D2887)*7,10)&lt;3,"teste","treino"))</f>
        <v/>
      </c>
      <c r="N2887" s="16"/>
      <c r="O2887" s="16"/>
      <c r="P2887" s="16"/>
      <c r="Q2887" s="17"/>
    </row>
    <row r="2888" customFormat="false" ht="15" hidden="false" customHeight="false" outlineLevel="0" collapsed="false">
      <c r="A2888" s="15" t="str">
        <f aca="false">IF(B2888="","",ROW()-1)</f>
        <v/>
      </c>
      <c r="B2888" s="16"/>
      <c r="C2888" s="16"/>
      <c r="D2888" s="16"/>
      <c r="E2888" s="16"/>
      <c r="F2888" s="17"/>
      <c r="G2888" s="16"/>
      <c r="H2888" s="16"/>
      <c r="I2888" s="16"/>
      <c r="J2888" s="16"/>
      <c r="K2888" s="16"/>
      <c r="L2888" s="16"/>
      <c r="M2888" s="18" t="str">
        <f aca="false">IF(OR(C2888="",D2888=""),"",IF(MOD(COUNTIFS($C$2:C2888,C2888,$D$2:D2888,D2888)*7,10)&lt;3,"teste","treino"))</f>
        <v/>
      </c>
      <c r="N2888" s="16"/>
      <c r="O2888" s="16"/>
      <c r="P2888" s="16"/>
      <c r="Q2888" s="17"/>
    </row>
    <row r="2889" customFormat="false" ht="15" hidden="false" customHeight="false" outlineLevel="0" collapsed="false">
      <c r="A2889" s="15" t="str">
        <f aca="false">IF(B2889="","",ROW()-1)</f>
        <v/>
      </c>
      <c r="B2889" s="16"/>
      <c r="C2889" s="16"/>
      <c r="D2889" s="16"/>
      <c r="E2889" s="16"/>
      <c r="F2889" s="17"/>
      <c r="G2889" s="16"/>
      <c r="H2889" s="16"/>
      <c r="I2889" s="16"/>
      <c r="J2889" s="16"/>
      <c r="K2889" s="16"/>
      <c r="L2889" s="16"/>
      <c r="M2889" s="18" t="str">
        <f aca="false">IF(OR(C2889="",D2889=""),"",IF(MOD(COUNTIFS($C$2:C2889,C2889,$D$2:D2889,D2889)*7,10)&lt;3,"teste","treino"))</f>
        <v/>
      </c>
      <c r="N2889" s="16"/>
      <c r="O2889" s="16"/>
      <c r="P2889" s="16"/>
      <c r="Q2889" s="17"/>
    </row>
    <row r="2890" customFormat="false" ht="15" hidden="false" customHeight="false" outlineLevel="0" collapsed="false">
      <c r="A2890" s="15" t="str">
        <f aca="false">IF(B2890="","",ROW()-1)</f>
        <v/>
      </c>
      <c r="B2890" s="16"/>
      <c r="C2890" s="16"/>
      <c r="D2890" s="16"/>
      <c r="E2890" s="16"/>
      <c r="F2890" s="17"/>
      <c r="G2890" s="16"/>
      <c r="H2890" s="16"/>
      <c r="I2890" s="16"/>
      <c r="J2890" s="16"/>
      <c r="K2890" s="16"/>
      <c r="L2890" s="16"/>
      <c r="M2890" s="18" t="str">
        <f aca="false">IF(OR(C2890="",D2890=""),"",IF(MOD(COUNTIFS($C$2:C2890,C2890,$D$2:D2890,D2890)*7,10)&lt;3,"teste","treino"))</f>
        <v/>
      </c>
      <c r="N2890" s="16"/>
      <c r="O2890" s="16"/>
      <c r="P2890" s="16"/>
      <c r="Q2890" s="17"/>
    </row>
    <row r="2891" customFormat="false" ht="15" hidden="false" customHeight="false" outlineLevel="0" collapsed="false">
      <c r="A2891" s="15" t="str">
        <f aca="false">IF(B2891="","",ROW()-1)</f>
        <v/>
      </c>
      <c r="B2891" s="16"/>
      <c r="C2891" s="16"/>
      <c r="D2891" s="16"/>
      <c r="E2891" s="16"/>
      <c r="F2891" s="17"/>
      <c r="G2891" s="16"/>
      <c r="H2891" s="16"/>
      <c r="I2891" s="16"/>
      <c r="J2891" s="16"/>
      <c r="K2891" s="16"/>
      <c r="L2891" s="16"/>
      <c r="M2891" s="18" t="str">
        <f aca="false">IF(OR(C2891="",D2891=""),"",IF(MOD(COUNTIFS($C$2:C2891,C2891,$D$2:D2891,D2891)*7,10)&lt;3,"teste","treino"))</f>
        <v/>
      </c>
      <c r="N2891" s="16"/>
      <c r="O2891" s="16"/>
      <c r="P2891" s="16"/>
      <c r="Q2891" s="17"/>
    </row>
    <row r="2892" customFormat="false" ht="15" hidden="false" customHeight="false" outlineLevel="0" collapsed="false">
      <c r="A2892" s="15" t="str">
        <f aca="false">IF(B2892="","",ROW()-1)</f>
        <v/>
      </c>
      <c r="B2892" s="16"/>
      <c r="C2892" s="16"/>
      <c r="D2892" s="16"/>
      <c r="E2892" s="16"/>
      <c r="F2892" s="17"/>
      <c r="G2892" s="16"/>
      <c r="H2892" s="16"/>
      <c r="I2892" s="16"/>
      <c r="J2892" s="16"/>
      <c r="K2892" s="16"/>
      <c r="L2892" s="16"/>
      <c r="M2892" s="18" t="str">
        <f aca="false">IF(OR(C2892="",D2892=""),"",IF(MOD(COUNTIFS($C$2:C2892,C2892,$D$2:D2892,D2892)*7,10)&lt;3,"teste","treino"))</f>
        <v/>
      </c>
      <c r="N2892" s="16"/>
      <c r="O2892" s="16"/>
      <c r="P2892" s="16"/>
      <c r="Q2892" s="17"/>
    </row>
    <row r="2893" customFormat="false" ht="15" hidden="false" customHeight="false" outlineLevel="0" collapsed="false">
      <c r="A2893" s="15" t="str">
        <f aca="false">IF(B2893="","",ROW()-1)</f>
        <v/>
      </c>
      <c r="B2893" s="16"/>
      <c r="C2893" s="16"/>
      <c r="D2893" s="16"/>
      <c r="E2893" s="16"/>
      <c r="F2893" s="17"/>
      <c r="G2893" s="16"/>
      <c r="H2893" s="16"/>
      <c r="I2893" s="16"/>
      <c r="J2893" s="16"/>
      <c r="K2893" s="16"/>
      <c r="L2893" s="16"/>
      <c r="M2893" s="18" t="str">
        <f aca="false">IF(OR(C2893="",D2893=""),"",IF(MOD(COUNTIFS($C$2:C2893,C2893,$D$2:D2893,D2893)*7,10)&lt;3,"teste","treino"))</f>
        <v/>
      </c>
      <c r="N2893" s="16"/>
      <c r="O2893" s="16"/>
      <c r="P2893" s="16"/>
      <c r="Q2893" s="17"/>
    </row>
    <row r="2894" customFormat="false" ht="15" hidden="false" customHeight="false" outlineLevel="0" collapsed="false">
      <c r="A2894" s="15" t="str">
        <f aca="false">IF(B2894="","",ROW()-1)</f>
        <v/>
      </c>
      <c r="B2894" s="16"/>
      <c r="C2894" s="16"/>
      <c r="D2894" s="16"/>
      <c r="E2894" s="16"/>
      <c r="F2894" s="17"/>
      <c r="G2894" s="16"/>
      <c r="H2894" s="16"/>
      <c r="I2894" s="16"/>
      <c r="J2894" s="16"/>
      <c r="K2894" s="16"/>
      <c r="L2894" s="16"/>
      <c r="M2894" s="18" t="str">
        <f aca="false">IF(OR(C2894="",D2894=""),"",IF(MOD(COUNTIFS($C$2:C2894,C2894,$D$2:D2894,D2894)*7,10)&lt;3,"teste","treino"))</f>
        <v/>
      </c>
      <c r="N2894" s="16"/>
      <c r="O2894" s="16"/>
      <c r="P2894" s="16"/>
      <c r="Q2894" s="17"/>
    </row>
    <row r="2895" customFormat="false" ht="15" hidden="false" customHeight="false" outlineLevel="0" collapsed="false">
      <c r="A2895" s="15" t="str">
        <f aca="false">IF(B2895="","",ROW()-1)</f>
        <v/>
      </c>
      <c r="B2895" s="16"/>
      <c r="C2895" s="16"/>
      <c r="D2895" s="16"/>
      <c r="E2895" s="16"/>
      <c r="F2895" s="17"/>
      <c r="G2895" s="16"/>
      <c r="H2895" s="16"/>
      <c r="I2895" s="16"/>
      <c r="J2895" s="16"/>
      <c r="K2895" s="16"/>
      <c r="L2895" s="16"/>
      <c r="M2895" s="18" t="str">
        <f aca="false">IF(OR(C2895="",D2895=""),"",IF(MOD(COUNTIFS($C$2:C2895,C2895,$D$2:D2895,D2895)*7,10)&lt;3,"teste","treino"))</f>
        <v/>
      </c>
      <c r="N2895" s="16"/>
      <c r="O2895" s="16"/>
      <c r="P2895" s="16"/>
      <c r="Q2895" s="17"/>
    </row>
    <row r="2896" customFormat="false" ht="15" hidden="false" customHeight="false" outlineLevel="0" collapsed="false">
      <c r="A2896" s="15" t="str">
        <f aca="false">IF(B2896="","",ROW()-1)</f>
        <v/>
      </c>
      <c r="B2896" s="16"/>
      <c r="C2896" s="16"/>
      <c r="D2896" s="16"/>
      <c r="E2896" s="16"/>
      <c r="F2896" s="17"/>
      <c r="G2896" s="16"/>
      <c r="H2896" s="16"/>
      <c r="I2896" s="16"/>
      <c r="J2896" s="16"/>
      <c r="K2896" s="16"/>
      <c r="L2896" s="16"/>
      <c r="M2896" s="18" t="str">
        <f aca="false">IF(OR(C2896="",D2896=""),"",IF(MOD(COUNTIFS($C$2:C2896,C2896,$D$2:D2896,D2896)*7,10)&lt;3,"teste","treino"))</f>
        <v/>
      </c>
      <c r="N2896" s="16"/>
      <c r="O2896" s="16"/>
      <c r="P2896" s="16"/>
      <c r="Q2896" s="17"/>
    </row>
    <row r="2897" customFormat="false" ht="15" hidden="false" customHeight="false" outlineLevel="0" collapsed="false">
      <c r="A2897" s="15" t="str">
        <f aca="false">IF(B2897="","",ROW()-1)</f>
        <v/>
      </c>
      <c r="B2897" s="16"/>
      <c r="C2897" s="16"/>
      <c r="D2897" s="16"/>
      <c r="E2897" s="16"/>
      <c r="F2897" s="17"/>
      <c r="G2897" s="16"/>
      <c r="H2897" s="16"/>
      <c r="I2897" s="16"/>
      <c r="J2897" s="16"/>
      <c r="K2897" s="16"/>
      <c r="L2897" s="16"/>
      <c r="M2897" s="18" t="str">
        <f aca="false">IF(OR(C2897="",D2897=""),"",IF(MOD(COUNTIFS($C$2:C2897,C2897,$D$2:D2897,D2897)*7,10)&lt;3,"teste","treino"))</f>
        <v/>
      </c>
      <c r="N2897" s="16"/>
      <c r="O2897" s="16"/>
      <c r="P2897" s="16"/>
      <c r="Q2897" s="17"/>
    </row>
    <row r="2898" customFormat="false" ht="15" hidden="false" customHeight="false" outlineLevel="0" collapsed="false">
      <c r="A2898" s="15" t="str">
        <f aca="false">IF(B2898="","",ROW()-1)</f>
        <v/>
      </c>
      <c r="B2898" s="16"/>
      <c r="C2898" s="16"/>
      <c r="D2898" s="16"/>
      <c r="E2898" s="16"/>
      <c r="F2898" s="17"/>
      <c r="G2898" s="16"/>
      <c r="H2898" s="16"/>
      <c r="I2898" s="16"/>
      <c r="J2898" s="16"/>
      <c r="K2898" s="16"/>
      <c r="L2898" s="16"/>
      <c r="M2898" s="18" t="str">
        <f aca="false">IF(OR(C2898="",D2898=""),"",IF(MOD(COUNTIFS($C$2:C2898,C2898,$D$2:D2898,D2898)*7,10)&lt;3,"teste","treino"))</f>
        <v/>
      </c>
      <c r="N2898" s="16"/>
      <c r="O2898" s="16"/>
      <c r="P2898" s="16"/>
      <c r="Q2898" s="17"/>
    </row>
    <row r="2899" customFormat="false" ht="15" hidden="false" customHeight="false" outlineLevel="0" collapsed="false">
      <c r="A2899" s="15" t="str">
        <f aca="false">IF(B2899="","",ROW()-1)</f>
        <v/>
      </c>
      <c r="B2899" s="16"/>
      <c r="C2899" s="16"/>
      <c r="D2899" s="16"/>
      <c r="E2899" s="16"/>
      <c r="F2899" s="17"/>
      <c r="G2899" s="16"/>
      <c r="H2899" s="16"/>
      <c r="I2899" s="16"/>
      <c r="J2899" s="16"/>
      <c r="K2899" s="16"/>
      <c r="L2899" s="16"/>
      <c r="M2899" s="18" t="str">
        <f aca="false">IF(OR(C2899="",D2899=""),"",IF(MOD(COUNTIFS($C$2:C2899,C2899,$D$2:D2899,D2899)*7,10)&lt;3,"teste","treino"))</f>
        <v/>
      </c>
      <c r="N2899" s="16"/>
      <c r="O2899" s="16"/>
      <c r="P2899" s="16"/>
      <c r="Q2899" s="17"/>
    </row>
    <row r="2900" customFormat="false" ht="15" hidden="false" customHeight="false" outlineLevel="0" collapsed="false">
      <c r="A2900" s="15" t="str">
        <f aca="false">IF(B2900="","",ROW()-1)</f>
        <v/>
      </c>
      <c r="B2900" s="16"/>
      <c r="C2900" s="16"/>
      <c r="D2900" s="16"/>
      <c r="E2900" s="16"/>
      <c r="F2900" s="17"/>
      <c r="G2900" s="16"/>
      <c r="H2900" s="16"/>
      <c r="I2900" s="16"/>
      <c r="J2900" s="16"/>
      <c r="K2900" s="16"/>
      <c r="L2900" s="16"/>
      <c r="M2900" s="18" t="str">
        <f aca="false">IF(OR(C2900="",D2900=""),"",IF(MOD(COUNTIFS($C$2:C2900,C2900,$D$2:D2900,D2900)*7,10)&lt;3,"teste","treino"))</f>
        <v/>
      </c>
      <c r="N2900" s="16"/>
      <c r="O2900" s="16"/>
      <c r="P2900" s="16"/>
      <c r="Q2900" s="17"/>
    </row>
    <row r="2901" customFormat="false" ht="15" hidden="false" customHeight="false" outlineLevel="0" collapsed="false">
      <c r="A2901" s="15" t="str">
        <f aca="false">IF(B2901="","",ROW()-1)</f>
        <v/>
      </c>
      <c r="B2901" s="16"/>
      <c r="C2901" s="16"/>
      <c r="D2901" s="16"/>
      <c r="E2901" s="16"/>
      <c r="F2901" s="17"/>
      <c r="G2901" s="16"/>
      <c r="H2901" s="16"/>
      <c r="I2901" s="16"/>
      <c r="J2901" s="16"/>
      <c r="K2901" s="16"/>
      <c r="L2901" s="16"/>
      <c r="M2901" s="18" t="str">
        <f aca="false">IF(OR(C2901="",D2901=""),"",IF(MOD(COUNTIFS($C$2:C2901,C2901,$D$2:D2901,D2901)*7,10)&lt;3,"teste","treino"))</f>
        <v/>
      </c>
      <c r="N2901" s="16"/>
      <c r="O2901" s="16"/>
      <c r="P2901" s="16"/>
      <c r="Q2901" s="17"/>
    </row>
    <row r="2902" customFormat="false" ht="15" hidden="false" customHeight="false" outlineLevel="0" collapsed="false">
      <c r="A2902" s="15" t="str">
        <f aca="false">IF(B2902="","",ROW()-1)</f>
        <v/>
      </c>
      <c r="B2902" s="16"/>
      <c r="C2902" s="16"/>
      <c r="D2902" s="16"/>
      <c r="E2902" s="16"/>
      <c r="F2902" s="17"/>
      <c r="G2902" s="16"/>
      <c r="H2902" s="16"/>
      <c r="I2902" s="16"/>
      <c r="J2902" s="16"/>
      <c r="K2902" s="16"/>
      <c r="L2902" s="16"/>
      <c r="M2902" s="18" t="str">
        <f aca="false">IF(OR(C2902="",D2902=""),"",IF(MOD(COUNTIFS($C$2:C2902,C2902,$D$2:D2902,D2902)*7,10)&lt;3,"teste","treino"))</f>
        <v/>
      </c>
      <c r="N2902" s="16"/>
      <c r="O2902" s="16"/>
      <c r="P2902" s="16"/>
      <c r="Q2902" s="17"/>
    </row>
    <row r="2903" customFormat="false" ht="15" hidden="false" customHeight="false" outlineLevel="0" collapsed="false">
      <c r="A2903" s="15" t="str">
        <f aca="false">IF(B2903="","",ROW()-1)</f>
        <v/>
      </c>
      <c r="B2903" s="16"/>
      <c r="C2903" s="16"/>
      <c r="D2903" s="16"/>
      <c r="E2903" s="16"/>
      <c r="F2903" s="17"/>
      <c r="G2903" s="16"/>
      <c r="H2903" s="16"/>
      <c r="I2903" s="16"/>
      <c r="J2903" s="16"/>
      <c r="K2903" s="16"/>
      <c r="L2903" s="16"/>
      <c r="M2903" s="18" t="str">
        <f aca="false">IF(OR(C2903="",D2903=""),"",IF(MOD(COUNTIFS($C$2:C2903,C2903,$D$2:D2903,D2903)*7,10)&lt;3,"teste","treino"))</f>
        <v/>
      </c>
      <c r="N2903" s="16"/>
      <c r="O2903" s="16"/>
      <c r="P2903" s="16"/>
      <c r="Q2903" s="17"/>
    </row>
    <row r="2904" customFormat="false" ht="15" hidden="false" customHeight="false" outlineLevel="0" collapsed="false">
      <c r="A2904" s="15" t="str">
        <f aca="false">IF(B2904="","",ROW()-1)</f>
        <v/>
      </c>
      <c r="B2904" s="16"/>
      <c r="C2904" s="16"/>
      <c r="D2904" s="16"/>
      <c r="E2904" s="16"/>
      <c r="F2904" s="17"/>
      <c r="G2904" s="16"/>
      <c r="H2904" s="16"/>
      <c r="I2904" s="16"/>
      <c r="J2904" s="16"/>
      <c r="K2904" s="16"/>
      <c r="L2904" s="16"/>
      <c r="M2904" s="18" t="str">
        <f aca="false">IF(OR(C2904="",D2904=""),"",IF(MOD(COUNTIFS($C$2:C2904,C2904,$D$2:D2904,D2904)*7,10)&lt;3,"teste","treino"))</f>
        <v/>
      </c>
      <c r="N2904" s="16"/>
      <c r="O2904" s="16"/>
      <c r="P2904" s="16"/>
      <c r="Q2904" s="17"/>
    </row>
    <row r="2905" customFormat="false" ht="15" hidden="false" customHeight="false" outlineLevel="0" collapsed="false">
      <c r="A2905" s="15" t="str">
        <f aca="false">IF(B2905="","",ROW()-1)</f>
        <v/>
      </c>
      <c r="B2905" s="16"/>
      <c r="C2905" s="16"/>
      <c r="D2905" s="16"/>
      <c r="E2905" s="16"/>
      <c r="F2905" s="17"/>
      <c r="G2905" s="16"/>
      <c r="H2905" s="16"/>
      <c r="I2905" s="16"/>
      <c r="J2905" s="16"/>
      <c r="K2905" s="16"/>
      <c r="L2905" s="16"/>
      <c r="M2905" s="18" t="str">
        <f aca="false">IF(OR(C2905="",D2905=""),"",IF(MOD(COUNTIFS($C$2:C2905,C2905,$D$2:D2905,D2905)*7,10)&lt;3,"teste","treino"))</f>
        <v/>
      </c>
      <c r="N2905" s="16"/>
      <c r="O2905" s="16"/>
      <c r="P2905" s="16"/>
      <c r="Q2905" s="17"/>
    </row>
    <row r="2906" customFormat="false" ht="15" hidden="false" customHeight="false" outlineLevel="0" collapsed="false">
      <c r="A2906" s="15" t="str">
        <f aca="false">IF(B2906="","",ROW()-1)</f>
        <v/>
      </c>
      <c r="B2906" s="16"/>
      <c r="C2906" s="16"/>
      <c r="D2906" s="16"/>
      <c r="E2906" s="16"/>
      <c r="F2906" s="17"/>
      <c r="G2906" s="16"/>
      <c r="H2906" s="16"/>
      <c r="I2906" s="16"/>
      <c r="J2906" s="16"/>
      <c r="K2906" s="16"/>
      <c r="L2906" s="16"/>
      <c r="M2906" s="18" t="str">
        <f aca="false">IF(OR(C2906="",D2906=""),"",IF(MOD(COUNTIFS($C$2:C2906,C2906,$D$2:D2906,D2906)*7,10)&lt;3,"teste","treino"))</f>
        <v/>
      </c>
      <c r="N2906" s="16"/>
      <c r="O2906" s="16"/>
      <c r="P2906" s="16"/>
      <c r="Q2906" s="17"/>
    </row>
    <row r="2907" customFormat="false" ht="15" hidden="false" customHeight="false" outlineLevel="0" collapsed="false">
      <c r="A2907" s="15" t="str">
        <f aca="false">IF(B2907="","",ROW()-1)</f>
        <v/>
      </c>
      <c r="B2907" s="16"/>
      <c r="C2907" s="16"/>
      <c r="D2907" s="16"/>
      <c r="E2907" s="16"/>
      <c r="F2907" s="17"/>
      <c r="G2907" s="16"/>
      <c r="H2907" s="16"/>
      <c r="I2907" s="16"/>
      <c r="J2907" s="16"/>
      <c r="K2907" s="16"/>
      <c r="L2907" s="16"/>
      <c r="M2907" s="18" t="str">
        <f aca="false">IF(OR(C2907="",D2907=""),"",IF(MOD(COUNTIFS($C$2:C2907,C2907,$D$2:D2907,D2907)*7,10)&lt;3,"teste","treino"))</f>
        <v/>
      </c>
      <c r="N2907" s="16"/>
      <c r="O2907" s="16"/>
      <c r="P2907" s="16"/>
      <c r="Q2907" s="17"/>
    </row>
    <row r="2908" customFormat="false" ht="15" hidden="false" customHeight="false" outlineLevel="0" collapsed="false">
      <c r="A2908" s="15" t="str">
        <f aca="false">IF(B2908="","",ROW()-1)</f>
        <v/>
      </c>
      <c r="B2908" s="16"/>
      <c r="C2908" s="16"/>
      <c r="D2908" s="16"/>
      <c r="E2908" s="16"/>
      <c r="F2908" s="17"/>
      <c r="G2908" s="16"/>
      <c r="H2908" s="16"/>
      <c r="I2908" s="16"/>
      <c r="J2908" s="16"/>
      <c r="K2908" s="16"/>
      <c r="L2908" s="16"/>
      <c r="M2908" s="18" t="str">
        <f aca="false">IF(OR(C2908="",D2908=""),"",IF(MOD(COUNTIFS($C$2:C2908,C2908,$D$2:D2908,D2908)*7,10)&lt;3,"teste","treino"))</f>
        <v/>
      </c>
      <c r="N2908" s="16"/>
      <c r="O2908" s="16"/>
      <c r="P2908" s="16"/>
      <c r="Q2908" s="17"/>
    </row>
    <row r="2909" customFormat="false" ht="15" hidden="false" customHeight="false" outlineLevel="0" collapsed="false">
      <c r="A2909" s="15" t="str">
        <f aca="false">IF(B2909="","",ROW()-1)</f>
        <v/>
      </c>
      <c r="B2909" s="16"/>
      <c r="C2909" s="16"/>
      <c r="D2909" s="16"/>
      <c r="E2909" s="16"/>
      <c r="F2909" s="17"/>
      <c r="G2909" s="16"/>
      <c r="H2909" s="16"/>
      <c r="I2909" s="16"/>
      <c r="J2909" s="16"/>
      <c r="K2909" s="16"/>
      <c r="L2909" s="16"/>
      <c r="M2909" s="18" t="str">
        <f aca="false">IF(OR(C2909="",D2909=""),"",IF(MOD(COUNTIFS($C$2:C2909,C2909,$D$2:D2909,D2909)*7,10)&lt;3,"teste","treino"))</f>
        <v/>
      </c>
      <c r="N2909" s="16"/>
      <c r="O2909" s="16"/>
      <c r="P2909" s="16"/>
      <c r="Q2909" s="17"/>
    </row>
    <row r="2910" customFormat="false" ht="15" hidden="false" customHeight="false" outlineLevel="0" collapsed="false">
      <c r="A2910" s="15" t="str">
        <f aca="false">IF(B2910="","",ROW()-1)</f>
        <v/>
      </c>
      <c r="B2910" s="16"/>
      <c r="C2910" s="16"/>
      <c r="D2910" s="16"/>
      <c r="E2910" s="16"/>
      <c r="F2910" s="17"/>
      <c r="G2910" s="16"/>
      <c r="H2910" s="16"/>
      <c r="I2910" s="16"/>
      <c r="J2910" s="16"/>
      <c r="K2910" s="16"/>
      <c r="L2910" s="16"/>
      <c r="M2910" s="18" t="str">
        <f aca="false">IF(OR(C2910="",D2910=""),"",IF(MOD(COUNTIFS($C$2:C2910,C2910,$D$2:D2910,D2910)*7,10)&lt;3,"teste","treino"))</f>
        <v/>
      </c>
      <c r="N2910" s="16"/>
      <c r="O2910" s="16"/>
      <c r="P2910" s="16"/>
      <c r="Q2910" s="17"/>
    </row>
    <row r="2911" customFormat="false" ht="15" hidden="false" customHeight="false" outlineLevel="0" collapsed="false">
      <c r="A2911" s="15" t="str">
        <f aca="false">IF(B2911="","",ROW()-1)</f>
        <v/>
      </c>
      <c r="B2911" s="16"/>
      <c r="C2911" s="16"/>
      <c r="D2911" s="16"/>
      <c r="E2911" s="16"/>
      <c r="F2911" s="17"/>
      <c r="G2911" s="16"/>
      <c r="H2911" s="16"/>
      <c r="I2911" s="16"/>
      <c r="J2911" s="16"/>
      <c r="K2911" s="16"/>
      <c r="L2911" s="16"/>
      <c r="M2911" s="18" t="str">
        <f aca="false">IF(OR(C2911="",D2911=""),"",IF(MOD(COUNTIFS($C$2:C2911,C2911,$D$2:D2911,D2911)*7,10)&lt;3,"teste","treino"))</f>
        <v/>
      </c>
      <c r="N2911" s="16"/>
      <c r="O2911" s="16"/>
      <c r="P2911" s="16"/>
      <c r="Q2911" s="17"/>
    </row>
    <row r="2912" customFormat="false" ht="15" hidden="false" customHeight="false" outlineLevel="0" collapsed="false">
      <c r="A2912" s="15" t="str">
        <f aca="false">IF(B2912="","",ROW()-1)</f>
        <v/>
      </c>
      <c r="B2912" s="16"/>
      <c r="C2912" s="16"/>
      <c r="D2912" s="16"/>
      <c r="E2912" s="16"/>
      <c r="F2912" s="17"/>
      <c r="G2912" s="16"/>
      <c r="H2912" s="16"/>
      <c r="I2912" s="16"/>
      <c r="J2912" s="16"/>
      <c r="K2912" s="16"/>
      <c r="L2912" s="16"/>
      <c r="M2912" s="18" t="str">
        <f aca="false">IF(OR(C2912="",D2912=""),"",IF(MOD(COUNTIFS($C$2:C2912,C2912,$D$2:D2912,D2912)*7,10)&lt;3,"teste","treino"))</f>
        <v/>
      </c>
      <c r="N2912" s="16"/>
      <c r="O2912" s="16"/>
      <c r="P2912" s="16"/>
      <c r="Q2912" s="17"/>
    </row>
    <row r="2913" customFormat="false" ht="15" hidden="false" customHeight="false" outlineLevel="0" collapsed="false">
      <c r="A2913" s="15" t="str">
        <f aca="false">IF(B2913="","",ROW()-1)</f>
        <v/>
      </c>
      <c r="B2913" s="16"/>
      <c r="C2913" s="16"/>
      <c r="D2913" s="16"/>
      <c r="E2913" s="16"/>
      <c r="F2913" s="17"/>
      <c r="G2913" s="16"/>
      <c r="H2913" s="16"/>
      <c r="I2913" s="16"/>
      <c r="J2913" s="16"/>
      <c r="K2913" s="16"/>
      <c r="L2913" s="16"/>
      <c r="M2913" s="18" t="str">
        <f aca="false">IF(OR(C2913="",D2913=""),"",IF(MOD(COUNTIFS($C$2:C2913,C2913,$D$2:D2913,D2913)*7,10)&lt;3,"teste","treino"))</f>
        <v/>
      </c>
      <c r="N2913" s="16"/>
      <c r="O2913" s="16"/>
      <c r="P2913" s="16"/>
      <c r="Q2913" s="17"/>
    </row>
    <row r="2914" customFormat="false" ht="15" hidden="false" customHeight="false" outlineLevel="0" collapsed="false">
      <c r="A2914" s="15" t="str">
        <f aca="false">IF(B2914="","",ROW()-1)</f>
        <v/>
      </c>
      <c r="B2914" s="16"/>
      <c r="C2914" s="16"/>
      <c r="D2914" s="16"/>
      <c r="E2914" s="16"/>
      <c r="F2914" s="17"/>
      <c r="G2914" s="16"/>
      <c r="H2914" s="16"/>
      <c r="I2914" s="16"/>
      <c r="J2914" s="16"/>
      <c r="K2914" s="16"/>
      <c r="L2914" s="16"/>
      <c r="M2914" s="18" t="str">
        <f aca="false">IF(OR(C2914="",D2914=""),"",IF(MOD(COUNTIFS($C$2:C2914,C2914,$D$2:D2914,D2914)*7,10)&lt;3,"teste","treino"))</f>
        <v/>
      </c>
      <c r="N2914" s="16"/>
      <c r="O2914" s="16"/>
      <c r="P2914" s="16"/>
      <c r="Q2914" s="17"/>
    </row>
    <row r="2915" customFormat="false" ht="15" hidden="false" customHeight="false" outlineLevel="0" collapsed="false">
      <c r="A2915" s="15" t="str">
        <f aca="false">IF(B2915="","",ROW()-1)</f>
        <v/>
      </c>
      <c r="B2915" s="16"/>
      <c r="C2915" s="16"/>
      <c r="D2915" s="16"/>
      <c r="E2915" s="16"/>
      <c r="F2915" s="17"/>
      <c r="G2915" s="16"/>
      <c r="H2915" s="16"/>
      <c r="I2915" s="16"/>
      <c r="J2915" s="16"/>
      <c r="K2915" s="16"/>
      <c r="L2915" s="16"/>
      <c r="M2915" s="18" t="str">
        <f aca="false">IF(OR(C2915="",D2915=""),"",IF(MOD(COUNTIFS($C$2:C2915,C2915,$D$2:D2915,D2915)*7,10)&lt;3,"teste","treino"))</f>
        <v/>
      </c>
      <c r="N2915" s="16"/>
      <c r="O2915" s="16"/>
      <c r="P2915" s="16"/>
      <c r="Q2915" s="17"/>
    </row>
    <row r="2916" customFormat="false" ht="15" hidden="false" customHeight="false" outlineLevel="0" collapsed="false">
      <c r="A2916" s="15" t="str">
        <f aca="false">IF(B2916="","",ROW()-1)</f>
        <v/>
      </c>
      <c r="B2916" s="16"/>
      <c r="C2916" s="16"/>
      <c r="D2916" s="16"/>
      <c r="E2916" s="16"/>
      <c r="F2916" s="17"/>
      <c r="G2916" s="16"/>
      <c r="H2916" s="16"/>
      <c r="I2916" s="16"/>
      <c r="J2916" s="16"/>
      <c r="K2916" s="16"/>
      <c r="L2916" s="16"/>
      <c r="M2916" s="18" t="str">
        <f aca="false">IF(OR(C2916="",D2916=""),"",IF(MOD(COUNTIFS($C$2:C2916,C2916,$D$2:D2916,D2916)*7,10)&lt;3,"teste","treino"))</f>
        <v/>
      </c>
      <c r="N2916" s="16"/>
      <c r="O2916" s="16"/>
      <c r="P2916" s="16"/>
      <c r="Q2916" s="17"/>
    </row>
    <row r="2917" customFormat="false" ht="15" hidden="false" customHeight="false" outlineLevel="0" collapsed="false">
      <c r="A2917" s="15" t="str">
        <f aca="false">IF(B2917="","",ROW()-1)</f>
        <v/>
      </c>
      <c r="B2917" s="16"/>
      <c r="C2917" s="16"/>
      <c r="D2917" s="16"/>
      <c r="E2917" s="16"/>
      <c r="F2917" s="17"/>
      <c r="G2917" s="16"/>
      <c r="H2917" s="16"/>
      <c r="I2917" s="16"/>
      <c r="J2917" s="16"/>
      <c r="K2917" s="16"/>
      <c r="L2917" s="16"/>
      <c r="M2917" s="18" t="str">
        <f aca="false">IF(OR(C2917="",D2917=""),"",IF(MOD(COUNTIFS($C$2:C2917,C2917,$D$2:D2917,D2917)*7,10)&lt;3,"teste","treino"))</f>
        <v/>
      </c>
      <c r="N2917" s="16"/>
      <c r="O2917" s="16"/>
      <c r="P2917" s="16"/>
      <c r="Q2917" s="17"/>
    </row>
    <row r="2918" customFormat="false" ht="15" hidden="false" customHeight="false" outlineLevel="0" collapsed="false">
      <c r="A2918" s="15" t="str">
        <f aca="false">IF(B2918="","",ROW()-1)</f>
        <v/>
      </c>
      <c r="B2918" s="16"/>
      <c r="C2918" s="16"/>
      <c r="D2918" s="16"/>
      <c r="E2918" s="16"/>
      <c r="F2918" s="17"/>
      <c r="G2918" s="16"/>
      <c r="H2918" s="16"/>
      <c r="I2918" s="16"/>
      <c r="J2918" s="16"/>
      <c r="K2918" s="16"/>
      <c r="L2918" s="16"/>
      <c r="M2918" s="18" t="str">
        <f aca="false">IF(OR(C2918="",D2918=""),"",IF(MOD(COUNTIFS($C$2:C2918,C2918,$D$2:D2918,D2918)*7,10)&lt;3,"teste","treino"))</f>
        <v/>
      </c>
      <c r="N2918" s="16"/>
      <c r="O2918" s="16"/>
      <c r="P2918" s="16"/>
      <c r="Q2918" s="17"/>
    </row>
    <row r="2919" customFormat="false" ht="15" hidden="false" customHeight="false" outlineLevel="0" collapsed="false">
      <c r="A2919" s="15" t="str">
        <f aca="false">IF(B2919="","",ROW()-1)</f>
        <v/>
      </c>
      <c r="B2919" s="16"/>
      <c r="C2919" s="16"/>
      <c r="D2919" s="16"/>
      <c r="E2919" s="16"/>
      <c r="F2919" s="17"/>
      <c r="G2919" s="16"/>
      <c r="H2919" s="16"/>
      <c r="I2919" s="16"/>
      <c r="J2919" s="16"/>
      <c r="K2919" s="16"/>
      <c r="L2919" s="16"/>
      <c r="M2919" s="18" t="str">
        <f aca="false">IF(OR(C2919="",D2919=""),"",IF(MOD(COUNTIFS($C$2:C2919,C2919,$D$2:D2919,D2919)*7,10)&lt;3,"teste","treino"))</f>
        <v/>
      </c>
      <c r="N2919" s="16"/>
      <c r="O2919" s="16"/>
      <c r="P2919" s="16"/>
      <c r="Q2919" s="17"/>
    </row>
    <row r="2920" customFormat="false" ht="15" hidden="false" customHeight="false" outlineLevel="0" collapsed="false">
      <c r="A2920" s="15" t="str">
        <f aca="false">IF(B2920="","",ROW()-1)</f>
        <v/>
      </c>
      <c r="B2920" s="16"/>
      <c r="C2920" s="16"/>
      <c r="D2920" s="16"/>
      <c r="E2920" s="16"/>
      <c r="F2920" s="17"/>
      <c r="G2920" s="16"/>
      <c r="H2920" s="16"/>
      <c r="I2920" s="16"/>
      <c r="J2920" s="16"/>
      <c r="K2920" s="16"/>
      <c r="L2920" s="16"/>
      <c r="M2920" s="18" t="str">
        <f aca="false">IF(OR(C2920="",D2920=""),"",IF(MOD(COUNTIFS($C$2:C2920,C2920,$D$2:D2920,D2920)*7,10)&lt;3,"teste","treino"))</f>
        <v/>
      </c>
      <c r="N2920" s="16"/>
      <c r="O2920" s="16"/>
      <c r="P2920" s="16"/>
      <c r="Q2920" s="17"/>
    </row>
    <row r="2921" customFormat="false" ht="15" hidden="false" customHeight="false" outlineLevel="0" collapsed="false">
      <c r="A2921" s="15" t="str">
        <f aca="false">IF(B2921="","",ROW()-1)</f>
        <v/>
      </c>
      <c r="B2921" s="16"/>
      <c r="C2921" s="16"/>
      <c r="D2921" s="16"/>
      <c r="E2921" s="16"/>
      <c r="F2921" s="17"/>
      <c r="G2921" s="16"/>
      <c r="H2921" s="16"/>
      <c r="I2921" s="16"/>
      <c r="J2921" s="16"/>
      <c r="K2921" s="16"/>
      <c r="L2921" s="16"/>
      <c r="M2921" s="18" t="str">
        <f aca="false">IF(OR(C2921="",D2921=""),"",IF(MOD(COUNTIFS($C$2:C2921,C2921,$D$2:D2921,D2921)*7,10)&lt;3,"teste","treino"))</f>
        <v/>
      </c>
      <c r="N2921" s="16"/>
      <c r="O2921" s="16"/>
      <c r="P2921" s="16"/>
      <c r="Q2921" s="17"/>
    </row>
    <row r="2922" customFormat="false" ht="15" hidden="false" customHeight="false" outlineLevel="0" collapsed="false">
      <c r="A2922" s="15" t="str">
        <f aca="false">IF(B2922="","",ROW()-1)</f>
        <v/>
      </c>
      <c r="B2922" s="16"/>
      <c r="C2922" s="16"/>
      <c r="D2922" s="16"/>
      <c r="E2922" s="16"/>
      <c r="F2922" s="17"/>
      <c r="G2922" s="16"/>
      <c r="H2922" s="16"/>
      <c r="I2922" s="16"/>
      <c r="J2922" s="16"/>
      <c r="K2922" s="16"/>
      <c r="L2922" s="16"/>
      <c r="M2922" s="18" t="str">
        <f aca="false">IF(OR(C2922="",D2922=""),"",IF(MOD(COUNTIFS($C$2:C2922,C2922,$D$2:D2922,D2922)*7,10)&lt;3,"teste","treino"))</f>
        <v/>
      </c>
      <c r="N2922" s="16"/>
      <c r="O2922" s="16"/>
      <c r="P2922" s="16"/>
      <c r="Q2922" s="17"/>
    </row>
    <row r="2923" customFormat="false" ht="15" hidden="false" customHeight="false" outlineLevel="0" collapsed="false">
      <c r="A2923" s="15" t="str">
        <f aca="false">IF(B2923="","",ROW()-1)</f>
        <v/>
      </c>
      <c r="B2923" s="16"/>
      <c r="C2923" s="16"/>
      <c r="D2923" s="16"/>
      <c r="E2923" s="16"/>
      <c r="F2923" s="17"/>
      <c r="G2923" s="16"/>
      <c r="H2923" s="16"/>
      <c r="I2923" s="16"/>
      <c r="J2923" s="16"/>
      <c r="K2923" s="16"/>
      <c r="L2923" s="16"/>
      <c r="M2923" s="18" t="str">
        <f aca="false">IF(OR(C2923="",D2923=""),"",IF(MOD(COUNTIFS($C$2:C2923,C2923,$D$2:D2923,D2923)*7,10)&lt;3,"teste","treino"))</f>
        <v/>
      </c>
      <c r="N2923" s="16"/>
      <c r="O2923" s="16"/>
      <c r="P2923" s="16"/>
      <c r="Q2923" s="17"/>
    </row>
    <row r="2924" customFormat="false" ht="15" hidden="false" customHeight="false" outlineLevel="0" collapsed="false">
      <c r="A2924" s="15" t="str">
        <f aca="false">IF(B2924="","",ROW()-1)</f>
        <v/>
      </c>
      <c r="B2924" s="16"/>
      <c r="C2924" s="16"/>
      <c r="D2924" s="16"/>
      <c r="E2924" s="16"/>
      <c r="F2924" s="17"/>
      <c r="G2924" s="16"/>
      <c r="H2924" s="16"/>
      <c r="I2924" s="16"/>
      <c r="J2924" s="16"/>
      <c r="K2924" s="16"/>
      <c r="L2924" s="16"/>
      <c r="M2924" s="18" t="str">
        <f aca="false">IF(OR(C2924="",D2924=""),"",IF(MOD(COUNTIFS($C$2:C2924,C2924,$D$2:D2924,D2924)*7,10)&lt;3,"teste","treino"))</f>
        <v/>
      </c>
      <c r="N2924" s="16"/>
      <c r="O2924" s="16"/>
      <c r="P2924" s="16"/>
      <c r="Q2924" s="17"/>
    </row>
    <row r="2925" customFormat="false" ht="15" hidden="false" customHeight="false" outlineLevel="0" collapsed="false">
      <c r="A2925" s="15" t="str">
        <f aca="false">IF(B2925="","",ROW()-1)</f>
        <v/>
      </c>
      <c r="B2925" s="16"/>
      <c r="C2925" s="16"/>
      <c r="D2925" s="16"/>
      <c r="E2925" s="16"/>
      <c r="F2925" s="17"/>
      <c r="G2925" s="16"/>
      <c r="H2925" s="16"/>
      <c r="I2925" s="16"/>
      <c r="J2925" s="16"/>
      <c r="K2925" s="16"/>
      <c r="L2925" s="16"/>
      <c r="M2925" s="18" t="str">
        <f aca="false">IF(OR(C2925="",D2925=""),"",IF(MOD(COUNTIFS($C$2:C2925,C2925,$D$2:D2925,D2925)*7,10)&lt;3,"teste","treino"))</f>
        <v/>
      </c>
      <c r="N2925" s="16"/>
      <c r="O2925" s="16"/>
      <c r="P2925" s="16"/>
      <c r="Q2925" s="17"/>
    </row>
    <row r="2926" customFormat="false" ht="15" hidden="false" customHeight="false" outlineLevel="0" collapsed="false">
      <c r="A2926" s="15" t="str">
        <f aca="false">IF(B2926="","",ROW()-1)</f>
        <v/>
      </c>
      <c r="B2926" s="16"/>
      <c r="C2926" s="16"/>
      <c r="D2926" s="16"/>
      <c r="E2926" s="16"/>
      <c r="F2926" s="17"/>
      <c r="G2926" s="16"/>
      <c r="H2926" s="16"/>
      <c r="I2926" s="16"/>
      <c r="J2926" s="16"/>
      <c r="K2926" s="16"/>
      <c r="L2926" s="16"/>
      <c r="M2926" s="18" t="str">
        <f aca="false">IF(OR(C2926="",D2926=""),"",IF(MOD(COUNTIFS($C$2:C2926,C2926,$D$2:D2926,D2926)*7,10)&lt;3,"teste","treino"))</f>
        <v/>
      </c>
      <c r="N2926" s="16"/>
      <c r="O2926" s="16"/>
      <c r="P2926" s="16"/>
      <c r="Q2926" s="17"/>
    </row>
    <row r="2927" customFormat="false" ht="15" hidden="false" customHeight="false" outlineLevel="0" collapsed="false">
      <c r="A2927" s="15" t="str">
        <f aca="false">IF(B2927="","",ROW()-1)</f>
        <v/>
      </c>
      <c r="B2927" s="16"/>
      <c r="C2927" s="16"/>
      <c r="D2927" s="16"/>
      <c r="E2927" s="16"/>
      <c r="F2927" s="17"/>
      <c r="G2927" s="16"/>
      <c r="H2927" s="16"/>
      <c r="I2927" s="16"/>
      <c r="J2927" s="16"/>
      <c r="K2927" s="16"/>
      <c r="L2927" s="16"/>
      <c r="M2927" s="18" t="str">
        <f aca="false">IF(OR(C2927="",D2927=""),"",IF(MOD(COUNTIFS($C$2:C2927,C2927,$D$2:D2927,D2927)*7,10)&lt;3,"teste","treino"))</f>
        <v/>
      </c>
      <c r="N2927" s="16"/>
      <c r="O2927" s="16"/>
      <c r="P2927" s="16"/>
      <c r="Q2927" s="17"/>
    </row>
    <row r="2928" customFormat="false" ht="15" hidden="false" customHeight="false" outlineLevel="0" collapsed="false">
      <c r="A2928" s="15" t="str">
        <f aca="false">IF(B2928="","",ROW()-1)</f>
        <v/>
      </c>
      <c r="B2928" s="16"/>
      <c r="C2928" s="16"/>
      <c r="D2928" s="16"/>
      <c r="E2928" s="16"/>
      <c r="F2928" s="17"/>
      <c r="G2928" s="16"/>
      <c r="H2928" s="16"/>
      <c r="I2928" s="16"/>
      <c r="J2928" s="16"/>
      <c r="K2928" s="16"/>
      <c r="L2928" s="16"/>
      <c r="M2928" s="18" t="str">
        <f aca="false">IF(OR(C2928="",D2928=""),"",IF(MOD(COUNTIFS($C$2:C2928,C2928,$D$2:D2928,D2928)*7,10)&lt;3,"teste","treino"))</f>
        <v/>
      </c>
      <c r="N2928" s="16"/>
      <c r="O2928" s="16"/>
      <c r="P2928" s="16"/>
      <c r="Q2928" s="17"/>
    </row>
    <row r="2929" customFormat="false" ht="15" hidden="false" customHeight="false" outlineLevel="0" collapsed="false">
      <c r="A2929" s="15" t="str">
        <f aca="false">IF(B2929="","",ROW()-1)</f>
        <v/>
      </c>
      <c r="B2929" s="16"/>
      <c r="C2929" s="16"/>
      <c r="D2929" s="16"/>
      <c r="E2929" s="16"/>
      <c r="F2929" s="17"/>
      <c r="G2929" s="16"/>
      <c r="H2929" s="16"/>
      <c r="I2929" s="16"/>
      <c r="J2929" s="16"/>
      <c r="K2929" s="16"/>
      <c r="L2929" s="16"/>
      <c r="M2929" s="18" t="str">
        <f aca="false">IF(OR(C2929="",D2929=""),"",IF(MOD(COUNTIFS($C$2:C2929,C2929,$D$2:D2929,D2929)*7,10)&lt;3,"teste","treino"))</f>
        <v/>
      </c>
      <c r="N2929" s="16"/>
      <c r="O2929" s="16"/>
      <c r="P2929" s="16"/>
      <c r="Q2929" s="17"/>
    </row>
    <row r="2930" customFormat="false" ht="15" hidden="false" customHeight="false" outlineLevel="0" collapsed="false">
      <c r="A2930" s="15" t="str">
        <f aca="false">IF(B2930="","",ROW()-1)</f>
        <v/>
      </c>
      <c r="B2930" s="16"/>
      <c r="C2930" s="16"/>
      <c r="D2930" s="16"/>
      <c r="E2930" s="16"/>
      <c r="F2930" s="17"/>
      <c r="G2930" s="16"/>
      <c r="H2930" s="16"/>
      <c r="I2930" s="16"/>
      <c r="J2930" s="16"/>
      <c r="K2930" s="16"/>
      <c r="L2930" s="16"/>
      <c r="M2930" s="18" t="str">
        <f aca="false">IF(OR(C2930="",D2930=""),"",IF(MOD(COUNTIFS($C$2:C2930,C2930,$D$2:D2930,D2930)*7,10)&lt;3,"teste","treino"))</f>
        <v/>
      </c>
      <c r="N2930" s="16"/>
      <c r="O2930" s="16"/>
      <c r="P2930" s="16"/>
      <c r="Q2930" s="17"/>
    </row>
    <row r="2931" customFormat="false" ht="15" hidden="false" customHeight="false" outlineLevel="0" collapsed="false">
      <c r="A2931" s="15" t="str">
        <f aca="false">IF(B2931="","",ROW()-1)</f>
        <v/>
      </c>
      <c r="B2931" s="16"/>
      <c r="C2931" s="16"/>
      <c r="D2931" s="16"/>
      <c r="E2931" s="16"/>
      <c r="F2931" s="17"/>
      <c r="G2931" s="16"/>
      <c r="H2931" s="16"/>
      <c r="I2931" s="16"/>
      <c r="J2931" s="16"/>
      <c r="K2931" s="16"/>
      <c r="L2931" s="16"/>
      <c r="M2931" s="18" t="str">
        <f aca="false">IF(OR(C2931="",D2931=""),"",IF(MOD(COUNTIFS($C$2:C2931,C2931,$D$2:D2931,D2931)*7,10)&lt;3,"teste","treino"))</f>
        <v/>
      </c>
      <c r="N2931" s="16"/>
      <c r="O2931" s="16"/>
      <c r="P2931" s="16"/>
      <c r="Q2931" s="17"/>
    </row>
    <row r="2932" customFormat="false" ht="15" hidden="false" customHeight="false" outlineLevel="0" collapsed="false">
      <c r="A2932" s="15" t="str">
        <f aca="false">IF(B2932="","",ROW()-1)</f>
        <v/>
      </c>
      <c r="B2932" s="16"/>
      <c r="C2932" s="16"/>
      <c r="D2932" s="16"/>
      <c r="E2932" s="16"/>
      <c r="F2932" s="17"/>
      <c r="G2932" s="16"/>
      <c r="H2932" s="16"/>
      <c r="I2932" s="16"/>
      <c r="J2932" s="16"/>
      <c r="K2932" s="16"/>
      <c r="L2932" s="16"/>
      <c r="M2932" s="18" t="str">
        <f aca="false">IF(OR(C2932="",D2932=""),"",IF(MOD(COUNTIFS($C$2:C2932,C2932,$D$2:D2932,D2932)*7,10)&lt;3,"teste","treino"))</f>
        <v/>
      </c>
      <c r="N2932" s="16"/>
      <c r="O2932" s="16"/>
      <c r="P2932" s="16"/>
      <c r="Q2932" s="17"/>
    </row>
    <row r="2933" customFormat="false" ht="15" hidden="false" customHeight="false" outlineLevel="0" collapsed="false">
      <c r="A2933" s="15" t="str">
        <f aca="false">IF(B2933="","",ROW()-1)</f>
        <v/>
      </c>
      <c r="B2933" s="16"/>
      <c r="C2933" s="16"/>
      <c r="D2933" s="16"/>
      <c r="E2933" s="16"/>
      <c r="F2933" s="17"/>
      <c r="G2933" s="16"/>
      <c r="H2933" s="16"/>
      <c r="I2933" s="16"/>
      <c r="J2933" s="16"/>
      <c r="K2933" s="16"/>
      <c r="L2933" s="16"/>
      <c r="M2933" s="18" t="str">
        <f aca="false">IF(OR(C2933="",D2933=""),"",IF(MOD(COUNTIFS($C$2:C2933,C2933,$D$2:D2933,D2933)*7,10)&lt;3,"teste","treino"))</f>
        <v/>
      </c>
      <c r="N2933" s="16"/>
      <c r="O2933" s="16"/>
      <c r="P2933" s="16"/>
      <c r="Q2933" s="17"/>
    </row>
    <row r="2934" customFormat="false" ht="15" hidden="false" customHeight="false" outlineLevel="0" collapsed="false">
      <c r="A2934" s="15" t="str">
        <f aca="false">IF(B2934="","",ROW()-1)</f>
        <v/>
      </c>
      <c r="B2934" s="16"/>
      <c r="C2934" s="16"/>
      <c r="D2934" s="16"/>
      <c r="E2934" s="16"/>
      <c r="F2934" s="17"/>
      <c r="G2934" s="16"/>
      <c r="H2934" s="16"/>
      <c r="I2934" s="16"/>
      <c r="J2934" s="16"/>
      <c r="K2934" s="16"/>
      <c r="L2934" s="16"/>
      <c r="M2934" s="18" t="str">
        <f aca="false">IF(OR(C2934="",D2934=""),"",IF(MOD(COUNTIFS($C$2:C2934,C2934,$D$2:D2934,D2934)*7,10)&lt;3,"teste","treino"))</f>
        <v/>
      </c>
      <c r="N2934" s="16"/>
      <c r="O2934" s="16"/>
      <c r="P2934" s="16"/>
      <c r="Q2934" s="17"/>
    </row>
    <row r="2935" customFormat="false" ht="15" hidden="false" customHeight="false" outlineLevel="0" collapsed="false">
      <c r="A2935" s="15" t="str">
        <f aca="false">IF(B2935="","",ROW()-1)</f>
        <v/>
      </c>
      <c r="B2935" s="16"/>
      <c r="C2935" s="16"/>
      <c r="D2935" s="16"/>
      <c r="E2935" s="16"/>
      <c r="F2935" s="17"/>
      <c r="G2935" s="16"/>
      <c r="H2935" s="16"/>
      <c r="I2935" s="16"/>
      <c r="J2935" s="16"/>
      <c r="K2935" s="16"/>
      <c r="L2935" s="16"/>
      <c r="M2935" s="18" t="str">
        <f aca="false">IF(OR(C2935="",D2935=""),"",IF(MOD(COUNTIFS($C$2:C2935,C2935,$D$2:D2935,D2935)*7,10)&lt;3,"teste","treino"))</f>
        <v/>
      </c>
      <c r="N2935" s="16"/>
      <c r="O2935" s="16"/>
      <c r="P2935" s="16"/>
      <c r="Q2935" s="17"/>
    </row>
    <row r="2936" customFormat="false" ht="15" hidden="false" customHeight="false" outlineLevel="0" collapsed="false">
      <c r="A2936" s="15" t="str">
        <f aca="false">IF(B2936="","",ROW()-1)</f>
        <v/>
      </c>
      <c r="B2936" s="16"/>
      <c r="C2936" s="16"/>
      <c r="D2936" s="16"/>
      <c r="E2936" s="16"/>
      <c r="F2936" s="17"/>
      <c r="G2936" s="16"/>
      <c r="H2936" s="16"/>
      <c r="I2936" s="16"/>
      <c r="J2936" s="16"/>
      <c r="K2936" s="16"/>
      <c r="L2936" s="16"/>
      <c r="M2936" s="18" t="str">
        <f aca="false">IF(OR(C2936="",D2936=""),"",IF(MOD(COUNTIFS($C$2:C2936,C2936,$D$2:D2936,D2936)*7,10)&lt;3,"teste","treino"))</f>
        <v/>
      </c>
      <c r="N2936" s="16"/>
      <c r="O2936" s="16"/>
      <c r="P2936" s="16"/>
      <c r="Q2936" s="17"/>
    </row>
    <row r="2937" customFormat="false" ht="15" hidden="false" customHeight="false" outlineLevel="0" collapsed="false">
      <c r="A2937" s="15" t="str">
        <f aca="false">IF(B2937="","",ROW()-1)</f>
        <v/>
      </c>
      <c r="B2937" s="16"/>
      <c r="C2937" s="16"/>
      <c r="D2937" s="16"/>
      <c r="E2937" s="16"/>
      <c r="F2937" s="17"/>
      <c r="G2937" s="16"/>
      <c r="H2937" s="16"/>
      <c r="I2937" s="16"/>
      <c r="J2937" s="16"/>
      <c r="K2937" s="16"/>
      <c r="L2937" s="16"/>
      <c r="M2937" s="18" t="str">
        <f aca="false">IF(OR(C2937="",D2937=""),"",IF(MOD(COUNTIFS($C$2:C2937,C2937,$D$2:D2937,D2937)*7,10)&lt;3,"teste","treino"))</f>
        <v/>
      </c>
      <c r="N2937" s="16"/>
      <c r="O2937" s="16"/>
      <c r="P2937" s="16"/>
      <c r="Q2937" s="17"/>
    </row>
    <row r="2938" customFormat="false" ht="15" hidden="false" customHeight="false" outlineLevel="0" collapsed="false">
      <c r="A2938" s="15" t="str">
        <f aca="false">IF(B2938="","",ROW()-1)</f>
        <v/>
      </c>
      <c r="B2938" s="16"/>
      <c r="C2938" s="16"/>
      <c r="D2938" s="16"/>
      <c r="E2938" s="16"/>
      <c r="F2938" s="17"/>
      <c r="G2938" s="16"/>
      <c r="H2938" s="16"/>
      <c r="I2938" s="16"/>
      <c r="J2938" s="16"/>
      <c r="K2938" s="16"/>
      <c r="L2938" s="16"/>
      <c r="M2938" s="18" t="str">
        <f aca="false">IF(OR(C2938="",D2938=""),"",IF(MOD(COUNTIFS($C$2:C2938,C2938,$D$2:D2938,D2938)*7,10)&lt;3,"teste","treino"))</f>
        <v/>
      </c>
      <c r="N2938" s="16"/>
      <c r="O2938" s="16"/>
      <c r="P2938" s="16"/>
      <c r="Q2938" s="17"/>
    </row>
    <row r="2939" customFormat="false" ht="15" hidden="false" customHeight="false" outlineLevel="0" collapsed="false">
      <c r="A2939" s="15" t="str">
        <f aca="false">IF(B2939="","",ROW()-1)</f>
        <v/>
      </c>
      <c r="B2939" s="16"/>
      <c r="C2939" s="16"/>
      <c r="D2939" s="16"/>
      <c r="E2939" s="16"/>
      <c r="F2939" s="17"/>
      <c r="G2939" s="16"/>
      <c r="H2939" s="16"/>
      <c r="I2939" s="16"/>
      <c r="J2939" s="16"/>
      <c r="K2939" s="16"/>
      <c r="L2939" s="16"/>
      <c r="M2939" s="18" t="str">
        <f aca="false">IF(OR(C2939="",D2939=""),"",IF(MOD(COUNTIFS($C$2:C2939,C2939,$D$2:D2939,D2939)*7,10)&lt;3,"teste","treino"))</f>
        <v/>
      </c>
      <c r="N2939" s="16"/>
      <c r="O2939" s="16"/>
      <c r="P2939" s="16"/>
      <c r="Q2939" s="17"/>
    </row>
    <row r="2940" customFormat="false" ht="15" hidden="false" customHeight="false" outlineLevel="0" collapsed="false">
      <c r="A2940" s="15" t="str">
        <f aca="false">IF(B2940="","",ROW()-1)</f>
        <v/>
      </c>
      <c r="B2940" s="16"/>
      <c r="C2940" s="16"/>
      <c r="D2940" s="16"/>
      <c r="E2940" s="16"/>
      <c r="F2940" s="17"/>
      <c r="G2940" s="16"/>
      <c r="H2940" s="16"/>
      <c r="I2940" s="16"/>
      <c r="J2940" s="16"/>
      <c r="K2940" s="16"/>
      <c r="L2940" s="16"/>
      <c r="M2940" s="18" t="str">
        <f aca="false">IF(OR(C2940="",D2940=""),"",IF(MOD(COUNTIFS($C$2:C2940,C2940,$D$2:D2940,D2940)*7,10)&lt;3,"teste","treino"))</f>
        <v/>
      </c>
      <c r="N2940" s="16"/>
      <c r="O2940" s="16"/>
      <c r="P2940" s="16"/>
      <c r="Q2940" s="17"/>
    </row>
    <row r="2941" customFormat="false" ht="15" hidden="false" customHeight="false" outlineLevel="0" collapsed="false">
      <c r="A2941" s="15" t="str">
        <f aca="false">IF(B2941="","",ROW()-1)</f>
        <v/>
      </c>
      <c r="B2941" s="16"/>
      <c r="C2941" s="16"/>
      <c r="D2941" s="16"/>
      <c r="E2941" s="16"/>
      <c r="F2941" s="17"/>
      <c r="G2941" s="16"/>
      <c r="H2941" s="16"/>
      <c r="I2941" s="16"/>
      <c r="J2941" s="16"/>
      <c r="K2941" s="16"/>
      <c r="L2941" s="16"/>
      <c r="M2941" s="18" t="str">
        <f aca="false">IF(OR(C2941="",D2941=""),"",IF(MOD(COUNTIFS($C$2:C2941,C2941,$D$2:D2941,D2941)*7,10)&lt;3,"teste","treino"))</f>
        <v/>
      </c>
      <c r="N2941" s="16"/>
      <c r="O2941" s="16"/>
      <c r="P2941" s="16"/>
      <c r="Q2941" s="17"/>
    </row>
    <row r="2942" customFormat="false" ht="15" hidden="false" customHeight="false" outlineLevel="0" collapsed="false">
      <c r="A2942" s="15" t="str">
        <f aca="false">IF(B2942="","",ROW()-1)</f>
        <v/>
      </c>
      <c r="B2942" s="16"/>
      <c r="C2942" s="16"/>
      <c r="D2942" s="16"/>
      <c r="E2942" s="16"/>
      <c r="F2942" s="17"/>
      <c r="G2942" s="16"/>
      <c r="H2942" s="16"/>
      <c r="I2942" s="16"/>
      <c r="J2942" s="16"/>
      <c r="K2942" s="16"/>
      <c r="L2942" s="16"/>
      <c r="M2942" s="18" t="str">
        <f aca="false">IF(OR(C2942="",D2942=""),"",IF(MOD(COUNTIFS($C$2:C2942,C2942,$D$2:D2942,D2942)*7,10)&lt;3,"teste","treino"))</f>
        <v/>
      </c>
      <c r="N2942" s="16"/>
      <c r="O2942" s="16"/>
      <c r="P2942" s="16"/>
      <c r="Q2942" s="17"/>
    </row>
    <row r="2943" customFormat="false" ht="15" hidden="false" customHeight="false" outlineLevel="0" collapsed="false">
      <c r="A2943" s="15" t="str">
        <f aca="false">IF(B2943="","",ROW()-1)</f>
        <v/>
      </c>
      <c r="B2943" s="16"/>
      <c r="C2943" s="16"/>
      <c r="D2943" s="16"/>
      <c r="E2943" s="16"/>
      <c r="F2943" s="17"/>
      <c r="G2943" s="16"/>
      <c r="H2943" s="16"/>
      <c r="I2943" s="16"/>
      <c r="J2943" s="16"/>
      <c r="K2943" s="16"/>
      <c r="L2943" s="16"/>
      <c r="M2943" s="18" t="str">
        <f aca="false">IF(OR(C2943="",D2943=""),"",IF(MOD(COUNTIFS($C$2:C2943,C2943,$D$2:D2943,D2943)*7,10)&lt;3,"teste","treino"))</f>
        <v/>
      </c>
      <c r="N2943" s="16"/>
      <c r="O2943" s="16"/>
      <c r="P2943" s="16"/>
      <c r="Q2943" s="17"/>
    </row>
    <row r="2944" customFormat="false" ht="15" hidden="false" customHeight="false" outlineLevel="0" collapsed="false">
      <c r="A2944" s="15" t="str">
        <f aca="false">IF(B2944="","",ROW()-1)</f>
        <v/>
      </c>
      <c r="B2944" s="16"/>
      <c r="C2944" s="16"/>
      <c r="D2944" s="16"/>
      <c r="E2944" s="16"/>
      <c r="F2944" s="17"/>
      <c r="G2944" s="16"/>
      <c r="H2944" s="16"/>
      <c r="I2944" s="16"/>
      <c r="J2944" s="16"/>
      <c r="K2944" s="16"/>
      <c r="L2944" s="16"/>
      <c r="M2944" s="18" t="str">
        <f aca="false">IF(OR(C2944="",D2944=""),"",IF(MOD(COUNTIFS($C$2:C2944,C2944,$D$2:D2944,D2944)*7,10)&lt;3,"teste","treino"))</f>
        <v/>
      </c>
      <c r="N2944" s="16"/>
      <c r="O2944" s="16"/>
      <c r="P2944" s="16"/>
      <c r="Q2944" s="17"/>
    </row>
    <row r="2945" customFormat="false" ht="15" hidden="false" customHeight="false" outlineLevel="0" collapsed="false">
      <c r="A2945" s="15" t="str">
        <f aca="false">IF(B2945="","",ROW()-1)</f>
        <v/>
      </c>
      <c r="B2945" s="16"/>
      <c r="C2945" s="16"/>
      <c r="D2945" s="16"/>
      <c r="E2945" s="16"/>
      <c r="F2945" s="17"/>
      <c r="G2945" s="16"/>
      <c r="H2945" s="16"/>
      <c r="I2945" s="16"/>
      <c r="J2945" s="16"/>
      <c r="K2945" s="16"/>
      <c r="L2945" s="16"/>
      <c r="M2945" s="18" t="str">
        <f aca="false">IF(OR(C2945="",D2945=""),"",IF(MOD(COUNTIFS($C$2:C2945,C2945,$D$2:D2945,D2945)*7,10)&lt;3,"teste","treino"))</f>
        <v/>
      </c>
      <c r="N2945" s="16"/>
      <c r="O2945" s="16"/>
      <c r="P2945" s="16"/>
      <c r="Q2945" s="17"/>
    </row>
    <row r="2946" customFormat="false" ht="15" hidden="false" customHeight="false" outlineLevel="0" collapsed="false">
      <c r="A2946" s="15" t="str">
        <f aca="false">IF(B2946="","",ROW()-1)</f>
        <v/>
      </c>
      <c r="B2946" s="16"/>
      <c r="C2946" s="16"/>
      <c r="D2946" s="16"/>
      <c r="E2946" s="16"/>
      <c r="F2946" s="17"/>
      <c r="G2946" s="16"/>
      <c r="H2946" s="16"/>
      <c r="I2946" s="16"/>
      <c r="J2946" s="16"/>
      <c r="K2946" s="16"/>
      <c r="L2946" s="16"/>
      <c r="M2946" s="18" t="str">
        <f aca="false">IF(OR(C2946="",D2946=""),"",IF(MOD(COUNTIFS($C$2:C2946,C2946,$D$2:D2946,D2946)*7,10)&lt;3,"teste","treino"))</f>
        <v/>
      </c>
      <c r="N2946" s="16"/>
      <c r="O2946" s="16"/>
      <c r="P2946" s="16"/>
      <c r="Q2946" s="17"/>
    </row>
    <row r="2947" customFormat="false" ht="15" hidden="false" customHeight="false" outlineLevel="0" collapsed="false">
      <c r="A2947" s="15" t="str">
        <f aca="false">IF(B2947="","",ROW()-1)</f>
        <v/>
      </c>
      <c r="B2947" s="16"/>
      <c r="C2947" s="16"/>
      <c r="D2947" s="16"/>
      <c r="E2947" s="16"/>
      <c r="F2947" s="17"/>
      <c r="G2947" s="16"/>
      <c r="H2947" s="16"/>
      <c r="I2947" s="16"/>
      <c r="J2947" s="16"/>
      <c r="K2947" s="16"/>
      <c r="L2947" s="16"/>
      <c r="M2947" s="18" t="str">
        <f aca="false">IF(OR(C2947="",D2947=""),"",IF(MOD(COUNTIFS($C$2:C2947,C2947,$D$2:D2947,D2947)*7,10)&lt;3,"teste","treino"))</f>
        <v/>
      </c>
      <c r="N2947" s="16"/>
      <c r="O2947" s="16"/>
      <c r="P2947" s="16"/>
      <c r="Q2947" s="17"/>
    </row>
    <row r="2948" customFormat="false" ht="15" hidden="false" customHeight="false" outlineLevel="0" collapsed="false">
      <c r="A2948" s="15" t="str">
        <f aca="false">IF(B2948="","",ROW()-1)</f>
        <v/>
      </c>
      <c r="B2948" s="16"/>
      <c r="C2948" s="16"/>
      <c r="D2948" s="16"/>
      <c r="E2948" s="16"/>
      <c r="F2948" s="17"/>
      <c r="G2948" s="16"/>
      <c r="H2948" s="16"/>
      <c r="I2948" s="16"/>
      <c r="J2948" s="16"/>
      <c r="K2948" s="16"/>
      <c r="L2948" s="16"/>
      <c r="M2948" s="18" t="str">
        <f aca="false">IF(OR(C2948="",D2948=""),"",IF(MOD(COUNTIFS($C$2:C2948,C2948,$D$2:D2948,D2948)*7,10)&lt;3,"teste","treino"))</f>
        <v/>
      </c>
      <c r="N2948" s="16"/>
      <c r="O2948" s="16"/>
      <c r="P2948" s="16"/>
      <c r="Q2948" s="17"/>
    </row>
    <row r="2949" customFormat="false" ht="15" hidden="false" customHeight="false" outlineLevel="0" collapsed="false">
      <c r="A2949" s="15" t="str">
        <f aca="false">IF(B2949="","",ROW()-1)</f>
        <v/>
      </c>
      <c r="B2949" s="16"/>
      <c r="C2949" s="16"/>
      <c r="D2949" s="16"/>
      <c r="E2949" s="16"/>
      <c r="F2949" s="17"/>
      <c r="G2949" s="16"/>
      <c r="H2949" s="16"/>
      <c r="I2949" s="16"/>
      <c r="J2949" s="16"/>
      <c r="K2949" s="16"/>
      <c r="L2949" s="16"/>
      <c r="M2949" s="18" t="str">
        <f aca="false">IF(OR(C2949="",D2949=""),"",IF(MOD(COUNTIFS($C$2:C2949,C2949,$D$2:D2949,D2949)*7,10)&lt;3,"teste","treino"))</f>
        <v/>
      </c>
      <c r="N2949" s="16"/>
      <c r="O2949" s="16"/>
      <c r="P2949" s="16"/>
      <c r="Q2949" s="17"/>
    </row>
    <row r="2950" customFormat="false" ht="15" hidden="false" customHeight="false" outlineLevel="0" collapsed="false">
      <c r="A2950" s="15" t="str">
        <f aca="false">IF(B2950="","",ROW()-1)</f>
        <v/>
      </c>
      <c r="B2950" s="16"/>
      <c r="C2950" s="16"/>
      <c r="D2950" s="16"/>
      <c r="E2950" s="16"/>
      <c r="F2950" s="17"/>
      <c r="G2950" s="16"/>
      <c r="H2950" s="16"/>
      <c r="I2950" s="16"/>
      <c r="J2950" s="16"/>
      <c r="K2950" s="16"/>
      <c r="L2950" s="16"/>
      <c r="M2950" s="18" t="str">
        <f aca="false">IF(OR(C2950="",D2950=""),"",IF(MOD(COUNTIFS($C$2:C2950,C2950,$D$2:D2950,D2950)*7,10)&lt;3,"teste","treino"))</f>
        <v/>
      </c>
      <c r="N2950" s="16"/>
      <c r="O2950" s="16"/>
      <c r="P2950" s="16"/>
      <c r="Q2950" s="17"/>
    </row>
    <row r="2951" customFormat="false" ht="15" hidden="false" customHeight="false" outlineLevel="0" collapsed="false">
      <c r="A2951" s="15" t="str">
        <f aca="false">IF(B2951="","",ROW()-1)</f>
        <v/>
      </c>
      <c r="B2951" s="16"/>
      <c r="C2951" s="16"/>
      <c r="D2951" s="16"/>
      <c r="E2951" s="16"/>
      <c r="F2951" s="17"/>
      <c r="G2951" s="16"/>
      <c r="H2951" s="16"/>
      <c r="I2951" s="16"/>
      <c r="J2951" s="16"/>
      <c r="K2951" s="16"/>
      <c r="L2951" s="16"/>
      <c r="M2951" s="18" t="str">
        <f aca="false">IF(OR(C2951="",D2951=""),"",IF(MOD(COUNTIFS($C$2:C2951,C2951,$D$2:D2951,D2951)*7,10)&lt;3,"teste","treino"))</f>
        <v/>
      </c>
      <c r="N2951" s="16"/>
      <c r="O2951" s="16"/>
      <c r="P2951" s="16"/>
      <c r="Q2951" s="17"/>
    </row>
    <row r="2952" customFormat="false" ht="15" hidden="false" customHeight="false" outlineLevel="0" collapsed="false">
      <c r="A2952" s="15" t="str">
        <f aca="false">IF(B2952="","",ROW()-1)</f>
        <v/>
      </c>
      <c r="B2952" s="16"/>
      <c r="C2952" s="16"/>
      <c r="D2952" s="16"/>
      <c r="E2952" s="16"/>
      <c r="F2952" s="17"/>
      <c r="G2952" s="16"/>
      <c r="H2952" s="16"/>
      <c r="I2952" s="16"/>
      <c r="J2952" s="16"/>
      <c r="K2952" s="16"/>
      <c r="L2952" s="16"/>
      <c r="M2952" s="18" t="str">
        <f aca="false">IF(OR(C2952="",D2952=""),"",IF(MOD(COUNTIFS($C$2:C2952,C2952,$D$2:D2952,D2952)*7,10)&lt;3,"teste","treino"))</f>
        <v/>
      </c>
      <c r="N2952" s="16"/>
      <c r="O2952" s="16"/>
      <c r="P2952" s="16"/>
      <c r="Q2952" s="17"/>
    </row>
    <row r="2953" customFormat="false" ht="15" hidden="false" customHeight="false" outlineLevel="0" collapsed="false">
      <c r="A2953" s="15" t="str">
        <f aca="false">IF(B2953="","",ROW()-1)</f>
        <v/>
      </c>
      <c r="B2953" s="16"/>
      <c r="C2953" s="16"/>
      <c r="D2953" s="16"/>
      <c r="E2953" s="16"/>
      <c r="F2953" s="17"/>
      <c r="G2953" s="16"/>
      <c r="H2953" s="16"/>
      <c r="I2953" s="16"/>
      <c r="J2953" s="16"/>
      <c r="K2953" s="16"/>
      <c r="L2953" s="16"/>
      <c r="M2953" s="18" t="str">
        <f aca="false">IF(OR(C2953="",D2953=""),"",IF(MOD(COUNTIFS($C$2:C2953,C2953,$D$2:D2953,D2953)*7,10)&lt;3,"teste","treino"))</f>
        <v/>
      </c>
      <c r="N2953" s="16"/>
      <c r="O2953" s="16"/>
      <c r="P2953" s="16"/>
      <c r="Q2953" s="17"/>
    </row>
    <row r="2954" customFormat="false" ht="15" hidden="false" customHeight="false" outlineLevel="0" collapsed="false">
      <c r="A2954" s="15" t="str">
        <f aca="false">IF(B2954="","",ROW()-1)</f>
        <v/>
      </c>
      <c r="B2954" s="16"/>
      <c r="C2954" s="16"/>
      <c r="D2954" s="16"/>
      <c r="E2954" s="16"/>
      <c r="F2954" s="17"/>
      <c r="G2954" s="16"/>
      <c r="H2954" s="16"/>
      <c r="I2954" s="16"/>
      <c r="J2954" s="16"/>
      <c r="K2954" s="16"/>
      <c r="L2954" s="16"/>
      <c r="M2954" s="18" t="str">
        <f aca="false">IF(OR(C2954="",D2954=""),"",IF(MOD(COUNTIFS($C$2:C2954,C2954,$D$2:D2954,D2954)*7,10)&lt;3,"teste","treino"))</f>
        <v/>
      </c>
      <c r="N2954" s="16"/>
      <c r="O2954" s="16"/>
      <c r="P2954" s="16"/>
      <c r="Q2954" s="17"/>
    </row>
    <row r="2955" customFormat="false" ht="15" hidden="false" customHeight="false" outlineLevel="0" collapsed="false">
      <c r="A2955" s="15" t="str">
        <f aca="false">IF(B2955="","",ROW()-1)</f>
        <v/>
      </c>
      <c r="B2955" s="16"/>
      <c r="C2955" s="16"/>
      <c r="D2955" s="16"/>
      <c r="E2955" s="16"/>
      <c r="F2955" s="17"/>
      <c r="G2955" s="16"/>
      <c r="H2955" s="16"/>
      <c r="I2955" s="16"/>
      <c r="J2955" s="16"/>
      <c r="K2955" s="16"/>
      <c r="L2955" s="16"/>
      <c r="M2955" s="18" t="str">
        <f aca="false">IF(OR(C2955="",D2955=""),"",IF(MOD(COUNTIFS($C$2:C2955,C2955,$D$2:D2955,D2955)*7,10)&lt;3,"teste","treino"))</f>
        <v/>
      </c>
      <c r="N2955" s="16"/>
      <c r="O2955" s="16"/>
      <c r="P2955" s="16"/>
      <c r="Q2955" s="17"/>
    </row>
    <row r="2956" customFormat="false" ht="15" hidden="false" customHeight="false" outlineLevel="0" collapsed="false">
      <c r="A2956" s="15" t="str">
        <f aca="false">IF(B2956="","",ROW()-1)</f>
        <v/>
      </c>
      <c r="B2956" s="16"/>
      <c r="C2956" s="16"/>
      <c r="D2956" s="16"/>
      <c r="E2956" s="16"/>
      <c r="F2956" s="17"/>
      <c r="G2956" s="16"/>
      <c r="H2956" s="16"/>
      <c r="I2956" s="16"/>
      <c r="J2956" s="16"/>
      <c r="K2956" s="16"/>
      <c r="L2956" s="16"/>
      <c r="M2956" s="18" t="str">
        <f aca="false">IF(OR(C2956="",D2956=""),"",IF(MOD(COUNTIFS($C$2:C2956,C2956,$D$2:D2956,D2956)*7,10)&lt;3,"teste","treino"))</f>
        <v/>
      </c>
      <c r="N2956" s="16"/>
      <c r="O2956" s="16"/>
      <c r="P2956" s="16"/>
      <c r="Q2956" s="17"/>
    </row>
    <row r="2957" customFormat="false" ht="15" hidden="false" customHeight="false" outlineLevel="0" collapsed="false">
      <c r="A2957" s="15" t="str">
        <f aca="false">IF(B2957="","",ROW()-1)</f>
        <v/>
      </c>
      <c r="B2957" s="16"/>
      <c r="C2957" s="16"/>
      <c r="D2957" s="16"/>
      <c r="E2957" s="16"/>
      <c r="F2957" s="17"/>
      <c r="G2957" s="16"/>
      <c r="H2957" s="16"/>
      <c r="I2957" s="16"/>
      <c r="J2957" s="16"/>
      <c r="K2957" s="16"/>
      <c r="L2957" s="16"/>
      <c r="M2957" s="18" t="str">
        <f aca="false">IF(OR(C2957="",D2957=""),"",IF(MOD(COUNTIFS($C$2:C2957,C2957,$D$2:D2957,D2957)*7,10)&lt;3,"teste","treino"))</f>
        <v/>
      </c>
      <c r="N2957" s="16"/>
      <c r="O2957" s="16"/>
      <c r="P2957" s="16"/>
      <c r="Q2957" s="17"/>
    </row>
    <row r="2958" customFormat="false" ht="15" hidden="false" customHeight="false" outlineLevel="0" collapsed="false">
      <c r="A2958" s="15" t="str">
        <f aca="false">IF(B2958="","",ROW()-1)</f>
        <v/>
      </c>
      <c r="B2958" s="16"/>
      <c r="C2958" s="16"/>
      <c r="D2958" s="16"/>
      <c r="E2958" s="16"/>
      <c r="F2958" s="17"/>
      <c r="G2958" s="16"/>
      <c r="H2958" s="16"/>
      <c r="I2958" s="16"/>
      <c r="J2958" s="16"/>
      <c r="K2958" s="16"/>
      <c r="L2958" s="16"/>
      <c r="M2958" s="18" t="str">
        <f aca="false">IF(OR(C2958="",D2958=""),"",IF(MOD(COUNTIFS($C$2:C2958,C2958,$D$2:D2958,D2958)*7,10)&lt;3,"teste","treino"))</f>
        <v/>
      </c>
      <c r="N2958" s="16"/>
      <c r="O2958" s="16"/>
      <c r="P2958" s="16"/>
      <c r="Q2958" s="17"/>
    </row>
    <row r="2959" customFormat="false" ht="15" hidden="false" customHeight="false" outlineLevel="0" collapsed="false">
      <c r="A2959" s="15" t="str">
        <f aca="false">IF(B2959="","",ROW()-1)</f>
        <v/>
      </c>
      <c r="B2959" s="16"/>
      <c r="C2959" s="16"/>
      <c r="D2959" s="16"/>
      <c r="E2959" s="16"/>
      <c r="F2959" s="17"/>
      <c r="G2959" s="16"/>
      <c r="H2959" s="16"/>
      <c r="I2959" s="16"/>
      <c r="J2959" s="16"/>
      <c r="K2959" s="16"/>
      <c r="L2959" s="16"/>
      <c r="M2959" s="18" t="str">
        <f aca="false">IF(OR(C2959="",D2959=""),"",IF(MOD(COUNTIFS($C$2:C2959,C2959,$D$2:D2959,D2959)*7,10)&lt;3,"teste","treino"))</f>
        <v/>
      </c>
      <c r="N2959" s="16"/>
      <c r="O2959" s="16"/>
      <c r="P2959" s="16"/>
      <c r="Q2959" s="17"/>
    </row>
    <row r="2960" customFormat="false" ht="15" hidden="false" customHeight="false" outlineLevel="0" collapsed="false">
      <c r="A2960" s="15" t="str">
        <f aca="false">IF(B2960="","",ROW()-1)</f>
        <v/>
      </c>
      <c r="B2960" s="16"/>
      <c r="C2960" s="16"/>
      <c r="D2960" s="16"/>
      <c r="E2960" s="16"/>
      <c r="F2960" s="17"/>
      <c r="G2960" s="16"/>
      <c r="H2960" s="16"/>
      <c r="I2960" s="16"/>
      <c r="J2960" s="16"/>
      <c r="K2960" s="16"/>
      <c r="L2960" s="16"/>
      <c r="M2960" s="18" t="str">
        <f aca="false">IF(OR(C2960="",D2960=""),"",IF(MOD(COUNTIFS($C$2:C2960,C2960,$D$2:D2960,D2960)*7,10)&lt;3,"teste","treino"))</f>
        <v/>
      </c>
      <c r="N2960" s="16"/>
      <c r="O2960" s="16"/>
      <c r="P2960" s="16"/>
      <c r="Q2960" s="17"/>
    </row>
    <row r="2961" customFormat="false" ht="15" hidden="false" customHeight="false" outlineLevel="0" collapsed="false">
      <c r="A2961" s="15" t="str">
        <f aca="false">IF(B2961="","",ROW()-1)</f>
        <v/>
      </c>
      <c r="B2961" s="16"/>
      <c r="C2961" s="16"/>
      <c r="D2961" s="16"/>
      <c r="E2961" s="16"/>
      <c r="F2961" s="17"/>
      <c r="G2961" s="16"/>
      <c r="H2961" s="16"/>
      <c r="I2961" s="16"/>
      <c r="J2961" s="16"/>
      <c r="K2961" s="16"/>
      <c r="L2961" s="16"/>
      <c r="M2961" s="18" t="str">
        <f aca="false">IF(OR(C2961="",D2961=""),"",IF(MOD(COUNTIFS($C$2:C2961,C2961,$D$2:D2961,D2961)*7,10)&lt;3,"teste","treino"))</f>
        <v/>
      </c>
      <c r="N2961" s="16"/>
      <c r="O2961" s="16"/>
      <c r="P2961" s="16"/>
      <c r="Q2961" s="17"/>
    </row>
    <row r="2962" customFormat="false" ht="15" hidden="false" customHeight="false" outlineLevel="0" collapsed="false">
      <c r="A2962" s="15" t="str">
        <f aca="false">IF(B2962="","",ROW()-1)</f>
        <v/>
      </c>
      <c r="B2962" s="16"/>
      <c r="C2962" s="16"/>
      <c r="D2962" s="16"/>
      <c r="E2962" s="16"/>
      <c r="F2962" s="17"/>
      <c r="G2962" s="16"/>
      <c r="H2962" s="16"/>
      <c r="I2962" s="16"/>
      <c r="J2962" s="16"/>
      <c r="K2962" s="16"/>
      <c r="L2962" s="16"/>
      <c r="M2962" s="18" t="str">
        <f aca="false">IF(OR(C2962="",D2962=""),"",IF(MOD(COUNTIFS($C$2:C2962,C2962,$D$2:D2962,D2962)*7,10)&lt;3,"teste","treino"))</f>
        <v/>
      </c>
      <c r="N2962" s="16"/>
      <c r="O2962" s="16"/>
      <c r="P2962" s="16"/>
      <c r="Q2962" s="17"/>
    </row>
    <row r="2963" customFormat="false" ht="15" hidden="false" customHeight="false" outlineLevel="0" collapsed="false">
      <c r="A2963" s="15" t="str">
        <f aca="false">IF(B2963="","",ROW()-1)</f>
        <v/>
      </c>
      <c r="B2963" s="16"/>
      <c r="C2963" s="16"/>
      <c r="D2963" s="16"/>
      <c r="E2963" s="16"/>
      <c r="F2963" s="17"/>
      <c r="G2963" s="16"/>
      <c r="H2963" s="16"/>
      <c r="I2963" s="16"/>
      <c r="J2963" s="16"/>
      <c r="K2963" s="16"/>
      <c r="L2963" s="16"/>
      <c r="M2963" s="18" t="str">
        <f aca="false">IF(OR(C2963="",D2963=""),"",IF(MOD(COUNTIFS($C$2:C2963,C2963,$D$2:D2963,D2963)*7,10)&lt;3,"teste","treino"))</f>
        <v/>
      </c>
      <c r="N2963" s="16"/>
      <c r="O2963" s="16"/>
      <c r="P2963" s="16"/>
      <c r="Q2963" s="17"/>
    </row>
    <row r="2964" customFormat="false" ht="15" hidden="false" customHeight="false" outlineLevel="0" collapsed="false">
      <c r="A2964" s="15" t="str">
        <f aca="false">IF(B2964="","",ROW()-1)</f>
        <v/>
      </c>
      <c r="B2964" s="16"/>
      <c r="C2964" s="16"/>
      <c r="D2964" s="16"/>
      <c r="E2964" s="16"/>
      <c r="F2964" s="17"/>
      <c r="G2964" s="16"/>
      <c r="H2964" s="16"/>
      <c r="I2964" s="16"/>
      <c r="J2964" s="16"/>
      <c r="K2964" s="16"/>
      <c r="L2964" s="16"/>
      <c r="M2964" s="18" t="str">
        <f aca="false">IF(OR(C2964="",D2964=""),"",IF(MOD(COUNTIFS($C$2:C2964,C2964,$D$2:D2964,D2964)*7,10)&lt;3,"teste","treino"))</f>
        <v/>
      </c>
      <c r="N2964" s="16"/>
      <c r="O2964" s="16"/>
      <c r="P2964" s="16"/>
      <c r="Q2964" s="17"/>
    </row>
    <row r="2965" customFormat="false" ht="15" hidden="false" customHeight="false" outlineLevel="0" collapsed="false">
      <c r="A2965" s="15" t="str">
        <f aca="false">IF(B2965="","",ROW()-1)</f>
        <v/>
      </c>
      <c r="B2965" s="16"/>
      <c r="C2965" s="16"/>
      <c r="D2965" s="16"/>
      <c r="E2965" s="16"/>
      <c r="F2965" s="17"/>
      <c r="G2965" s="16"/>
      <c r="H2965" s="16"/>
      <c r="I2965" s="16"/>
      <c r="J2965" s="16"/>
      <c r="K2965" s="16"/>
      <c r="L2965" s="16"/>
      <c r="M2965" s="18" t="str">
        <f aca="false">IF(OR(C2965="",D2965=""),"",IF(MOD(COUNTIFS($C$2:C2965,C2965,$D$2:D2965,D2965)*7,10)&lt;3,"teste","treino"))</f>
        <v/>
      </c>
      <c r="N2965" s="16"/>
      <c r="O2965" s="16"/>
      <c r="P2965" s="16"/>
      <c r="Q2965" s="17"/>
    </row>
    <row r="2966" customFormat="false" ht="15" hidden="false" customHeight="false" outlineLevel="0" collapsed="false">
      <c r="A2966" s="15" t="str">
        <f aca="false">IF(B2966="","",ROW()-1)</f>
        <v/>
      </c>
      <c r="B2966" s="16"/>
      <c r="C2966" s="16"/>
      <c r="D2966" s="16"/>
      <c r="E2966" s="16"/>
      <c r="F2966" s="17"/>
      <c r="G2966" s="16"/>
      <c r="H2966" s="16"/>
      <c r="I2966" s="16"/>
      <c r="J2966" s="16"/>
      <c r="K2966" s="16"/>
      <c r="L2966" s="16"/>
      <c r="M2966" s="18" t="str">
        <f aca="false">IF(OR(C2966="",D2966=""),"",IF(MOD(COUNTIFS($C$2:C2966,C2966,$D$2:D2966,D2966)*7,10)&lt;3,"teste","treino"))</f>
        <v/>
      </c>
      <c r="N2966" s="16"/>
      <c r="O2966" s="16"/>
      <c r="P2966" s="16"/>
      <c r="Q2966" s="17"/>
    </row>
    <row r="2967" customFormat="false" ht="15" hidden="false" customHeight="false" outlineLevel="0" collapsed="false">
      <c r="A2967" s="15" t="str">
        <f aca="false">IF(B2967="","",ROW()-1)</f>
        <v/>
      </c>
      <c r="B2967" s="16"/>
      <c r="C2967" s="16"/>
      <c r="D2967" s="16"/>
      <c r="E2967" s="16"/>
      <c r="F2967" s="17"/>
      <c r="G2967" s="16"/>
      <c r="H2967" s="16"/>
      <c r="I2967" s="16"/>
      <c r="J2967" s="16"/>
      <c r="K2967" s="16"/>
      <c r="L2967" s="16"/>
      <c r="M2967" s="18" t="str">
        <f aca="false">IF(OR(C2967="",D2967=""),"",IF(MOD(COUNTIFS($C$2:C2967,C2967,$D$2:D2967,D2967)*7,10)&lt;3,"teste","treino"))</f>
        <v/>
      </c>
      <c r="N2967" s="16"/>
      <c r="O2967" s="16"/>
      <c r="P2967" s="16"/>
      <c r="Q2967" s="17"/>
    </row>
    <row r="2968" customFormat="false" ht="15" hidden="false" customHeight="false" outlineLevel="0" collapsed="false">
      <c r="A2968" s="15" t="str">
        <f aca="false">IF(B2968="","",ROW()-1)</f>
        <v/>
      </c>
      <c r="B2968" s="16"/>
      <c r="C2968" s="16"/>
      <c r="D2968" s="16"/>
      <c r="E2968" s="16"/>
      <c r="F2968" s="17"/>
      <c r="G2968" s="16"/>
      <c r="H2968" s="16"/>
      <c r="I2968" s="16"/>
      <c r="J2968" s="16"/>
      <c r="K2968" s="16"/>
      <c r="L2968" s="16"/>
      <c r="M2968" s="18" t="str">
        <f aca="false">IF(OR(C2968="",D2968=""),"",IF(MOD(COUNTIFS($C$2:C2968,C2968,$D$2:D2968,D2968)*7,10)&lt;3,"teste","treino"))</f>
        <v/>
      </c>
      <c r="N2968" s="16"/>
      <c r="O2968" s="16"/>
      <c r="P2968" s="16"/>
      <c r="Q2968" s="17"/>
    </row>
    <row r="2969" customFormat="false" ht="15" hidden="false" customHeight="false" outlineLevel="0" collapsed="false">
      <c r="A2969" s="15" t="str">
        <f aca="false">IF(B2969="","",ROW()-1)</f>
        <v/>
      </c>
      <c r="B2969" s="16"/>
      <c r="C2969" s="16"/>
      <c r="D2969" s="16"/>
      <c r="E2969" s="16"/>
      <c r="F2969" s="17"/>
      <c r="G2969" s="16"/>
      <c r="H2969" s="16"/>
      <c r="I2969" s="16"/>
      <c r="J2969" s="16"/>
      <c r="K2969" s="16"/>
      <c r="L2969" s="16"/>
      <c r="M2969" s="18" t="str">
        <f aca="false">IF(OR(C2969="",D2969=""),"",IF(MOD(COUNTIFS($C$2:C2969,C2969,$D$2:D2969,D2969)*7,10)&lt;3,"teste","treino"))</f>
        <v/>
      </c>
      <c r="N2969" s="16"/>
      <c r="O2969" s="16"/>
      <c r="P2969" s="16"/>
      <c r="Q2969" s="17"/>
    </row>
    <row r="2970" customFormat="false" ht="15" hidden="false" customHeight="false" outlineLevel="0" collapsed="false">
      <c r="A2970" s="15" t="str">
        <f aca="false">IF(B2970="","",ROW()-1)</f>
        <v/>
      </c>
      <c r="B2970" s="16"/>
      <c r="C2970" s="16"/>
      <c r="D2970" s="16"/>
      <c r="E2970" s="16"/>
      <c r="F2970" s="17"/>
      <c r="G2970" s="16"/>
      <c r="H2970" s="16"/>
      <c r="I2970" s="16"/>
      <c r="J2970" s="16"/>
      <c r="K2970" s="16"/>
      <c r="L2970" s="16"/>
      <c r="M2970" s="18" t="str">
        <f aca="false">IF(OR(C2970="",D2970=""),"",IF(MOD(COUNTIFS($C$2:C2970,C2970,$D$2:D2970,D2970)*7,10)&lt;3,"teste","treino"))</f>
        <v/>
      </c>
      <c r="N2970" s="16"/>
      <c r="O2970" s="16"/>
      <c r="P2970" s="16"/>
      <c r="Q2970" s="17"/>
    </row>
    <row r="2971" customFormat="false" ht="15" hidden="false" customHeight="false" outlineLevel="0" collapsed="false">
      <c r="A2971" s="15" t="str">
        <f aca="false">IF(B2971="","",ROW()-1)</f>
        <v/>
      </c>
      <c r="B2971" s="16"/>
      <c r="C2971" s="16"/>
      <c r="D2971" s="16"/>
      <c r="E2971" s="16"/>
      <c r="F2971" s="17"/>
      <c r="G2971" s="16"/>
      <c r="H2971" s="16"/>
      <c r="I2971" s="16"/>
      <c r="J2971" s="16"/>
      <c r="K2971" s="16"/>
      <c r="L2971" s="16"/>
      <c r="M2971" s="18" t="str">
        <f aca="false">IF(OR(C2971="",D2971=""),"",IF(MOD(COUNTIFS($C$2:C2971,C2971,$D$2:D2971,D2971)*7,10)&lt;3,"teste","treino"))</f>
        <v/>
      </c>
      <c r="N2971" s="16"/>
      <c r="O2971" s="16"/>
      <c r="P2971" s="16"/>
      <c r="Q2971" s="17"/>
    </row>
    <row r="2972" customFormat="false" ht="15" hidden="false" customHeight="false" outlineLevel="0" collapsed="false">
      <c r="A2972" s="15" t="str">
        <f aca="false">IF(B2972="","",ROW()-1)</f>
        <v/>
      </c>
      <c r="B2972" s="16"/>
      <c r="C2972" s="16"/>
      <c r="D2972" s="16"/>
      <c r="E2972" s="16"/>
      <c r="F2972" s="17"/>
      <c r="G2972" s="16"/>
      <c r="H2972" s="16"/>
      <c r="I2972" s="16"/>
      <c r="J2972" s="16"/>
      <c r="K2972" s="16"/>
      <c r="L2972" s="16"/>
      <c r="M2972" s="18" t="str">
        <f aca="false">IF(OR(C2972="",D2972=""),"",IF(MOD(COUNTIFS($C$2:C2972,C2972,$D$2:D2972,D2972)*7,10)&lt;3,"teste","treino"))</f>
        <v/>
      </c>
      <c r="N2972" s="16"/>
      <c r="O2972" s="16"/>
      <c r="P2972" s="16"/>
      <c r="Q2972" s="17"/>
    </row>
    <row r="2973" customFormat="false" ht="15" hidden="false" customHeight="false" outlineLevel="0" collapsed="false">
      <c r="A2973" s="15" t="str">
        <f aca="false">IF(B2973="","",ROW()-1)</f>
        <v/>
      </c>
      <c r="B2973" s="16"/>
      <c r="C2973" s="16"/>
      <c r="D2973" s="16"/>
      <c r="E2973" s="16"/>
      <c r="F2973" s="17"/>
      <c r="G2973" s="16"/>
      <c r="H2973" s="16"/>
      <c r="I2973" s="16"/>
      <c r="J2973" s="16"/>
      <c r="K2973" s="16"/>
      <c r="L2973" s="16"/>
      <c r="M2973" s="18" t="str">
        <f aca="false">IF(OR(C2973="",D2973=""),"",IF(MOD(COUNTIFS($C$2:C2973,C2973,$D$2:D2973,D2973)*7,10)&lt;3,"teste","treino"))</f>
        <v/>
      </c>
      <c r="N2973" s="16"/>
      <c r="O2973" s="16"/>
      <c r="P2973" s="16"/>
      <c r="Q2973" s="17"/>
    </row>
    <row r="2974" customFormat="false" ht="15" hidden="false" customHeight="false" outlineLevel="0" collapsed="false">
      <c r="A2974" s="15" t="str">
        <f aca="false">IF(B2974="","",ROW()-1)</f>
        <v/>
      </c>
      <c r="B2974" s="16"/>
      <c r="C2974" s="16"/>
      <c r="D2974" s="16"/>
      <c r="E2974" s="16"/>
      <c r="F2974" s="17"/>
      <c r="G2974" s="16"/>
      <c r="H2974" s="16"/>
      <c r="I2974" s="16"/>
      <c r="J2974" s="16"/>
      <c r="K2974" s="16"/>
      <c r="L2974" s="16"/>
      <c r="M2974" s="18" t="str">
        <f aca="false">IF(OR(C2974="",D2974=""),"",IF(MOD(COUNTIFS($C$2:C2974,C2974,$D$2:D2974,D2974)*7,10)&lt;3,"teste","treino"))</f>
        <v/>
      </c>
      <c r="N2974" s="16"/>
      <c r="O2974" s="16"/>
      <c r="P2974" s="16"/>
      <c r="Q2974" s="17"/>
    </row>
    <row r="2975" customFormat="false" ht="15" hidden="false" customHeight="false" outlineLevel="0" collapsed="false">
      <c r="A2975" s="15" t="str">
        <f aca="false">IF(B2975="","",ROW()-1)</f>
        <v/>
      </c>
      <c r="B2975" s="16"/>
      <c r="C2975" s="16"/>
      <c r="D2975" s="16"/>
      <c r="E2975" s="16"/>
      <c r="F2975" s="17"/>
      <c r="G2975" s="16"/>
      <c r="H2975" s="16"/>
      <c r="I2975" s="16"/>
      <c r="J2975" s="16"/>
      <c r="K2975" s="16"/>
      <c r="L2975" s="16"/>
      <c r="M2975" s="18" t="str">
        <f aca="false">IF(OR(C2975="",D2975=""),"",IF(MOD(COUNTIFS($C$2:C2975,C2975,$D$2:D2975,D2975)*7,10)&lt;3,"teste","treino"))</f>
        <v/>
      </c>
      <c r="N2975" s="16"/>
      <c r="O2975" s="16"/>
      <c r="P2975" s="16"/>
      <c r="Q2975" s="17"/>
    </row>
    <row r="2976" customFormat="false" ht="15" hidden="false" customHeight="false" outlineLevel="0" collapsed="false">
      <c r="A2976" s="15" t="str">
        <f aca="false">IF(B2976="","",ROW()-1)</f>
        <v/>
      </c>
      <c r="B2976" s="16"/>
      <c r="C2976" s="16"/>
      <c r="D2976" s="16"/>
      <c r="E2976" s="16"/>
      <c r="F2976" s="17"/>
      <c r="G2976" s="16"/>
      <c r="H2976" s="16"/>
      <c r="I2976" s="16"/>
      <c r="J2976" s="16"/>
      <c r="K2976" s="16"/>
      <c r="L2976" s="16"/>
      <c r="M2976" s="18" t="str">
        <f aca="false">IF(OR(C2976="",D2976=""),"",IF(MOD(COUNTIFS($C$2:C2976,C2976,$D$2:D2976,D2976)*7,10)&lt;3,"teste","treino"))</f>
        <v/>
      </c>
      <c r="N2976" s="16"/>
      <c r="O2976" s="16"/>
      <c r="P2976" s="16"/>
      <c r="Q2976" s="17"/>
    </row>
    <row r="2977" customFormat="false" ht="15" hidden="false" customHeight="false" outlineLevel="0" collapsed="false">
      <c r="A2977" s="15" t="str">
        <f aca="false">IF(B2977="","",ROW()-1)</f>
        <v/>
      </c>
      <c r="B2977" s="16"/>
      <c r="C2977" s="16"/>
      <c r="D2977" s="16"/>
      <c r="E2977" s="16"/>
      <c r="F2977" s="17"/>
      <c r="G2977" s="16"/>
      <c r="H2977" s="16"/>
      <c r="I2977" s="16"/>
      <c r="J2977" s="16"/>
      <c r="K2977" s="16"/>
      <c r="L2977" s="16"/>
      <c r="M2977" s="18" t="str">
        <f aca="false">IF(OR(C2977="",D2977=""),"",IF(MOD(COUNTIFS($C$2:C2977,C2977,$D$2:D2977,D2977)*7,10)&lt;3,"teste","treino"))</f>
        <v/>
      </c>
      <c r="N2977" s="16"/>
      <c r="O2977" s="16"/>
      <c r="P2977" s="16"/>
      <c r="Q2977" s="17"/>
    </row>
    <row r="2978" customFormat="false" ht="15" hidden="false" customHeight="false" outlineLevel="0" collapsed="false">
      <c r="A2978" s="15" t="str">
        <f aca="false">IF(B2978="","",ROW()-1)</f>
        <v/>
      </c>
      <c r="B2978" s="16"/>
      <c r="C2978" s="16"/>
      <c r="D2978" s="16"/>
      <c r="E2978" s="16"/>
      <c r="F2978" s="17"/>
      <c r="G2978" s="16"/>
      <c r="H2978" s="16"/>
      <c r="I2978" s="16"/>
      <c r="J2978" s="16"/>
      <c r="K2978" s="16"/>
      <c r="L2978" s="16"/>
      <c r="M2978" s="18" t="str">
        <f aca="false">IF(OR(C2978="",D2978=""),"",IF(MOD(COUNTIFS($C$2:C2978,C2978,$D$2:D2978,D2978)*7,10)&lt;3,"teste","treino"))</f>
        <v/>
      </c>
      <c r="N2978" s="16"/>
      <c r="O2978" s="16"/>
      <c r="P2978" s="16"/>
      <c r="Q2978" s="17"/>
    </row>
    <row r="2979" customFormat="false" ht="15" hidden="false" customHeight="false" outlineLevel="0" collapsed="false">
      <c r="A2979" s="15" t="str">
        <f aca="false">IF(B2979="","",ROW()-1)</f>
        <v/>
      </c>
      <c r="B2979" s="16"/>
      <c r="C2979" s="16"/>
      <c r="D2979" s="16"/>
      <c r="E2979" s="16"/>
      <c r="F2979" s="17"/>
      <c r="G2979" s="16"/>
      <c r="H2979" s="16"/>
      <c r="I2979" s="16"/>
      <c r="J2979" s="16"/>
      <c r="K2979" s="16"/>
      <c r="L2979" s="16"/>
      <c r="M2979" s="18" t="str">
        <f aca="false">IF(OR(C2979="",D2979=""),"",IF(MOD(COUNTIFS($C$2:C2979,C2979,$D$2:D2979,D2979)*7,10)&lt;3,"teste","treino"))</f>
        <v/>
      </c>
      <c r="N2979" s="16"/>
      <c r="O2979" s="16"/>
      <c r="P2979" s="16"/>
      <c r="Q2979" s="17"/>
    </row>
    <row r="2980" customFormat="false" ht="15" hidden="false" customHeight="false" outlineLevel="0" collapsed="false">
      <c r="A2980" s="15" t="str">
        <f aca="false">IF(B2980="","",ROW()-1)</f>
        <v/>
      </c>
      <c r="B2980" s="16"/>
      <c r="C2980" s="16"/>
      <c r="D2980" s="16"/>
      <c r="E2980" s="16"/>
      <c r="F2980" s="17"/>
      <c r="G2980" s="16"/>
      <c r="H2980" s="16"/>
      <c r="I2980" s="16"/>
      <c r="J2980" s="16"/>
      <c r="K2980" s="16"/>
      <c r="L2980" s="16"/>
      <c r="M2980" s="18" t="str">
        <f aca="false">IF(OR(C2980="",D2980=""),"",IF(MOD(COUNTIFS($C$2:C2980,C2980,$D$2:D2980,D2980)*7,10)&lt;3,"teste","treino"))</f>
        <v/>
      </c>
      <c r="N2980" s="16"/>
      <c r="O2980" s="16"/>
      <c r="P2980" s="16"/>
      <c r="Q2980" s="17"/>
    </row>
    <row r="2981" customFormat="false" ht="15" hidden="false" customHeight="false" outlineLevel="0" collapsed="false">
      <c r="A2981" s="15" t="str">
        <f aca="false">IF(B2981="","",ROW()-1)</f>
        <v/>
      </c>
      <c r="B2981" s="16"/>
      <c r="C2981" s="16"/>
      <c r="D2981" s="16"/>
      <c r="E2981" s="16"/>
      <c r="F2981" s="17"/>
      <c r="G2981" s="16"/>
      <c r="H2981" s="16"/>
      <c r="I2981" s="16"/>
      <c r="J2981" s="16"/>
      <c r="K2981" s="16"/>
      <c r="L2981" s="16"/>
      <c r="M2981" s="18" t="str">
        <f aca="false">IF(OR(C2981="",D2981=""),"",IF(MOD(COUNTIFS($C$2:C2981,C2981,$D$2:D2981,D2981)*7,10)&lt;3,"teste","treino"))</f>
        <v/>
      </c>
      <c r="N2981" s="16"/>
      <c r="O2981" s="16"/>
      <c r="P2981" s="16"/>
      <c r="Q2981" s="17"/>
    </row>
    <row r="2982" customFormat="false" ht="15" hidden="false" customHeight="false" outlineLevel="0" collapsed="false">
      <c r="A2982" s="15" t="str">
        <f aca="false">IF(B2982="","",ROW()-1)</f>
        <v/>
      </c>
      <c r="B2982" s="16"/>
      <c r="C2982" s="16"/>
      <c r="D2982" s="16"/>
      <c r="E2982" s="16"/>
      <c r="F2982" s="17"/>
      <c r="G2982" s="16"/>
      <c r="H2982" s="16"/>
      <c r="I2982" s="16"/>
      <c r="J2982" s="16"/>
      <c r="K2982" s="16"/>
      <c r="L2982" s="16"/>
      <c r="M2982" s="18" t="str">
        <f aca="false">IF(OR(C2982="",D2982=""),"",IF(MOD(COUNTIFS($C$2:C2982,C2982,$D$2:D2982,D2982)*7,10)&lt;3,"teste","treino"))</f>
        <v/>
      </c>
      <c r="N2982" s="16"/>
      <c r="O2982" s="16"/>
      <c r="P2982" s="16"/>
      <c r="Q2982" s="17"/>
    </row>
    <row r="2983" customFormat="false" ht="15" hidden="false" customHeight="false" outlineLevel="0" collapsed="false">
      <c r="A2983" s="15" t="str">
        <f aca="false">IF(B2983="","",ROW()-1)</f>
        <v/>
      </c>
      <c r="B2983" s="16"/>
      <c r="C2983" s="16"/>
      <c r="D2983" s="16"/>
      <c r="E2983" s="16"/>
      <c r="F2983" s="17"/>
      <c r="G2983" s="16"/>
      <c r="H2983" s="16"/>
      <c r="I2983" s="16"/>
      <c r="J2983" s="16"/>
      <c r="K2983" s="16"/>
      <c r="L2983" s="16"/>
      <c r="M2983" s="18" t="str">
        <f aca="false">IF(OR(C2983="",D2983=""),"",IF(MOD(COUNTIFS($C$2:C2983,C2983,$D$2:D2983,D2983)*7,10)&lt;3,"teste","treino"))</f>
        <v/>
      </c>
      <c r="N2983" s="16"/>
      <c r="O2983" s="16"/>
      <c r="P2983" s="16"/>
      <c r="Q2983" s="17"/>
    </row>
    <row r="2984" customFormat="false" ht="15" hidden="false" customHeight="false" outlineLevel="0" collapsed="false">
      <c r="A2984" s="15" t="str">
        <f aca="false">IF(B2984="","",ROW()-1)</f>
        <v/>
      </c>
      <c r="B2984" s="16"/>
      <c r="C2984" s="16"/>
      <c r="D2984" s="16"/>
      <c r="E2984" s="16"/>
      <c r="F2984" s="17"/>
      <c r="G2984" s="16"/>
      <c r="H2984" s="16"/>
      <c r="I2984" s="16"/>
      <c r="J2984" s="16"/>
      <c r="K2984" s="16"/>
      <c r="L2984" s="16"/>
      <c r="M2984" s="18" t="str">
        <f aca="false">IF(OR(C2984="",D2984=""),"",IF(MOD(COUNTIFS($C$2:C2984,C2984,$D$2:D2984,D2984)*7,10)&lt;3,"teste","treino"))</f>
        <v/>
      </c>
      <c r="N2984" s="16"/>
      <c r="O2984" s="16"/>
      <c r="P2984" s="16"/>
      <c r="Q2984" s="17"/>
    </row>
    <row r="2985" customFormat="false" ht="15" hidden="false" customHeight="false" outlineLevel="0" collapsed="false">
      <c r="A2985" s="15" t="str">
        <f aca="false">IF(B2985="","",ROW()-1)</f>
        <v/>
      </c>
      <c r="B2985" s="16"/>
      <c r="C2985" s="16"/>
      <c r="D2985" s="16"/>
      <c r="E2985" s="16"/>
      <c r="F2985" s="17"/>
      <c r="G2985" s="16"/>
      <c r="H2985" s="16"/>
      <c r="I2985" s="16"/>
      <c r="J2985" s="16"/>
      <c r="K2985" s="16"/>
      <c r="L2985" s="16"/>
      <c r="M2985" s="18" t="str">
        <f aca="false">IF(OR(C2985="",D2985=""),"",IF(MOD(COUNTIFS($C$2:C2985,C2985,$D$2:D2985,D2985)*7,10)&lt;3,"teste","treino"))</f>
        <v/>
      </c>
      <c r="N2985" s="16"/>
      <c r="O2985" s="16"/>
      <c r="P2985" s="16"/>
      <c r="Q2985" s="17"/>
    </row>
    <row r="2986" customFormat="false" ht="15" hidden="false" customHeight="false" outlineLevel="0" collapsed="false">
      <c r="A2986" s="15" t="str">
        <f aca="false">IF(B2986="","",ROW()-1)</f>
        <v/>
      </c>
      <c r="B2986" s="16"/>
      <c r="C2986" s="16"/>
      <c r="D2986" s="16"/>
      <c r="E2986" s="16"/>
      <c r="F2986" s="17"/>
      <c r="G2986" s="16"/>
      <c r="H2986" s="16"/>
      <c r="I2986" s="16"/>
      <c r="J2986" s="16"/>
      <c r="K2986" s="16"/>
      <c r="L2986" s="16"/>
      <c r="M2986" s="18" t="str">
        <f aca="false">IF(OR(C2986="",D2986=""),"",IF(MOD(COUNTIFS($C$2:C2986,C2986,$D$2:D2986,D2986)*7,10)&lt;3,"teste","treino"))</f>
        <v/>
      </c>
      <c r="N2986" s="16"/>
      <c r="O2986" s="16"/>
      <c r="P2986" s="16"/>
      <c r="Q2986" s="17"/>
    </row>
    <row r="2987" customFormat="false" ht="15" hidden="false" customHeight="false" outlineLevel="0" collapsed="false">
      <c r="A2987" s="15" t="str">
        <f aca="false">IF(B2987="","",ROW()-1)</f>
        <v/>
      </c>
      <c r="B2987" s="16"/>
      <c r="C2987" s="16"/>
      <c r="D2987" s="16"/>
      <c r="E2987" s="16"/>
      <c r="F2987" s="17"/>
      <c r="G2987" s="16"/>
      <c r="H2987" s="16"/>
      <c r="I2987" s="16"/>
      <c r="J2987" s="16"/>
      <c r="K2987" s="16"/>
      <c r="L2987" s="16"/>
      <c r="M2987" s="18" t="str">
        <f aca="false">IF(OR(C2987="",D2987=""),"",IF(MOD(COUNTIFS($C$2:C2987,C2987,$D$2:D2987,D2987)*7,10)&lt;3,"teste","treino"))</f>
        <v/>
      </c>
      <c r="N2987" s="16"/>
      <c r="O2987" s="16"/>
      <c r="P2987" s="16"/>
      <c r="Q2987" s="17"/>
    </row>
    <row r="2988" customFormat="false" ht="15" hidden="false" customHeight="false" outlineLevel="0" collapsed="false">
      <c r="A2988" s="15" t="str">
        <f aca="false">IF(B2988="","",ROW()-1)</f>
        <v/>
      </c>
      <c r="B2988" s="16"/>
      <c r="C2988" s="16"/>
      <c r="D2988" s="16"/>
      <c r="E2988" s="16"/>
      <c r="F2988" s="17"/>
      <c r="G2988" s="16"/>
      <c r="H2988" s="16"/>
      <c r="I2988" s="16"/>
      <c r="J2988" s="16"/>
      <c r="K2988" s="16"/>
      <c r="L2988" s="16"/>
      <c r="M2988" s="18" t="str">
        <f aca="false">IF(OR(C2988="",D2988=""),"",IF(MOD(COUNTIFS($C$2:C2988,C2988,$D$2:D2988,D2988)*7,10)&lt;3,"teste","treino"))</f>
        <v/>
      </c>
      <c r="N2988" s="16"/>
      <c r="O2988" s="16"/>
      <c r="P2988" s="16"/>
      <c r="Q2988" s="17"/>
    </row>
    <row r="2989" customFormat="false" ht="15" hidden="false" customHeight="false" outlineLevel="0" collapsed="false">
      <c r="A2989" s="15" t="str">
        <f aca="false">IF(B2989="","",ROW()-1)</f>
        <v/>
      </c>
      <c r="B2989" s="16"/>
      <c r="C2989" s="16"/>
      <c r="D2989" s="16"/>
      <c r="E2989" s="16"/>
      <c r="F2989" s="17"/>
      <c r="G2989" s="16"/>
      <c r="H2989" s="16"/>
      <c r="I2989" s="16"/>
      <c r="J2989" s="16"/>
      <c r="K2989" s="16"/>
      <c r="L2989" s="16"/>
      <c r="M2989" s="18" t="str">
        <f aca="false">IF(OR(C2989="",D2989=""),"",IF(MOD(COUNTIFS($C$2:C2989,C2989,$D$2:D2989,D2989)*7,10)&lt;3,"teste","treino"))</f>
        <v/>
      </c>
      <c r="N2989" s="16"/>
      <c r="O2989" s="16"/>
      <c r="P2989" s="16"/>
      <c r="Q2989" s="17"/>
    </row>
    <row r="2990" customFormat="false" ht="15" hidden="false" customHeight="false" outlineLevel="0" collapsed="false">
      <c r="A2990" s="15" t="str">
        <f aca="false">IF(B2990="","",ROW()-1)</f>
        <v/>
      </c>
      <c r="B2990" s="16"/>
      <c r="C2990" s="16"/>
      <c r="D2990" s="16"/>
      <c r="E2990" s="16"/>
      <c r="F2990" s="17"/>
      <c r="G2990" s="16"/>
      <c r="H2990" s="16"/>
      <c r="I2990" s="16"/>
      <c r="J2990" s="16"/>
      <c r="K2990" s="16"/>
      <c r="L2990" s="16"/>
      <c r="M2990" s="18" t="str">
        <f aca="false">IF(OR(C2990="",D2990=""),"",IF(MOD(COUNTIFS($C$2:C2990,C2990,$D$2:D2990,D2990)*7,10)&lt;3,"teste","treino"))</f>
        <v/>
      </c>
      <c r="N2990" s="16"/>
      <c r="O2990" s="16"/>
      <c r="P2990" s="16"/>
      <c r="Q2990" s="17"/>
    </row>
    <row r="2991" customFormat="false" ht="15" hidden="false" customHeight="false" outlineLevel="0" collapsed="false">
      <c r="A2991" s="15" t="str">
        <f aca="false">IF(B2991="","",ROW()-1)</f>
        <v/>
      </c>
      <c r="B2991" s="16"/>
      <c r="C2991" s="16"/>
      <c r="D2991" s="16"/>
      <c r="E2991" s="16"/>
      <c r="F2991" s="17"/>
      <c r="G2991" s="16"/>
      <c r="H2991" s="16"/>
      <c r="I2991" s="16"/>
      <c r="J2991" s="16"/>
      <c r="K2991" s="16"/>
      <c r="L2991" s="16"/>
      <c r="M2991" s="18" t="str">
        <f aca="false">IF(OR(C2991="",D2991=""),"",IF(MOD(COUNTIFS($C$2:C2991,C2991,$D$2:D2991,D2991)*7,10)&lt;3,"teste","treino"))</f>
        <v/>
      </c>
      <c r="N2991" s="16"/>
      <c r="O2991" s="16"/>
      <c r="P2991" s="16"/>
      <c r="Q2991" s="17"/>
    </row>
    <row r="2992" customFormat="false" ht="15" hidden="false" customHeight="false" outlineLevel="0" collapsed="false">
      <c r="A2992" s="15" t="str">
        <f aca="false">IF(B2992="","",ROW()-1)</f>
        <v/>
      </c>
      <c r="B2992" s="16"/>
      <c r="C2992" s="16"/>
      <c r="D2992" s="16"/>
      <c r="E2992" s="16"/>
      <c r="F2992" s="17"/>
      <c r="G2992" s="16"/>
      <c r="H2992" s="16"/>
      <c r="I2992" s="16"/>
      <c r="J2992" s="16"/>
      <c r="K2992" s="16"/>
      <c r="L2992" s="16"/>
      <c r="M2992" s="18" t="str">
        <f aca="false">IF(OR(C2992="",D2992=""),"",IF(MOD(COUNTIFS($C$2:C2992,C2992,$D$2:D2992,D2992)*7,10)&lt;3,"teste","treino"))</f>
        <v/>
      </c>
      <c r="N2992" s="16"/>
      <c r="O2992" s="16"/>
      <c r="P2992" s="16"/>
      <c r="Q2992" s="17"/>
    </row>
    <row r="2993" customFormat="false" ht="15" hidden="false" customHeight="false" outlineLevel="0" collapsed="false">
      <c r="A2993" s="15" t="str">
        <f aca="false">IF(B2993="","",ROW()-1)</f>
        <v/>
      </c>
      <c r="B2993" s="16"/>
      <c r="C2993" s="16"/>
      <c r="D2993" s="16"/>
      <c r="E2993" s="16"/>
      <c r="F2993" s="17"/>
      <c r="G2993" s="16"/>
      <c r="H2993" s="16"/>
      <c r="I2993" s="16"/>
      <c r="J2993" s="16"/>
      <c r="K2993" s="16"/>
      <c r="L2993" s="16"/>
      <c r="M2993" s="18" t="str">
        <f aca="false">IF(OR(C2993="",D2993=""),"",IF(MOD(COUNTIFS($C$2:C2993,C2993,$D$2:D2993,D2993)*7,10)&lt;3,"teste","treino"))</f>
        <v/>
      </c>
      <c r="N2993" s="16"/>
      <c r="O2993" s="16"/>
      <c r="P2993" s="16"/>
      <c r="Q2993" s="17"/>
    </row>
    <row r="2994" customFormat="false" ht="15" hidden="false" customHeight="false" outlineLevel="0" collapsed="false">
      <c r="A2994" s="15" t="str">
        <f aca="false">IF(B2994="","",ROW()-1)</f>
        <v/>
      </c>
      <c r="B2994" s="16"/>
      <c r="C2994" s="16"/>
      <c r="D2994" s="16"/>
      <c r="E2994" s="16"/>
      <c r="F2994" s="17"/>
      <c r="G2994" s="16"/>
      <c r="H2994" s="16"/>
      <c r="I2994" s="16"/>
      <c r="J2994" s="16"/>
      <c r="K2994" s="16"/>
      <c r="L2994" s="16"/>
      <c r="M2994" s="18" t="str">
        <f aca="false">IF(OR(C2994="",D2994=""),"",IF(MOD(COUNTIFS($C$2:C2994,C2994,$D$2:D2994,D2994)*7,10)&lt;3,"teste","treino"))</f>
        <v/>
      </c>
      <c r="N2994" s="16"/>
      <c r="O2994" s="16"/>
      <c r="P2994" s="16"/>
      <c r="Q2994" s="17"/>
    </row>
    <row r="2995" customFormat="false" ht="15" hidden="false" customHeight="false" outlineLevel="0" collapsed="false">
      <c r="A2995" s="15" t="str">
        <f aca="false">IF(B2995="","",ROW()-1)</f>
        <v/>
      </c>
      <c r="B2995" s="16"/>
      <c r="C2995" s="16"/>
      <c r="D2995" s="16"/>
      <c r="E2995" s="16"/>
      <c r="F2995" s="17"/>
      <c r="G2995" s="16"/>
      <c r="H2995" s="16"/>
      <c r="I2995" s="16"/>
      <c r="J2995" s="16"/>
      <c r="K2995" s="16"/>
      <c r="L2995" s="16"/>
      <c r="M2995" s="18" t="str">
        <f aca="false">IF(OR(C2995="",D2995=""),"",IF(MOD(COUNTIFS($C$2:C2995,C2995,$D$2:D2995,D2995)*7,10)&lt;3,"teste","treino"))</f>
        <v/>
      </c>
      <c r="N2995" s="16"/>
      <c r="O2995" s="16"/>
      <c r="P2995" s="16"/>
      <c r="Q2995" s="17"/>
    </row>
    <row r="2996" customFormat="false" ht="15" hidden="false" customHeight="false" outlineLevel="0" collapsed="false">
      <c r="A2996" s="15" t="str">
        <f aca="false">IF(B2996="","",ROW()-1)</f>
        <v/>
      </c>
      <c r="B2996" s="16"/>
      <c r="C2996" s="16"/>
      <c r="D2996" s="16"/>
      <c r="E2996" s="16"/>
      <c r="F2996" s="17"/>
      <c r="G2996" s="16"/>
      <c r="H2996" s="16"/>
      <c r="I2996" s="16"/>
      <c r="J2996" s="16"/>
      <c r="K2996" s="16"/>
      <c r="L2996" s="16"/>
      <c r="M2996" s="18" t="str">
        <f aca="false">IF(OR(C2996="",D2996=""),"",IF(MOD(COUNTIFS($C$2:C2996,C2996,$D$2:D2996,D2996)*7,10)&lt;3,"teste","treino"))</f>
        <v/>
      </c>
      <c r="N2996" s="16"/>
      <c r="O2996" s="16"/>
      <c r="P2996" s="16"/>
      <c r="Q2996" s="17"/>
    </row>
    <row r="2997" customFormat="false" ht="15" hidden="false" customHeight="false" outlineLevel="0" collapsed="false">
      <c r="A2997" s="15" t="str">
        <f aca="false">IF(B2997="","",ROW()-1)</f>
        <v/>
      </c>
      <c r="B2997" s="16"/>
      <c r="C2997" s="16"/>
      <c r="D2997" s="16"/>
      <c r="E2997" s="16"/>
      <c r="F2997" s="17"/>
      <c r="G2997" s="16"/>
      <c r="H2997" s="16"/>
      <c r="I2997" s="16"/>
      <c r="J2997" s="16"/>
      <c r="K2997" s="16"/>
      <c r="L2997" s="16"/>
      <c r="M2997" s="18" t="str">
        <f aca="false">IF(OR(C2997="",D2997=""),"",IF(MOD(COUNTIFS($C$2:C2997,C2997,$D$2:D2997,D2997)*7,10)&lt;3,"teste","treino"))</f>
        <v/>
      </c>
      <c r="N2997" s="16"/>
      <c r="O2997" s="16"/>
      <c r="P2997" s="16"/>
      <c r="Q2997" s="17"/>
    </row>
    <row r="2998" customFormat="false" ht="15" hidden="false" customHeight="false" outlineLevel="0" collapsed="false">
      <c r="A2998" s="15" t="str">
        <f aca="false">IF(B2998="","",ROW()-1)</f>
        <v/>
      </c>
      <c r="B2998" s="16"/>
      <c r="C2998" s="16"/>
      <c r="D2998" s="16"/>
      <c r="E2998" s="16"/>
      <c r="F2998" s="17"/>
      <c r="G2998" s="16"/>
      <c r="H2998" s="16"/>
      <c r="I2998" s="16"/>
      <c r="J2998" s="16"/>
      <c r="K2998" s="16"/>
      <c r="L2998" s="16"/>
      <c r="M2998" s="18" t="str">
        <f aca="false">IF(OR(C2998="",D2998=""),"",IF(MOD(COUNTIFS($C$2:C2998,C2998,$D$2:D2998,D2998)*7,10)&lt;3,"teste","treino"))</f>
        <v/>
      </c>
      <c r="N2998" s="16"/>
      <c r="O2998" s="16"/>
      <c r="P2998" s="16"/>
      <c r="Q2998" s="17"/>
    </row>
    <row r="2999" customFormat="false" ht="15" hidden="false" customHeight="false" outlineLevel="0" collapsed="false">
      <c r="A2999" s="15" t="str">
        <f aca="false">IF(B2999="","",ROW()-1)</f>
        <v/>
      </c>
      <c r="B2999" s="16"/>
      <c r="C2999" s="16"/>
      <c r="D2999" s="16"/>
      <c r="E2999" s="16"/>
      <c r="F2999" s="17"/>
      <c r="G2999" s="16"/>
      <c r="H2999" s="16"/>
      <c r="I2999" s="16"/>
      <c r="J2999" s="16"/>
      <c r="K2999" s="16"/>
      <c r="L2999" s="16"/>
      <c r="M2999" s="18" t="str">
        <f aca="false">IF(OR(C2999="",D2999=""),"",IF(MOD(COUNTIFS($C$2:C2999,C2999,$D$2:D2999,D2999)*7,10)&lt;3,"teste","treino"))</f>
        <v/>
      </c>
      <c r="N2999" s="16"/>
      <c r="O2999" s="16"/>
      <c r="P2999" s="16"/>
      <c r="Q2999" s="17"/>
    </row>
    <row r="3000" customFormat="false" ht="15" hidden="false" customHeight="false" outlineLevel="0" collapsed="false">
      <c r="A3000" s="15" t="str">
        <f aca="false">IF(B3000="","",ROW()-1)</f>
        <v/>
      </c>
      <c r="B3000" s="16"/>
      <c r="C3000" s="16"/>
      <c r="D3000" s="16"/>
      <c r="E3000" s="16"/>
      <c r="F3000" s="17"/>
      <c r="G3000" s="16"/>
      <c r="H3000" s="16"/>
      <c r="I3000" s="16"/>
      <c r="J3000" s="16"/>
      <c r="K3000" s="16"/>
      <c r="L3000" s="16"/>
      <c r="M3000" s="18" t="str">
        <f aca="false">IF(OR(C3000="",D3000=""),"",IF(MOD(COUNTIFS($C$2:C3000,C3000,$D$2:D3000,D3000)*7,10)&lt;3,"teste","treino"))</f>
        <v/>
      </c>
      <c r="N3000" s="16"/>
      <c r="O3000" s="16"/>
      <c r="P3000" s="16"/>
      <c r="Q3000" s="17"/>
    </row>
    <row r="3001" customFormat="false" ht="15" hidden="false" customHeight="false" outlineLevel="0" collapsed="false">
      <c r="A3001" s="15" t="str">
        <f aca="false">IF(B3001="","",ROW()-1)</f>
        <v/>
      </c>
      <c r="B3001" s="16"/>
      <c r="C3001" s="16"/>
      <c r="D3001" s="16"/>
      <c r="E3001" s="16"/>
      <c r="F3001" s="17"/>
      <c r="G3001" s="16"/>
      <c r="H3001" s="16"/>
      <c r="I3001" s="16"/>
      <c r="J3001" s="16"/>
      <c r="K3001" s="16"/>
      <c r="L3001" s="16"/>
      <c r="M3001" s="18" t="str">
        <f aca="false">IF(OR(C3001="",D3001=""),"",IF(MOD(COUNTIFS($C$2:C3001,C3001,$D$2:D3001,D3001)*7,10)&lt;3,"teste","treino"))</f>
        <v/>
      </c>
      <c r="N3001" s="16"/>
      <c r="O3001" s="16"/>
      <c r="P3001" s="16"/>
      <c r="Q3001" s="17"/>
    </row>
  </sheetData>
  <autoFilter ref="A1:Q3001"/>
  <conditionalFormatting sqref="L2:L3001">
    <cfRule type="cellIs" priority="2" operator="equal" aboveAverage="0" equalAverage="0" bottom="0" percent="0" rank="0" text="" dxfId="6">
      <formula>"PENDENTE"</formula>
    </cfRule>
  </conditionalFormatting>
  <conditionalFormatting sqref="M2:M3001">
    <cfRule type="cellIs" priority="3" operator="equal" aboveAverage="0" equalAverage="0" bottom="0" percent="0" rank="0" text="" dxfId="7">
      <formula>"teste"</formula>
    </cfRule>
  </conditionalFormatting>
  <dataValidations count="8">
    <dataValidation allowBlank="true" error="Escolha um valor da lista (aba Listas)." errorStyle="stop" operator="between" showDropDown="false" showErrorMessage="true" showInputMessage="false" sqref="C2:C3001" type="list">
      <formula1>Listas!$A$2:$A$4</formula1>
      <formula2>0</formula2>
    </dataValidation>
    <dataValidation allowBlank="true" error="Escolha um valor da lista (aba Listas)." errorStyle="stop" operator="between" showDropDown="false" showErrorMessage="true" showInputMessage="false" sqref="D2:D3001" type="list">
      <formula1>Listas!$B$2:$B$3</formula1>
      <formula2>0</formula2>
    </dataValidation>
    <dataValidation allowBlank="true" error="Escolha um valor da lista (aba Listas)." errorStyle="stop" operator="between" showDropDown="false" showErrorMessage="true" showInputMessage="false" sqref="E2:E3001" type="list">
      <formula1>Listas!$C$2:$C$16</formula1>
      <formula2>0</formula2>
    </dataValidation>
    <dataValidation allowBlank="true" error="Escolha um valor da lista (aba Listas)." errorStyle="stop" operator="between" showDropDown="false" showErrorMessage="true" showInputMessage="false" sqref="G2:G3001" type="list">
      <formula1>Listas!$D$2:$D$21</formula1>
      <formula2>0</formula2>
    </dataValidation>
    <dataValidation allowBlank="true" error="Escolha um valor da lista (aba Listas)." errorStyle="stop" operator="between" showDropDown="false" showErrorMessage="true" showInputMessage="false" sqref="H2:H3001" type="list">
      <formula1>Listas!$E$2:$E$10</formula1>
      <formula2>0</formula2>
    </dataValidation>
    <dataValidation allowBlank="true" error="Escolha um valor da lista (aba Listas)." errorStyle="stop" operator="between" showDropDown="false" showErrorMessage="true" showInputMessage="false" sqref="K2:K3001" type="list">
      <formula1>Listas!$F$2:$F$3</formula1>
      <formula2>0</formula2>
    </dataValidation>
    <dataValidation allowBlank="true" error="Escolha um valor da lista (aba Listas)." errorStyle="stop" operator="between" showDropDown="false" showErrorMessage="true" showInputMessage="false" sqref="L2:L3001" type="list">
      <formula1>Listas!$G$2:$G$6</formula1>
      <formula2>0</formula2>
    </dataValidation>
    <dataValidation allowBlank="true" errorStyle="stop" operator="between" showDropDown="false" showErrorMessage="false" showInputMessage="false" sqref="I2:I3001" type="whole">
      <formula1>1990</formula1>
      <formula2>2030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9" t="s">
        <v>106</v>
      </c>
    </row>
    <row r="2" customFormat="false" ht="15" hidden="false" customHeight="false" outlineLevel="0" collapsed="false">
      <c r="A2" s="2" t="s">
        <v>107</v>
      </c>
    </row>
    <row r="4" customFormat="false" ht="23.85" hidden="false" customHeight="false" outlineLevel="0" collapsed="false">
      <c r="A4" s="4" t="s">
        <v>51</v>
      </c>
      <c r="B4" s="4" t="s">
        <v>50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113</v>
      </c>
      <c r="I4" s="4" t="s">
        <v>114</v>
      </c>
      <c r="J4" s="4" t="s">
        <v>115</v>
      </c>
    </row>
    <row r="5" customFormat="false" ht="15" hidden="false" customHeight="false" outlineLevel="0" collapsed="false">
      <c r="A5" s="10" t="s">
        <v>67</v>
      </c>
      <c r="B5" s="10" t="s">
        <v>87</v>
      </c>
      <c r="C5" s="10" t="n">
        <f aca="false">COUNTIFS(Coleta!$D$2:$D$3001,A5,Coleta!$C$2:$C$3001,B5)</f>
        <v>0</v>
      </c>
      <c r="D5" s="10" t="n">
        <f aca="false">COUNTIFS(Coleta!$D$2:$D$3001,A5,Coleta!$C$2:$C$3001,B5,Coleta!$M$2:$M$3001,"teste")</f>
        <v>0</v>
      </c>
      <c r="E5" s="20" t="n">
        <v>150</v>
      </c>
      <c r="F5" s="20" t="n">
        <v>500</v>
      </c>
      <c r="G5" s="20" t="n">
        <v>1000</v>
      </c>
      <c r="H5" s="21" t="n">
        <f aca="false">IF(G5=0,0,MIN(1,C5/G5))</f>
        <v>0</v>
      </c>
      <c r="I5" s="10" t="n">
        <f aca="false">MAX(0,G5-C5)</f>
        <v>1000</v>
      </c>
      <c r="J5" s="22" t="str">
        <f aca="false">IF(D5=0,"-",MIN(1,3/D5))</f>
        <v>-</v>
      </c>
    </row>
    <row r="6" customFormat="false" ht="15" hidden="false" customHeight="false" outlineLevel="0" collapsed="false">
      <c r="A6" s="10" t="s">
        <v>67</v>
      </c>
      <c r="B6" s="10" t="s">
        <v>66</v>
      </c>
      <c r="C6" s="10" t="n">
        <f aca="false">COUNTIFS(Coleta!$D$2:$D$3001,A6,Coleta!$C$2:$C$3001,B6)</f>
        <v>3</v>
      </c>
      <c r="D6" s="10" t="n">
        <f aca="false">COUNTIFS(Coleta!$D$2:$D$3001,A6,Coleta!$C$2:$C$3001,B6,Coleta!$M$2:$M$3001,"teste")</f>
        <v>1</v>
      </c>
      <c r="E6" s="20" t="n">
        <v>100</v>
      </c>
      <c r="F6" s="20" t="n">
        <v>250</v>
      </c>
      <c r="G6" s="20" t="n">
        <v>350</v>
      </c>
      <c r="H6" s="21" t="n">
        <f aca="false">IF(G6=0,0,MIN(1,C6/G6))</f>
        <v>0.00857142857142857</v>
      </c>
      <c r="I6" s="10" t="n">
        <f aca="false">MAX(0,G6-C6)</f>
        <v>347</v>
      </c>
      <c r="J6" s="22" t="n">
        <f aca="false">IF(D6=0,"-",MIN(1,1.96*SQRT(0.09/D6)))</f>
        <v>0.588</v>
      </c>
    </row>
    <row r="7" customFormat="false" ht="15" hidden="false" customHeight="false" outlineLevel="0" collapsed="false">
      <c r="A7" s="10" t="s">
        <v>67</v>
      </c>
      <c r="B7" s="10" t="s">
        <v>116</v>
      </c>
      <c r="C7" s="10" t="n">
        <f aca="false">COUNTIFS(Coleta!$D$2:$D$3001,A7,Coleta!$C$2:$C$3001,B7)</f>
        <v>0</v>
      </c>
      <c r="D7" s="10" t="n">
        <f aca="false">COUNTIFS(Coleta!$D$2:$D$3001,A7,Coleta!$C$2:$C$3001,B7,Coleta!$M$2:$M$3001,"teste")</f>
        <v>0</v>
      </c>
      <c r="E7" s="20" t="n">
        <v>50</v>
      </c>
      <c r="F7" s="20" t="n">
        <v>250</v>
      </c>
      <c r="G7" s="20" t="n">
        <v>350</v>
      </c>
      <c r="H7" s="21" t="n">
        <f aca="false">IF(G7=0,0,MIN(1,C7/G7))</f>
        <v>0</v>
      </c>
      <c r="I7" s="10" t="n">
        <f aca="false">MAX(0,G7-C7)</f>
        <v>350</v>
      </c>
      <c r="J7" s="22" t="str">
        <f aca="false">IF(D7=0,"-",MIN(1,1.96*SQRT(0.09/D7)))</f>
        <v>-</v>
      </c>
    </row>
    <row r="8" customFormat="false" ht="15" hidden="false" customHeight="false" outlineLevel="0" collapsed="false">
      <c r="A8" s="10" t="s">
        <v>88</v>
      </c>
      <c r="B8" s="10" t="s">
        <v>87</v>
      </c>
      <c r="C8" s="10" t="n">
        <f aca="false">COUNTIFS(Coleta!$D$2:$D$3001,A8,Coleta!$C$2:$C$3001,B8)</f>
        <v>4</v>
      </c>
      <c r="D8" s="10" t="n">
        <f aca="false">COUNTIFS(Coleta!$D$2:$D$3001,A8,Coleta!$C$2:$C$3001,B8,Coleta!$M$2:$M$3001,"teste")</f>
        <v>1</v>
      </c>
      <c r="E8" s="20" t="n">
        <v>50</v>
      </c>
      <c r="F8" s="20" t="n">
        <v>200</v>
      </c>
      <c r="G8" s="20" t="n">
        <v>500</v>
      </c>
      <c r="H8" s="21" t="n">
        <f aca="false">IF(G8=0,0,MIN(1,C8/G8))</f>
        <v>0.008</v>
      </c>
      <c r="I8" s="10" t="n">
        <f aca="false">MAX(0,G8-C8)</f>
        <v>496</v>
      </c>
      <c r="J8" s="22" t="n">
        <f aca="false">IF(D8=0,"-",MIN(1,3/D8))</f>
        <v>1</v>
      </c>
    </row>
    <row r="9" customFormat="false" ht="15" hidden="false" customHeight="false" outlineLevel="0" collapsed="false">
      <c r="A9" s="10" t="s">
        <v>88</v>
      </c>
      <c r="B9" s="10" t="s">
        <v>66</v>
      </c>
      <c r="C9" s="10" t="n">
        <f aca="false">COUNTIFS(Coleta!$D$2:$D$3001,A9,Coleta!$C$2:$C$3001,B9)</f>
        <v>0</v>
      </c>
      <c r="D9" s="10" t="n">
        <f aca="false">COUNTIFS(Coleta!$D$2:$D$3001,A9,Coleta!$C$2:$C$3001,B9,Coleta!$M$2:$M$3001,"teste")</f>
        <v>0</v>
      </c>
      <c r="E9" s="20" t="n">
        <v>50</v>
      </c>
      <c r="F9" s="20" t="n">
        <v>200</v>
      </c>
      <c r="G9" s="20" t="n">
        <v>500</v>
      </c>
      <c r="H9" s="21" t="n">
        <f aca="false">IF(G9=0,0,MIN(1,C9/G9))</f>
        <v>0</v>
      </c>
      <c r="I9" s="10" t="n">
        <f aca="false">MAX(0,G9-C9)</f>
        <v>500</v>
      </c>
      <c r="J9" s="22" t="str">
        <f aca="false">IF(D9=0,"-",MIN(1,1.96*SQRT(0.09/D9)))</f>
        <v>-</v>
      </c>
    </row>
    <row r="10" customFormat="false" ht="15" hidden="false" customHeight="false" outlineLevel="0" collapsed="false">
      <c r="A10" s="9" t="s">
        <v>117</v>
      </c>
      <c r="B10" s="9"/>
      <c r="C10" s="9" t="n">
        <f aca="false">SUM(C5:C9)</f>
        <v>7</v>
      </c>
      <c r="D10" s="9" t="n">
        <f aca="false">SUM(D5:D9)</f>
        <v>2</v>
      </c>
      <c r="E10" s="9" t="n">
        <f aca="false">SUM(E5:E9)</f>
        <v>400</v>
      </c>
      <c r="F10" s="9" t="n">
        <f aca="false">SUM(F5:F9)</f>
        <v>1400</v>
      </c>
      <c r="G10" s="9" t="n">
        <f aca="false">SUM(G5:G9)</f>
        <v>2700</v>
      </c>
      <c r="H10" s="23" t="n">
        <f aca="false">IF(G10=0,0,MIN(1,C10/G10))</f>
        <v>0.00259259259259259</v>
      </c>
      <c r="I10" s="9" t="n">
        <f aca="false">SUM(I5:I9)</f>
        <v>2693</v>
      </c>
      <c r="J10" s="24"/>
    </row>
    <row r="11" customFormat="false" ht="15" hidden="false" customHeight="false" outlineLevel="0" collapsed="false">
      <c r="A11" s="2" t="s">
        <v>118</v>
      </c>
    </row>
    <row r="12" customFormat="false" ht="15" hidden="false" customHeight="false" outlineLevel="0" collapsed="false">
      <c r="A12" s="2" t="s">
        <v>119</v>
      </c>
    </row>
    <row r="13" customFormat="false" ht="15" hidden="false" customHeight="false" outlineLevel="0" collapsed="false">
      <c r="A13" s="2" t="s">
        <v>120</v>
      </c>
    </row>
    <row r="14" customFormat="false" ht="15" hidden="false" customHeight="false" outlineLevel="0" collapsed="false">
      <c r="A14" s="2" t="s">
        <v>121</v>
      </c>
    </row>
    <row r="16" customFormat="false" ht="15" hidden="false" customHeight="false" outlineLevel="0" collapsed="false">
      <c r="A16" s="8" t="s">
        <v>122</v>
      </c>
    </row>
    <row r="17" customFormat="false" ht="15" hidden="false" customHeight="false" outlineLevel="0" collapsed="false">
      <c r="A17" s="4" t="s">
        <v>123</v>
      </c>
      <c r="B17" s="4" t="s">
        <v>124</v>
      </c>
      <c r="C17" s="4" t="s">
        <v>125</v>
      </c>
      <c r="D17" s="4" t="s">
        <v>126</v>
      </c>
    </row>
    <row r="18" customFormat="false" ht="15" hidden="false" customHeight="false" outlineLevel="0" collapsed="false">
      <c r="A18" s="10" t="s">
        <v>127</v>
      </c>
      <c r="B18" s="21" t="n">
        <f aca="false">IFERROR((COUNTIFS(Coleta!$C$2:$C$3001,"REAL",Coleta!$I$2:$I$3001,"&gt;=2025"))/COUNTIF(Coleta!$C$2:$C$3001,"REAL"),0)</f>
        <v>0</v>
      </c>
      <c r="C18" s="25" t="n">
        <v>0.5</v>
      </c>
      <c r="D18" s="10" t="str">
        <f aca="false">IF(B18&gt;=C18,"OK","atenção")</f>
        <v>atenção</v>
      </c>
    </row>
    <row r="19" customFormat="false" ht="15" hidden="false" customHeight="false" outlineLevel="0" collapsed="false">
      <c r="A19" s="10" t="s">
        <v>128</v>
      </c>
      <c r="B19" s="10" t="n">
        <f aca="false">Variedade!C25</f>
        <v>2</v>
      </c>
      <c r="C19" s="20" t="n">
        <v>4</v>
      </c>
      <c r="D19" s="10" t="str">
        <f aca="false">IF(B19&gt;=C19,"OK","atenção")</f>
        <v>atenção</v>
      </c>
    </row>
    <row r="20" customFormat="false" ht="15" hidden="false" customHeight="false" outlineLevel="0" collapsed="false">
      <c r="A20" s="10" t="s">
        <v>129</v>
      </c>
      <c r="B20" s="10" t="n">
        <f aca="false">Variedade!E25</f>
        <v>1</v>
      </c>
      <c r="C20" s="20" t="n">
        <v>4</v>
      </c>
      <c r="D20" s="10" t="str">
        <f aca="false">IF(B20&gt;=C20,"OK","atenção")</f>
        <v>atenção</v>
      </c>
    </row>
    <row r="21" customFormat="false" ht="15" hidden="false" customHeight="false" outlineLevel="0" collapsed="false">
      <c r="A21" s="10" t="s">
        <v>130</v>
      </c>
      <c r="B21" s="10" t="n">
        <f aca="false">Variedade!G25</f>
        <v>0</v>
      </c>
      <c r="C21" s="20" t="n">
        <v>4</v>
      </c>
      <c r="D21" s="10" t="str">
        <f aca="false">IF(B21&gt;=C21,"OK","atenção")</f>
        <v>atenção</v>
      </c>
    </row>
    <row r="22" customFormat="false" ht="15" hidden="false" customHeight="false" outlineLevel="0" collapsed="false">
      <c r="A22" s="10" t="s">
        <v>131</v>
      </c>
      <c r="B22" s="21" t="n">
        <f aca="false">Variedade!C26</f>
        <v>0.75</v>
      </c>
      <c r="C22" s="25" t="n">
        <v>0.3</v>
      </c>
      <c r="D22" s="10" t="str">
        <f aca="false">IF(B22&lt;=C22,"OK","atenção")</f>
        <v>atenção</v>
      </c>
    </row>
    <row r="23" customFormat="false" ht="15" hidden="false" customHeight="false" outlineLevel="0" collapsed="false">
      <c r="A23" s="10" t="s">
        <v>132</v>
      </c>
      <c r="B23" s="21" t="n">
        <f aca="false">Variedade!E26</f>
        <v>1</v>
      </c>
      <c r="C23" s="25" t="n">
        <v>0.3</v>
      </c>
      <c r="D23" s="10" t="str">
        <f aca="false">IF(B23&lt;=C23,"OK","atenção")</f>
        <v>atenção</v>
      </c>
    </row>
    <row r="24" customFormat="false" ht="15" hidden="false" customHeight="false" outlineLevel="0" collapsed="false">
      <c r="A24" s="10" t="s">
        <v>133</v>
      </c>
      <c r="B24" s="10" t="n">
        <f aca="false">D5</f>
        <v>0</v>
      </c>
      <c r="C24" s="20" t="n">
        <v>300</v>
      </c>
      <c r="D24" s="10" t="str">
        <f aca="false">IF(B24&gt;=C24,"OK","atenção")</f>
        <v>atenção</v>
      </c>
    </row>
    <row r="25" customFormat="false" ht="15" hidden="false" customHeight="false" outlineLevel="0" collapsed="false">
      <c r="A25" s="10" t="s">
        <v>134</v>
      </c>
      <c r="B25" s="10" t="n">
        <f aca="false">D8</f>
        <v>1</v>
      </c>
      <c r="C25" s="20" t="n">
        <v>150</v>
      </c>
      <c r="D25" s="10" t="str">
        <f aca="false">IF(B25&gt;=C25,"OK","atenção")</f>
        <v>atenção</v>
      </c>
    </row>
    <row r="26" customFormat="false" ht="15" hidden="false" customHeight="false" outlineLevel="0" collapsed="false">
      <c r="A26" s="10" t="s">
        <v>135</v>
      </c>
      <c r="B26" s="10" t="n">
        <f aca="false">COUNTIF(Coleta!$L$2:$L$3001,"PENDENTE")</f>
        <v>0</v>
      </c>
      <c r="C26" s="20" t="n">
        <v>0</v>
      </c>
      <c r="D26" s="10" t="str">
        <f aca="false">IF(B26&lt;=C26,"OK","atenção")</f>
        <v>OK</v>
      </c>
    </row>
    <row r="27" customFormat="false" ht="15" hidden="false" customHeight="false" outlineLevel="0" collapsed="false">
      <c r="A27" s="10" t="s">
        <v>136</v>
      </c>
      <c r="B27" s="10" t="n">
        <f aca="false">COUNTIFS(Coleta!$B$2:$B$3001,"&lt;&gt;",Coleta!$G$2:$G$3001,"")</f>
        <v>0</v>
      </c>
      <c r="C27" s="20" t="n">
        <v>0</v>
      </c>
      <c r="D27" s="10" t="str">
        <f aca="false">IF(B27&lt;=C27,"OK","atenção")</f>
        <v>OK</v>
      </c>
    </row>
  </sheetData>
  <conditionalFormatting sqref="H5:H10">
    <cfRule type="cellIs" priority="2" operator="greaterThanOrEqual" aboveAverage="0" equalAverage="0" bottom="0" percent="0" rank="0" text="" dxfId="8">
      <formula>1</formula>
    </cfRule>
  </conditionalFormatting>
  <conditionalFormatting sqref="D18:D27">
    <cfRule type="cellIs" priority="3" operator="equal" aboveAverage="0" equalAverage="0" bottom="0" percent="0" rank="0" text="" dxfId="6">
      <formula>"atenção"</formula>
    </cfRule>
    <cfRule type="cellIs" priority="4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6" min="3" style="0" width="10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9" t="s">
        <v>137</v>
      </c>
    </row>
    <row r="2" customFormat="false" ht="15" hidden="false" customHeight="false" outlineLevel="0" collapsed="false">
      <c r="A2" s="2" t="s">
        <v>138</v>
      </c>
    </row>
    <row r="3" customFormat="false" ht="15" hidden="false" customHeight="false" outlineLevel="0" collapsed="false">
      <c r="A3" s="4" t="s">
        <v>139</v>
      </c>
      <c r="B3" s="4"/>
      <c r="C3" s="4" t="s">
        <v>87</v>
      </c>
      <c r="D3" s="4" t="s">
        <v>140</v>
      </c>
      <c r="E3" s="4" t="s">
        <v>66</v>
      </c>
      <c r="F3" s="4" t="s">
        <v>141</v>
      </c>
      <c r="G3" s="4" t="s">
        <v>116</v>
      </c>
      <c r="H3" s="4" t="s">
        <v>142</v>
      </c>
    </row>
    <row r="4" customFormat="false" ht="15" hidden="false" customHeight="false" outlineLevel="0" collapsed="false">
      <c r="A4" s="10" t="s">
        <v>143</v>
      </c>
      <c r="C4" s="10" t="n">
        <f aca="false">COUNTIFS(Coleta!$G$2:$G$3001,$A4,Coleta!$C$2:$C$3001,"REAL")</f>
        <v>0</v>
      </c>
      <c r="D4" s="21" t="n">
        <f aca="false">IF(COUNTIF(Coleta!$C$2:$C$3001,"REAL")=0,0,C4/COUNTIF(Coleta!$C$2:$C$3001,"REAL"))</f>
        <v>0</v>
      </c>
      <c r="E4" s="10" t="n">
        <f aca="false">COUNTIFS(Coleta!$G$2:$G$3001,$A4,Coleta!$C$2:$C$3001,"IA")</f>
        <v>0</v>
      </c>
      <c r="F4" s="21" t="n">
        <f aca="false">IF(COUNTIF(Coleta!$C$2:$C$3001,"IA")=0,0,E4/COUNTIF(Coleta!$C$2:$C$3001,"IA"))</f>
        <v>0</v>
      </c>
      <c r="G4" s="10" t="n">
        <f aca="false">COUNTIFS(Coleta!$G$2:$G$3001,$A4,Coleta!$C$2:$C$3001,"MANIPULADO")</f>
        <v>0</v>
      </c>
      <c r="H4" s="21" t="n">
        <f aca="false">IF(COUNTIF(Coleta!$C$2:$C$3001,"MANIPULADO")=0,0,G4/COUNTIF(Coleta!$C$2:$C$3001,"MANIPULADO"))</f>
        <v>0</v>
      </c>
    </row>
    <row r="5" customFormat="false" ht="15" hidden="false" customHeight="false" outlineLevel="0" collapsed="false">
      <c r="A5" s="10" t="s">
        <v>99</v>
      </c>
      <c r="C5" s="10" t="n">
        <f aca="false">COUNTIFS(Coleta!$G$2:$G$3001,$A5,Coleta!$C$2:$C$3001,"REAL")</f>
        <v>3</v>
      </c>
      <c r="D5" s="21" t="n">
        <f aca="false">IF(COUNTIF(Coleta!$C$2:$C$3001,"REAL")=0,0,C5/COUNTIF(Coleta!$C$2:$C$3001,"REAL"))</f>
        <v>0.75</v>
      </c>
      <c r="E5" s="10" t="n">
        <f aca="false">COUNTIFS(Coleta!$G$2:$G$3001,$A5,Coleta!$C$2:$C$3001,"IA")</f>
        <v>0</v>
      </c>
      <c r="F5" s="21" t="n">
        <f aca="false">IF(COUNTIF(Coleta!$C$2:$C$3001,"IA")=0,0,E5/COUNTIF(Coleta!$C$2:$C$3001,"IA"))</f>
        <v>0</v>
      </c>
      <c r="G5" s="10" t="n">
        <f aca="false">COUNTIFS(Coleta!$G$2:$G$3001,$A5,Coleta!$C$2:$C$3001,"MANIPULADO")</f>
        <v>0</v>
      </c>
      <c r="H5" s="21" t="n">
        <f aca="false">IF(COUNTIF(Coleta!$C$2:$C$3001,"MANIPULADO")=0,0,G5/COUNTIF(Coleta!$C$2:$C$3001,"MANIPULADO"))</f>
        <v>0</v>
      </c>
    </row>
    <row r="6" customFormat="false" ht="15" hidden="false" customHeight="false" outlineLevel="0" collapsed="false">
      <c r="A6" s="10" t="s">
        <v>144</v>
      </c>
      <c r="C6" s="10" t="n">
        <f aca="false">COUNTIFS(Coleta!$G$2:$G$3001,$A6,Coleta!$C$2:$C$3001,"REAL")</f>
        <v>0</v>
      </c>
      <c r="D6" s="21" t="n">
        <f aca="false">IF(COUNTIF(Coleta!$C$2:$C$3001,"REAL")=0,0,C6/COUNTIF(Coleta!$C$2:$C$3001,"REAL"))</f>
        <v>0</v>
      </c>
      <c r="E6" s="10" t="n">
        <f aca="false">COUNTIFS(Coleta!$G$2:$G$3001,$A6,Coleta!$C$2:$C$3001,"IA")</f>
        <v>0</v>
      </c>
      <c r="F6" s="21" t="n">
        <f aca="false">IF(COUNTIF(Coleta!$C$2:$C$3001,"IA")=0,0,E6/COUNTIF(Coleta!$C$2:$C$3001,"IA"))</f>
        <v>0</v>
      </c>
      <c r="G6" s="10" t="n">
        <f aca="false">COUNTIFS(Coleta!$G$2:$G$3001,$A6,Coleta!$C$2:$C$3001,"MANIPULADO")</f>
        <v>0</v>
      </c>
      <c r="H6" s="21" t="n">
        <f aca="false">IF(COUNTIF(Coleta!$C$2:$C$3001,"MANIPULADO")=0,0,G6/COUNTIF(Coleta!$C$2:$C$3001,"MANIPULADO"))</f>
        <v>0</v>
      </c>
    </row>
    <row r="7" customFormat="false" ht="15" hidden="false" customHeight="false" outlineLevel="0" collapsed="false">
      <c r="A7" s="10" t="s">
        <v>145</v>
      </c>
      <c r="C7" s="10" t="n">
        <f aca="false">COUNTIFS(Coleta!$G$2:$G$3001,$A7,Coleta!$C$2:$C$3001,"REAL")</f>
        <v>0</v>
      </c>
      <c r="D7" s="21" t="n">
        <f aca="false">IF(COUNTIF(Coleta!$C$2:$C$3001,"REAL")=0,0,C7/COUNTIF(Coleta!$C$2:$C$3001,"REAL"))</f>
        <v>0</v>
      </c>
      <c r="E7" s="10" t="n">
        <f aca="false">COUNTIFS(Coleta!$G$2:$G$3001,$A7,Coleta!$C$2:$C$3001,"IA")</f>
        <v>0</v>
      </c>
      <c r="F7" s="21" t="n">
        <f aca="false">IF(COUNTIF(Coleta!$C$2:$C$3001,"IA")=0,0,E7/COUNTIF(Coleta!$C$2:$C$3001,"IA"))</f>
        <v>0</v>
      </c>
      <c r="G7" s="10" t="n">
        <f aca="false">COUNTIFS(Coleta!$G$2:$G$3001,$A7,Coleta!$C$2:$C$3001,"MANIPULADO")</f>
        <v>0</v>
      </c>
      <c r="H7" s="21" t="n">
        <f aca="false">IF(COUNTIF(Coleta!$C$2:$C$3001,"MANIPULADO")=0,0,G7/COUNTIF(Coleta!$C$2:$C$3001,"MANIPULADO"))</f>
        <v>0</v>
      </c>
    </row>
    <row r="8" customFormat="false" ht="15" hidden="false" customHeight="false" outlineLevel="0" collapsed="false">
      <c r="A8" s="10" t="s">
        <v>146</v>
      </c>
      <c r="C8" s="10" t="n">
        <f aca="false">COUNTIFS(Coleta!$G$2:$G$3001,$A8,Coleta!$C$2:$C$3001,"REAL")</f>
        <v>0</v>
      </c>
      <c r="D8" s="21" t="n">
        <f aca="false">IF(COUNTIF(Coleta!$C$2:$C$3001,"REAL")=0,0,C8/COUNTIF(Coleta!$C$2:$C$3001,"REAL"))</f>
        <v>0</v>
      </c>
      <c r="E8" s="10" t="n">
        <f aca="false">COUNTIFS(Coleta!$G$2:$G$3001,$A8,Coleta!$C$2:$C$3001,"IA")</f>
        <v>0</v>
      </c>
      <c r="F8" s="21" t="n">
        <f aca="false">IF(COUNTIF(Coleta!$C$2:$C$3001,"IA")=0,0,E8/COUNTIF(Coleta!$C$2:$C$3001,"IA"))</f>
        <v>0</v>
      </c>
      <c r="G8" s="10" t="n">
        <f aca="false">COUNTIFS(Coleta!$G$2:$G$3001,$A8,Coleta!$C$2:$C$3001,"MANIPULADO")</f>
        <v>0</v>
      </c>
      <c r="H8" s="21" t="n">
        <f aca="false">IF(COUNTIF(Coleta!$C$2:$C$3001,"MANIPULADO")=0,0,G8/COUNTIF(Coleta!$C$2:$C$3001,"MANIPULADO"))</f>
        <v>0</v>
      </c>
    </row>
    <row r="9" customFormat="false" ht="15" hidden="false" customHeight="false" outlineLevel="0" collapsed="false">
      <c r="A9" s="10" t="s">
        <v>147</v>
      </c>
      <c r="C9" s="10" t="n">
        <f aca="false">COUNTIFS(Coleta!$G$2:$G$3001,$A9,Coleta!$C$2:$C$3001,"REAL")</f>
        <v>0</v>
      </c>
      <c r="D9" s="21" t="n">
        <f aca="false">IF(COUNTIF(Coleta!$C$2:$C$3001,"REAL")=0,0,C9/COUNTIF(Coleta!$C$2:$C$3001,"REAL"))</f>
        <v>0</v>
      </c>
      <c r="E9" s="10" t="n">
        <f aca="false">COUNTIFS(Coleta!$G$2:$G$3001,$A9,Coleta!$C$2:$C$3001,"IA")</f>
        <v>0</v>
      </c>
      <c r="F9" s="21" t="n">
        <f aca="false">IF(COUNTIF(Coleta!$C$2:$C$3001,"IA")=0,0,E9/COUNTIF(Coleta!$C$2:$C$3001,"IA"))</f>
        <v>0</v>
      </c>
      <c r="G9" s="10" t="n">
        <f aca="false">COUNTIFS(Coleta!$G$2:$G$3001,$A9,Coleta!$C$2:$C$3001,"MANIPULADO")</f>
        <v>0</v>
      </c>
      <c r="H9" s="21" t="n">
        <f aca="false">IF(COUNTIF(Coleta!$C$2:$C$3001,"MANIPULADO")=0,0,G9/COUNTIF(Coleta!$C$2:$C$3001,"MANIPULADO"))</f>
        <v>0</v>
      </c>
    </row>
    <row r="10" customFormat="false" ht="15" hidden="false" customHeight="false" outlineLevel="0" collapsed="false">
      <c r="A10" s="10" t="s">
        <v>148</v>
      </c>
      <c r="C10" s="10" t="n">
        <f aca="false">COUNTIFS(Coleta!$G$2:$G$3001,$A10,Coleta!$C$2:$C$3001,"REAL")</f>
        <v>0</v>
      </c>
      <c r="D10" s="21" t="n">
        <f aca="false">IF(COUNTIF(Coleta!$C$2:$C$3001,"REAL")=0,0,C10/COUNTIF(Coleta!$C$2:$C$3001,"REAL"))</f>
        <v>0</v>
      </c>
      <c r="E10" s="10" t="n">
        <f aca="false">COUNTIFS(Coleta!$G$2:$G$3001,$A10,Coleta!$C$2:$C$3001,"IA")</f>
        <v>0</v>
      </c>
      <c r="F10" s="21" t="n">
        <f aca="false">IF(COUNTIF(Coleta!$C$2:$C$3001,"IA")=0,0,E10/COUNTIF(Coleta!$C$2:$C$3001,"IA"))</f>
        <v>0</v>
      </c>
      <c r="G10" s="10" t="n">
        <f aca="false">COUNTIFS(Coleta!$G$2:$G$3001,$A10,Coleta!$C$2:$C$3001,"MANIPULADO")</f>
        <v>0</v>
      </c>
      <c r="H10" s="21" t="n">
        <f aca="false">IF(COUNTIF(Coleta!$C$2:$C$3001,"MANIPULADO")=0,0,G10/COUNTIF(Coleta!$C$2:$C$3001,"MANIPULADO"))</f>
        <v>0</v>
      </c>
    </row>
    <row r="11" customFormat="false" ht="15" hidden="false" customHeight="false" outlineLevel="0" collapsed="false">
      <c r="A11" s="10" t="s">
        <v>70</v>
      </c>
      <c r="C11" s="10" t="n">
        <f aca="false">COUNTIFS(Coleta!$G$2:$G$3001,$A11,Coleta!$C$2:$C$3001,"REAL")</f>
        <v>0</v>
      </c>
      <c r="D11" s="21" t="n">
        <f aca="false">IF(COUNTIF(Coleta!$C$2:$C$3001,"REAL")=0,0,C11/COUNTIF(Coleta!$C$2:$C$3001,"REAL"))</f>
        <v>0</v>
      </c>
      <c r="E11" s="10" t="n">
        <f aca="false">COUNTIFS(Coleta!$G$2:$G$3001,$A11,Coleta!$C$2:$C$3001,"IA")</f>
        <v>3</v>
      </c>
      <c r="F11" s="21" t="n">
        <f aca="false">IF(COUNTIF(Coleta!$C$2:$C$3001,"IA")=0,0,E11/COUNTIF(Coleta!$C$2:$C$3001,"IA"))</f>
        <v>1</v>
      </c>
      <c r="G11" s="10" t="n">
        <f aca="false">COUNTIFS(Coleta!$G$2:$G$3001,$A11,Coleta!$C$2:$C$3001,"MANIPULADO")</f>
        <v>0</v>
      </c>
      <c r="H11" s="21" t="n">
        <f aca="false">IF(COUNTIF(Coleta!$C$2:$C$3001,"MANIPULADO")=0,0,G11/COUNTIF(Coleta!$C$2:$C$3001,"MANIPULADO"))</f>
        <v>0</v>
      </c>
    </row>
    <row r="12" customFormat="false" ht="15" hidden="false" customHeight="false" outlineLevel="0" collapsed="false">
      <c r="A12" s="10" t="s">
        <v>149</v>
      </c>
      <c r="C12" s="10" t="n">
        <f aca="false">COUNTIFS(Coleta!$G$2:$G$3001,$A12,Coleta!$C$2:$C$3001,"REAL")</f>
        <v>0</v>
      </c>
      <c r="D12" s="21" t="n">
        <f aca="false">IF(COUNTIF(Coleta!$C$2:$C$3001,"REAL")=0,0,C12/COUNTIF(Coleta!$C$2:$C$3001,"REAL"))</f>
        <v>0</v>
      </c>
      <c r="E12" s="10" t="n">
        <f aca="false">COUNTIFS(Coleta!$G$2:$G$3001,$A12,Coleta!$C$2:$C$3001,"IA")</f>
        <v>0</v>
      </c>
      <c r="F12" s="21" t="n">
        <f aca="false">IF(COUNTIF(Coleta!$C$2:$C$3001,"IA")=0,0,E12/COUNTIF(Coleta!$C$2:$C$3001,"IA"))</f>
        <v>0</v>
      </c>
      <c r="G12" s="10" t="n">
        <f aca="false">COUNTIFS(Coleta!$G$2:$G$3001,$A12,Coleta!$C$2:$C$3001,"MANIPULADO")</f>
        <v>0</v>
      </c>
      <c r="H12" s="21" t="n">
        <f aca="false">IF(COUNTIF(Coleta!$C$2:$C$3001,"MANIPULADO")=0,0,G12/COUNTIF(Coleta!$C$2:$C$3001,"MANIPULADO"))</f>
        <v>0</v>
      </c>
    </row>
    <row r="13" customFormat="false" ht="15" hidden="false" customHeight="false" outlineLevel="0" collapsed="false">
      <c r="A13" s="10" t="s">
        <v>150</v>
      </c>
      <c r="C13" s="10" t="n">
        <f aca="false">COUNTIFS(Coleta!$G$2:$G$3001,$A13,Coleta!$C$2:$C$3001,"REAL")</f>
        <v>0</v>
      </c>
      <c r="D13" s="21" t="n">
        <f aca="false">IF(COUNTIF(Coleta!$C$2:$C$3001,"REAL")=0,0,C13/COUNTIF(Coleta!$C$2:$C$3001,"REAL"))</f>
        <v>0</v>
      </c>
      <c r="E13" s="10" t="n">
        <f aca="false">COUNTIFS(Coleta!$G$2:$G$3001,$A13,Coleta!$C$2:$C$3001,"IA")</f>
        <v>0</v>
      </c>
      <c r="F13" s="21" t="n">
        <f aca="false">IF(COUNTIF(Coleta!$C$2:$C$3001,"IA")=0,0,E13/COUNTIF(Coleta!$C$2:$C$3001,"IA"))</f>
        <v>0</v>
      </c>
      <c r="G13" s="10" t="n">
        <f aca="false">COUNTIFS(Coleta!$G$2:$G$3001,$A13,Coleta!$C$2:$C$3001,"MANIPULADO")</f>
        <v>0</v>
      </c>
      <c r="H13" s="21" t="n">
        <f aca="false">IF(COUNTIF(Coleta!$C$2:$C$3001,"MANIPULADO")=0,0,G13/COUNTIF(Coleta!$C$2:$C$3001,"MANIPULADO"))</f>
        <v>0</v>
      </c>
    </row>
    <row r="14" customFormat="false" ht="15" hidden="false" customHeight="false" outlineLevel="0" collapsed="false">
      <c r="A14" s="10" t="s">
        <v>151</v>
      </c>
      <c r="C14" s="10" t="n">
        <f aca="false">COUNTIFS(Coleta!$G$2:$G$3001,$A14,Coleta!$C$2:$C$3001,"REAL")</f>
        <v>0</v>
      </c>
      <c r="D14" s="21" t="n">
        <f aca="false">IF(COUNTIF(Coleta!$C$2:$C$3001,"REAL")=0,0,C14/COUNTIF(Coleta!$C$2:$C$3001,"REAL"))</f>
        <v>0</v>
      </c>
      <c r="E14" s="10" t="n">
        <f aca="false">COUNTIFS(Coleta!$G$2:$G$3001,$A14,Coleta!$C$2:$C$3001,"IA")</f>
        <v>0</v>
      </c>
      <c r="F14" s="21" t="n">
        <f aca="false">IF(COUNTIF(Coleta!$C$2:$C$3001,"IA")=0,0,E14/COUNTIF(Coleta!$C$2:$C$3001,"IA"))</f>
        <v>0</v>
      </c>
      <c r="G14" s="10" t="n">
        <f aca="false">COUNTIFS(Coleta!$G$2:$G$3001,$A14,Coleta!$C$2:$C$3001,"MANIPULADO")</f>
        <v>0</v>
      </c>
      <c r="H14" s="21" t="n">
        <f aca="false">IF(COUNTIF(Coleta!$C$2:$C$3001,"MANIPULADO")=0,0,G14/COUNTIF(Coleta!$C$2:$C$3001,"MANIPULADO"))</f>
        <v>0</v>
      </c>
    </row>
    <row r="15" customFormat="false" ht="15" hidden="false" customHeight="false" outlineLevel="0" collapsed="false">
      <c r="A15" s="10" t="s">
        <v>152</v>
      </c>
      <c r="C15" s="10" t="n">
        <f aca="false">COUNTIFS(Coleta!$G$2:$G$3001,$A15,Coleta!$C$2:$C$3001,"REAL")</f>
        <v>0</v>
      </c>
      <c r="D15" s="21" t="n">
        <f aca="false">IF(COUNTIF(Coleta!$C$2:$C$3001,"REAL")=0,0,C15/COUNTIF(Coleta!$C$2:$C$3001,"REAL"))</f>
        <v>0</v>
      </c>
      <c r="E15" s="10" t="n">
        <f aca="false">COUNTIFS(Coleta!$G$2:$G$3001,$A15,Coleta!$C$2:$C$3001,"IA")</f>
        <v>0</v>
      </c>
      <c r="F15" s="21" t="n">
        <f aca="false">IF(COUNTIF(Coleta!$C$2:$C$3001,"IA")=0,0,E15/COUNTIF(Coleta!$C$2:$C$3001,"IA"))</f>
        <v>0</v>
      </c>
      <c r="G15" s="10" t="n">
        <f aca="false">COUNTIFS(Coleta!$G$2:$G$3001,$A15,Coleta!$C$2:$C$3001,"MANIPULADO")</f>
        <v>0</v>
      </c>
      <c r="H15" s="21" t="n">
        <f aca="false">IF(COUNTIF(Coleta!$C$2:$C$3001,"MANIPULADO")=0,0,G15/COUNTIF(Coleta!$C$2:$C$3001,"MANIPULADO"))</f>
        <v>0</v>
      </c>
    </row>
    <row r="16" customFormat="false" ht="15" hidden="false" customHeight="false" outlineLevel="0" collapsed="false">
      <c r="A16" s="10" t="s">
        <v>153</v>
      </c>
      <c r="C16" s="10" t="n">
        <f aca="false">COUNTIFS(Coleta!$G$2:$G$3001,$A16,Coleta!$C$2:$C$3001,"REAL")</f>
        <v>0</v>
      </c>
      <c r="D16" s="21" t="n">
        <f aca="false">IF(COUNTIF(Coleta!$C$2:$C$3001,"REAL")=0,0,C16/COUNTIF(Coleta!$C$2:$C$3001,"REAL"))</f>
        <v>0</v>
      </c>
      <c r="E16" s="10" t="n">
        <f aca="false">COUNTIFS(Coleta!$G$2:$G$3001,$A16,Coleta!$C$2:$C$3001,"IA")</f>
        <v>0</v>
      </c>
      <c r="F16" s="21" t="n">
        <f aca="false">IF(COUNTIF(Coleta!$C$2:$C$3001,"IA")=0,0,E16/COUNTIF(Coleta!$C$2:$C$3001,"IA"))</f>
        <v>0</v>
      </c>
      <c r="G16" s="10" t="n">
        <f aca="false">COUNTIFS(Coleta!$G$2:$G$3001,$A16,Coleta!$C$2:$C$3001,"MANIPULADO")</f>
        <v>0</v>
      </c>
      <c r="H16" s="21" t="n">
        <f aca="false">IF(COUNTIF(Coleta!$C$2:$C$3001,"MANIPULADO")=0,0,G16/COUNTIF(Coleta!$C$2:$C$3001,"MANIPULADO"))</f>
        <v>0</v>
      </c>
    </row>
    <row r="17" customFormat="false" ht="15" hidden="false" customHeight="false" outlineLevel="0" collapsed="false">
      <c r="A17" s="10" t="s">
        <v>154</v>
      </c>
      <c r="C17" s="10" t="n">
        <f aca="false">COUNTIFS(Coleta!$G$2:$G$3001,$A17,Coleta!$C$2:$C$3001,"REAL")</f>
        <v>0</v>
      </c>
      <c r="D17" s="21" t="n">
        <f aca="false">IF(COUNTIF(Coleta!$C$2:$C$3001,"REAL")=0,0,C17/COUNTIF(Coleta!$C$2:$C$3001,"REAL"))</f>
        <v>0</v>
      </c>
      <c r="E17" s="10" t="n">
        <f aca="false">COUNTIFS(Coleta!$G$2:$G$3001,$A17,Coleta!$C$2:$C$3001,"IA")</f>
        <v>0</v>
      </c>
      <c r="F17" s="21" t="n">
        <f aca="false">IF(COUNTIF(Coleta!$C$2:$C$3001,"IA")=0,0,E17/COUNTIF(Coleta!$C$2:$C$3001,"IA"))</f>
        <v>0</v>
      </c>
      <c r="G17" s="10" t="n">
        <f aca="false">COUNTIFS(Coleta!$G$2:$G$3001,$A17,Coleta!$C$2:$C$3001,"MANIPULADO")</f>
        <v>0</v>
      </c>
      <c r="H17" s="21" t="n">
        <f aca="false">IF(COUNTIF(Coleta!$C$2:$C$3001,"MANIPULADO")=0,0,G17/COUNTIF(Coleta!$C$2:$C$3001,"MANIPULADO"))</f>
        <v>0</v>
      </c>
    </row>
    <row r="18" customFormat="false" ht="15" hidden="false" customHeight="false" outlineLevel="0" collapsed="false">
      <c r="A18" s="10" t="s">
        <v>155</v>
      </c>
      <c r="C18" s="10" t="n">
        <f aca="false">COUNTIFS(Coleta!$G$2:$G$3001,$A18,Coleta!$C$2:$C$3001,"REAL")</f>
        <v>0</v>
      </c>
      <c r="D18" s="21" t="n">
        <f aca="false">IF(COUNTIF(Coleta!$C$2:$C$3001,"REAL")=0,0,C18/COUNTIF(Coleta!$C$2:$C$3001,"REAL"))</f>
        <v>0</v>
      </c>
      <c r="E18" s="10" t="n">
        <f aca="false">COUNTIFS(Coleta!$G$2:$G$3001,$A18,Coleta!$C$2:$C$3001,"IA")</f>
        <v>0</v>
      </c>
      <c r="F18" s="21" t="n">
        <f aca="false">IF(COUNTIF(Coleta!$C$2:$C$3001,"IA")=0,0,E18/COUNTIF(Coleta!$C$2:$C$3001,"IA"))</f>
        <v>0</v>
      </c>
      <c r="G18" s="10" t="n">
        <f aca="false">COUNTIFS(Coleta!$G$2:$G$3001,$A18,Coleta!$C$2:$C$3001,"MANIPULADO")</f>
        <v>0</v>
      </c>
      <c r="H18" s="21" t="n">
        <f aca="false">IF(COUNTIF(Coleta!$C$2:$C$3001,"MANIPULADO")=0,0,G18/COUNTIF(Coleta!$C$2:$C$3001,"MANIPULADO"))</f>
        <v>0</v>
      </c>
    </row>
    <row r="19" customFormat="false" ht="15" hidden="false" customHeight="false" outlineLevel="0" collapsed="false">
      <c r="A19" s="10" t="s">
        <v>91</v>
      </c>
      <c r="C19" s="10" t="n">
        <f aca="false">COUNTIFS(Coleta!$G$2:$G$3001,$A19,Coleta!$C$2:$C$3001,"REAL")</f>
        <v>1</v>
      </c>
      <c r="D19" s="21" t="n">
        <f aca="false">IF(COUNTIF(Coleta!$C$2:$C$3001,"REAL")=0,0,C19/COUNTIF(Coleta!$C$2:$C$3001,"REAL"))</f>
        <v>0.25</v>
      </c>
      <c r="E19" s="10" t="n">
        <f aca="false">COUNTIFS(Coleta!$G$2:$G$3001,$A19,Coleta!$C$2:$C$3001,"IA")</f>
        <v>0</v>
      </c>
      <c r="F19" s="21" t="n">
        <f aca="false">IF(COUNTIF(Coleta!$C$2:$C$3001,"IA")=0,0,E19/COUNTIF(Coleta!$C$2:$C$3001,"IA"))</f>
        <v>0</v>
      </c>
      <c r="G19" s="10" t="n">
        <f aca="false">COUNTIFS(Coleta!$G$2:$G$3001,$A19,Coleta!$C$2:$C$3001,"MANIPULADO")</f>
        <v>0</v>
      </c>
      <c r="H19" s="21" t="n">
        <f aca="false">IF(COUNTIF(Coleta!$C$2:$C$3001,"MANIPULADO")=0,0,G19/COUNTIF(Coleta!$C$2:$C$3001,"MANIPULADO"))</f>
        <v>0</v>
      </c>
    </row>
    <row r="20" customFormat="false" ht="15" hidden="false" customHeight="false" outlineLevel="0" collapsed="false">
      <c r="A20" s="10" t="s">
        <v>156</v>
      </c>
      <c r="C20" s="10" t="n">
        <f aca="false">COUNTIFS(Coleta!$G$2:$G$3001,$A20,Coleta!$C$2:$C$3001,"REAL")</f>
        <v>0</v>
      </c>
      <c r="D20" s="21" t="n">
        <f aca="false">IF(COUNTIF(Coleta!$C$2:$C$3001,"REAL")=0,0,C20/COUNTIF(Coleta!$C$2:$C$3001,"REAL"))</f>
        <v>0</v>
      </c>
      <c r="E20" s="10" t="n">
        <f aca="false">COUNTIFS(Coleta!$G$2:$G$3001,$A20,Coleta!$C$2:$C$3001,"IA")</f>
        <v>0</v>
      </c>
      <c r="F20" s="21" t="n">
        <f aca="false">IF(COUNTIF(Coleta!$C$2:$C$3001,"IA")=0,0,E20/COUNTIF(Coleta!$C$2:$C$3001,"IA"))</f>
        <v>0</v>
      </c>
      <c r="G20" s="10" t="n">
        <f aca="false">COUNTIFS(Coleta!$G$2:$G$3001,$A20,Coleta!$C$2:$C$3001,"MANIPULADO")</f>
        <v>0</v>
      </c>
      <c r="H20" s="21" t="n">
        <f aca="false">IF(COUNTIF(Coleta!$C$2:$C$3001,"MANIPULADO")=0,0,G20/COUNTIF(Coleta!$C$2:$C$3001,"MANIPULADO"))</f>
        <v>0</v>
      </c>
    </row>
    <row r="21" customFormat="false" ht="15" hidden="false" customHeight="false" outlineLevel="0" collapsed="false">
      <c r="A21" s="10" t="s">
        <v>157</v>
      </c>
      <c r="C21" s="10" t="n">
        <f aca="false">COUNTIFS(Coleta!$G$2:$G$3001,$A21,Coleta!$C$2:$C$3001,"REAL")</f>
        <v>0</v>
      </c>
      <c r="D21" s="21" t="n">
        <f aca="false">IF(COUNTIF(Coleta!$C$2:$C$3001,"REAL")=0,0,C21/COUNTIF(Coleta!$C$2:$C$3001,"REAL"))</f>
        <v>0</v>
      </c>
      <c r="E21" s="10" t="n">
        <f aca="false">COUNTIFS(Coleta!$G$2:$G$3001,$A21,Coleta!$C$2:$C$3001,"IA")</f>
        <v>0</v>
      </c>
      <c r="F21" s="21" t="n">
        <f aca="false">IF(COUNTIF(Coleta!$C$2:$C$3001,"IA")=0,0,E21/COUNTIF(Coleta!$C$2:$C$3001,"IA"))</f>
        <v>0</v>
      </c>
      <c r="G21" s="10" t="n">
        <f aca="false">COUNTIFS(Coleta!$G$2:$G$3001,$A21,Coleta!$C$2:$C$3001,"MANIPULADO")</f>
        <v>0</v>
      </c>
      <c r="H21" s="21" t="n">
        <f aca="false">IF(COUNTIF(Coleta!$C$2:$C$3001,"MANIPULADO")=0,0,G21/COUNTIF(Coleta!$C$2:$C$3001,"MANIPULADO"))</f>
        <v>0</v>
      </c>
    </row>
    <row r="22" customFormat="false" ht="15" hidden="false" customHeight="false" outlineLevel="0" collapsed="false">
      <c r="A22" s="10" t="s">
        <v>158</v>
      </c>
      <c r="C22" s="10" t="n">
        <f aca="false">COUNTIFS(Coleta!$G$2:$G$3001,$A22,Coleta!$C$2:$C$3001,"REAL")</f>
        <v>0</v>
      </c>
      <c r="D22" s="21" t="n">
        <f aca="false">IF(COUNTIF(Coleta!$C$2:$C$3001,"REAL")=0,0,C22/COUNTIF(Coleta!$C$2:$C$3001,"REAL"))</f>
        <v>0</v>
      </c>
      <c r="E22" s="10" t="n">
        <f aca="false">COUNTIFS(Coleta!$G$2:$G$3001,$A22,Coleta!$C$2:$C$3001,"IA")</f>
        <v>0</v>
      </c>
      <c r="F22" s="21" t="n">
        <f aca="false">IF(COUNTIF(Coleta!$C$2:$C$3001,"IA")=0,0,E22/COUNTIF(Coleta!$C$2:$C$3001,"IA"))</f>
        <v>0</v>
      </c>
      <c r="G22" s="10" t="n">
        <f aca="false">COUNTIFS(Coleta!$G$2:$G$3001,$A22,Coleta!$C$2:$C$3001,"MANIPULADO")</f>
        <v>0</v>
      </c>
      <c r="H22" s="21" t="n">
        <f aca="false">IF(COUNTIF(Coleta!$C$2:$C$3001,"MANIPULADO")=0,0,G22/COUNTIF(Coleta!$C$2:$C$3001,"MANIPULADO"))</f>
        <v>0</v>
      </c>
    </row>
    <row r="23" customFormat="false" ht="15" hidden="false" customHeight="false" outlineLevel="0" collapsed="false">
      <c r="A23" s="10" t="s">
        <v>159</v>
      </c>
      <c r="C23" s="10" t="n">
        <f aca="false">COUNTIFS(Coleta!$G$2:$G$3001,$A23,Coleta!$C$2:$C$3001,"REAL")</f>
        <v>0</v>
      </c>
      <c r="D23" s="21" t="n">
        <f aca="false">IF(COUNTIF(Coleta!$C$2:$C$3001,"REAL")=0,0,C23/COUNTIF(Coleta!$C$2:$C$3001,"REAL"))</f>
        <v>0</v>
      </c>
      <c r="E23" s="10" t="n">
        <f aca="false">COUNTIFS(Coleta!$G$2:$G$3001,$A23,Coleta!$C$2:$C$3001,"IA")</f>
        <v>0</v>
      </c>
      <c r="F23" s="21" t="n">
        <f aca="false">IF(COUNTIF(Coleta!$C$2:$C$3001,"IA")=0,0,E23/COUNTIF(Coleta!$C$2:$C$3001,"IA"))</f>
        <v>0</v>
      </c>
      <c r="G23" s="10" t="n">
        <f aca="false">COUNTIFS(Coleta!$G$2:$G$3001,$A23,Coleta!$C$2:$C$3001,"MANIPULADO")</f>
        <v>0</v>
      </c>
      <c r="H23" s="21" t="n">
        <f aca="false">IF(COUNTIF(Coleta!$C$2:$C$3001,"MANIPULADO")=0,0,G23/COUNTIF(Coleta!$C$2:$C$3001,"MANIPULADO"))</f>
        <v>0</v>
      </c>
    </row>
    <row r="25" customFormat="false" ht="15" hidden="false" customHeight="false" outlineLevel="0" collapsed="false">
      <c r="A25" s="9" t="s">
        <v>160</v>
      </c>
      <c r="C25" s="9" t="n">
        <f aca="false">COUNTIF(C4:C23,"&gt;0")</f>
        <v>2</v>
      </c>
      <c r="E25" s="9" t="n">
        <f aca="false">COUNTIF(E4:E23,"&gt;0")</f>
        <v>1</v>
      </c>
      <c r="G25" s="9" t="n">
        <f aca="false">COUNTIF(G4:G23,"&gt;0")</f>
        <v>0</v>
      </c>
    </row>
    <row r="26" customFormat="false" ht="15" hidden="false" customHeight="false" outlineLevel="0" collapsed="false">
      <c r="A26" s="9" t="s">
        <v>161</v>
      </c>
      <c r="C26" s="23" t="n">
        <f aca="false">MAX(D4:D23)</f>
        <v>0.75</v>
      </c>
      <c r="E26" s="23" t="n">
        <f aca="false">MAX(F4:F23)</f>
        <v>1</v>
      </c>
      <c r="G26" s="23" t="n">
        <f aca="false">MAX(H4:H23)</f>
        <v>0</v>
      </c>
    </row>
  </sheetData>
  <conditionalFormatting sqref="D4:D23">
    <cfRule type="cellIs" priority="2" operator="greaterThan" aboveAverage="0" equalAverage="0" bottom="0" percent="0" rank="0" text="" dxfId="6">
      <formula>0.3</formula>
    </cfRule>
  </conditionalFormatting>
  <conditionalFormatting sqref="F4:F23">
    <cfRule type="cellIs" priority="3" operator="greaterThan" aboveAverage="0" equalAverage="0" bottom="0" percent="0" rank="0" text="" dxfId="6">
      <formula>0.3</formula>
    </cfRule>
  </conditionalFormatting>
  <conditionalFormatting sqref="H4:H23">
    <cfRule type="cellIs" priority="4" operator="greaterThan" aboveAverage="0" equalAverage="0" bottom="0" percent="0" rank="0" text="" dxfId="6">
      <formula>0.3</formula>
    </cfRule>
  </conditionalFormatting>
  <conditionalFormatting sqref="C26">
    <cfRule type="cellIs" priority="5" operator="greaterThan" aboveAverage="0" equalAverage="0" bottom="0" percent="0" rank="0" text="" dxfId="6">
      <formula>0.3</formula>
    </cfRule>
  </conditionalFormatting>
  <conditionalFormatting sqref="E26">
    <cfRule type="cellIs" priority="6" operator="greaterThan" aboveAverage="0" equalAverage="0" bottom="0" percent="0" rank="0" text="" dxfId="6">
      <formula>0.3</formula>
    </cfRule>
  </conditionalFormatting>
  <conditionalFormatting sqref="G26">
    <cfRule type="cellIs" priority="7" operator="greaterThan" aboveAverage="0" equalAverage="0" bottom="0" percent="0" rank="0" text="" dxfId="6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9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4" t="s">
        <v>51</v>
      </c>
      <c r="B4" s="4" t="s">
        <v>164</v>
      </c>
      <c r="C4" s="4" t="s">
        <v>165</v>
      </c>
    </row>
    <row r="5" customFormat="false" ht="23.85" hidden="false" customHeight="false" outlineLevel="0" collapsed="false">
      <c r="A5" s="26" t="s">
        <v>9</v>
      </c>
      <c r="B5" s="7" t="s">
        <v>166</v>
      </c>
      <c r="C5" s="7" t="s">
        <v>167</v>
      </c>
    </row>
    <row r="6" customFormat="false" ht="23.85" hidden="false" customHeight="false" outlineLevel="0" collapsed="false">
      <c r="A6" s="26" t="s">
        <v>9</v>
      </c>
      <c r="B6" s="7" t="s">
        <v>168</v>
      </c>
      <c r="C6" s="7" t="s">
        <v>169</v>
      </c>
    </row>
    <row r="7" customFormat="false" ht="23.85" hidden="false" customHeight="false" outlineLevel="0" collapsed="false">
      <c r="A7" s="26" t="s">
        <v>9</v>
      </c>
      <c r="B7" s="7" t="s">
        <v>170</v>
      </c>
      <c r="C7" s="7" t="s">
        <v>171</v>
      </c>
    </row>
    <row r="8" customFormat="false" ht="23.85" hidden="false" customHeight="false" outlineLevel="0" collapsed="false">
      <c r="A8" s="26" t="s">
        <v>9</v>
      </c>
      <c r="B8" s="7" t="s">
        <v>172</v>
      </c>
      <c r="C8" s="7" t="s">
        <v>173</v>
      </c>
    </row>
    <row r="9" customFormat="false" ht="23.85" hidden="false" customHeight="false" outlineLevel="0" collapsed="false">
      <c r="A9" s="26" t="s">
        <v>9</v>
      </c>
      <c r="B9" s="7" t="s">
        <v>174</v>
      </c>
      <c r="C9" s="7" t="s">
        <v>175</v>
      </c>
    </row>
    <row r="10" customFormat="false" ht="15" hidden="false" customHeight="false" outlineLevel="0" collapsed="false">
      <c r="A10" s="26" t="s">
        <v>9</v>
      </c>
      <c r="B10" s="7" t="s">
        <v>176</v>
      </c>
      <c r="C10" s="7" t="s">
        <v>177</v>
      </c>
    </row>
    <row r="11" customFormat="false" ht="15" hidden="false" customHeight="false" outlineLevel="0" collapsed="false">
      <c r="A11" s="26" t="s">
        <v>9</v>
      </c>
      <c r="B11" s="7" t="s">
        <v>178</v>
      </c>
      <c r="C11" s="7" t="s">
        <v>179</v>
      </c>
    </row>
    <row r="12" customFormat="false" ht="23.85" hidden="false" customHeight="false" outlineLevel="0" collapsed="false">
      <c r="A12" s="26" t="s">
        <v>12</v>
      </c>
      <c r="B12" s="7" t="s">
        <v>180</v>
      </c>
      <c r="C12" s="7" t="s">
        <v>181</v>
      </c>
    </row>
    <row r="13" customFormat="false" ht="15" hidden="false" customHeight="false" outlineLevel="0" collapsed="false">
      <c r="A13" s="26" t="s">
        <v>12</v>
      </c>
      <c r="B13" s="7" t="s">
        <v>182</v>
      </c>
      <c r="C13" s="7" t="s">
        <v>183</v>
      </c>
    </row>
    <row r="14" customFormat="false" ht="23.85" hidden="false" customHeight="false" outlineLevel="0" collapsed="false">
      <c r="A14" s="26" t="s">
        <v>12</v>
      </c>
      <c r="B14" s="7" t="s">
        <v>184</v>
      </c>
      <c r="C14" s="7" t="s">
        <v>185</v>
      </c>
    </row>
    <row r="15" customFormat="false" ht="15" hidden="false" customHeight="false" outlineLevel="0" collapsed="false">
      <c r="A15" s="26" t="s">
        <v>12</v>
      </c>
      <c r="B15" s="7" t="s">
        <v>186</v>
      </c>
      <c r="C15" s="7" t="s">
        <v>187</v>
      </c>
    </row>
    <row r="16" customFormat="false" ht="15" hidden="false" customHeight="false" outlineLevel="0" collapsed="false">
      <c r="A16" s="26" t="s">
        <v>12</v>
      </c>
      <c r="B16" s="7" t="s">
        <v>188</v>
      </c>
      <c r="C16" s="7" t="s">
        <v>189</v>
      </c>
    </row>
    <row r="18" customFormat="false" ht="15" hidden="false" customHeight="false" outlineLevel="0" collapsed="false">
      <c r="A18" s="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42"/>
  </cols>
  <sheetData>
    <row r="1" customFormat="false" ht="15" hidden="false" customHeight="false" outlineLevel="0" collapsed="false">
      <c r="A1" s="27" t="s">
        <v>50</v>
      </c>
      <c r="B1" s="27" t="s">
        <v>51</v>
      </c>
      <c r="C1" s="27" t="s">
        <v>164</v>
      </c>
      <c r="D1" s="27" t="s">
        <v>139</v>
      </c>
      <c r="E1" s="27" t="s">
        <v>66</v>
      </c>
      <c r="F1" s="27" t="s">
        <v>191</v>
      </c>
      <c r="G1" s="27" t="s">
        <v>192</v>
      </c>
    </row>
    <row r="2" customFormat="false" ht="15" hidden="false" customHeight="false" outlineLevel="0" collapsed="false">
      <c r="A2" s="28" t="s">
        <v>87</v>
      </c>
      <c r="B2" s="28" t="s">
        <v>67</v>
      </c>
      <c r="C2" s="28" t="s">
        <v>172</v>
      </c>
      <c r="D2" s="28" t="s">
        <v>143</v>
      </c>
      <c r="E2" s="28" t="s">
        <v>92</v>
      </c>
      <c r="F2" s="28" t="s">
        <v>84</v>
      </c>
      <c r="G2" s="28" t="s">
        <v>94</v>
      </c>
    </row>
    <row r="3" customFormat="false" ht="15" hidden="false" customHeight="false" outlineLevel="0" collapsed="false">
      <c r="A3" s="28" t="s">
        <v>66</v>
      </c>
      <c r="B3" s="28" t="s">
        <v>88</v>
      </c>
      <c r="C3" s="28" t="s">
        <v>193</v>
      </c>
      <c r="D3" s="28" t="s">
        <v>99</v>
      </c>
      <c r="E3" s="28" t="s">
        <v>194</v>
      </c>
      <c r="F3" s="28" t="s">
        <v>73</v>
      </c>
      <c r="G3" s="28" t="s">
        <v>195</v>
      </c>
    </row>
    <row r="4" customFormat="false" ht="15" hidden="false" customHeight="false" outlineLevel="0" collapsed="false">
      <c r="A4" s="28" t="s">
        <v>116</v>
      </c>
      <c r="C4" s="28" t="s">
        <v>196</v>
      </c>
      <c r="D4" s="28" t="s">
        <v>144</v>
      </c>
      <c r="E4" s="28" t="s">
        <v>197</v>
      </c>
      <c r="G4" s="28" t="s">
        <v>198</v>
      </c>
    </row>
    <row r="5" customFormat="false" ht="15" hidden="false" customHeight="false" outlineLevel="0" collapsed="false">
      <c r="C5" s="28" t="s">
        <v>199</v>
      </c>
      <c r="D5" s="28" t="s">
        <v>145</v>
      </c>
      <c r="E5" s="28" t="s">
        <v>200</v>
      </c>
      <c r="G5" s="28" t="s">
        <v>72</v>
      </c>
    </row>
    <row r="6" customFormat="false" ht="15" hidden="false" customHeight="false" outlineLevel="0" collapsed="false">
      <c r="C6" s="28" t="s">
        <v>166</v>
      </c>
      <c r="D6" s="28" t="s">
        <v>146</v>
      </c>
      <c r="E6" s="28" t="s">
        <v>201</v>
      </c>
      <c r="G6" s="28" t="s">
        <v>202</v>
      </c>
    </row>
    <row r="7" customFormat="false" ht="15" hidden="false" customHeight="false" outlineLevel="0" collapsed="false">
      <c r="C7" s="28" t="s">
        <v>79</v>
      </c>
      <c r="D7" s="28" t="s">
        <v>147</v>
      </c>
      <c r="E7" s="28" t="s">
        <v>203</v>
      </c>
    </row>
    <row r="8" customFormat="false" ht="15" hidden="false" customHeight="false" outlineLevel="0" collapsed="false">
      <c r="C8" s="28" t="s">
        <v>186</v>
      </c>
      <c r="D8" s="28" t="s">
        <v>148</v>
      </c>
      <c r="E8" s="28" t="s">
        <v>204</v>
      </c>
    </row>
    <row r="9" customFormat="false" ht="15" hidden="false" customHeight="false" outlineLevel="0" collapsed="false">
      <c r="C9" s="28" t="s">
        <v>205</v>
      </c>
      <c r="D9" s="28" t="s">
        <v>70</v>
      </c>
      <c r="E9" s="28" t="s">
        <v>206</v>
      </c>
    </row>
    <row r="10" customFormat="false" ht="15" hidden="false" customHeight="false" outlineLevel="0" collapsed="false">
      <c r="C10" s="28" t="s">
        <v>68</v>
      </c>
      <c r="D10" s="28" t="s">
        <v>149</v>
      </c>
      <c r="E10" s="28" t="s">
        <v>71</v>
      </c>
    </row>
    <row r="11" customFormat="false" ht="15" hidden="false" customHeight="false" outlineLevel="0" collapsed="false">
      <c r="C11" s="28" t="s">
        <v>207</v>
      </c>
      <c r="D11" s="28" t="s">
        <v>150</v>
      </c>
    </row>
    <row r="12" customFormat="false" ht="15" hidden="false" customHeight="false" outlineLevel="0" collapsed="false">
      <c r="C12" s="28" t="s">
        <v>97</v>
      </c>
      <c r="D12" s="28" t="s">
        <v>151</v>
      </c>
    </row>
    <row r="13" customFormat="false" ht="15" hidden="false" customHeight="false" outlineLevel="0" collapsed="false">
      <c r="C13" s="28" t="s">
        <v>89</v>
      </c>
      <c r="D13" s="28" t="s">
        <v>152</v>
      </c>
    </row>
    <row r="14" customFormat="false" ht="15" hidden="false" customHeight="false" outlineLevel="0" collapsed="false">
      <c r="C14" s="28" t="s">
        <v>208</v>
      </c>
      <c r="D14" s="28" t="s">
        <v>153</v>
      </c>
    </row>
    <row r="15" customFormat="false" ht="15" hidden="false" customHeight="false" outlineLevel="0" collapsed="false">
      <c r="C15" s="28" t="s">
        <v>209</v>
      </c>
      <c r="D15" s="28" t="s">
        <v>154</v>
      </c>
    </row>
    <row r="16" customFormat="false" ht="15" hidden="false" customHeight="false" outlineLevel="0" collapsed="false">
      <c r="C16" s="28" t="s">
        <v>159</v>
      </c>
      <c r="D16" s="28" t="s">
        <v>155</v>
      </c>
    </row>
    <row r="17" customFormat="false" ht="15" hidden="false" customHeight="false" outlineLevel="0" collapsed="false">
      <c r="D17" s="28" t="s">
        <v>91</v>
      </c>
    </row>
    <row r="18" customFormat="false" ht="15" hidden="false" customHeight="false" outlineLevel="0" collapsed="false">
      <c r="D18" s="28" t="s">
        <v>156</v>
      </c>
    </row>
    <row r="19" customFormat="false" ht="15" hidden="false" customHeight="false" outlineLevel="0" collapsed="false">
      <c r="D19" s="28" t="s">
        <v>157</v>
      </c>
    </row>
    <row r="20" customFormat="false" ht="15" hidden="false" customHeight="false" outlineLevel="0" collapsed="false">
      <c r="D20" s="28" t="s">
        <v>158</v>
      </c>
    </row>
    <row r="21" customFormat="false" ht="15" hidden="false" customHeight="false" outlineLevel="0" collapsed="false">
      <c r="D21" s="28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2026-10-08T13:48:49Z</dcterms:created>
  <dc:creator>openpyxl</dc:creator>
  <dc:description/>
  <dc:language>en-US</dc:language>
  <cp:lastModifiedBy/>
  <dcterms:modified xsi:type="dcterms:W3CDTF">2026-10-08T13:48:52Z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